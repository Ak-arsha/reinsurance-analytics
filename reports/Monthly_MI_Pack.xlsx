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'Summary'!$A$11:$A$16</f>
            </numRef>
          </cat>
          <val>
            <numRef>
              <f>'Summary'!$E$11:$E$16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Total Portfolio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SUM(Treaty_Data!$I$2:$I$701)/1000000</f>
        <v/>
      </c>
      <c r="B7" s="5">
        <f>SUM(Treaty_Data!$J$2:$J$701)/1000000</f>
        <v/>
      </c>
      <c r="C7" s="5">
        <f>SUM(Treaty_Data!$K$2:$K$701)/1000000</f>
        <v/>
      </c>
      <c r="D7" s="5">
        <f>SUM(Treaty_Data!$O$2:$O$701)/1000000</f>
        <v/>
      </c>
      <c r="E7" s="6">
        <f>IFERROR(D7/C7,0)</f>
        <v/>
      </c>
      <c r="F7" s="6">
        <f>IFERROR(E7+SUM(Treaty_Data!$L$2:$L$701)/1000000/C7+B4,0)</f>
        <v/>
      </c>
      <c r="G7" s="7">
        <f>SUM(Treaty_Data!$P$2:$P$701)/1000000</f>
        <v/>
      </c>
      <c r="H7" s="7">
        <f>COUNTA(Treaty_Data!$A$2:$A$701)</f>
        <v/>
      </c>
      <c r="I7" s="7">
        <f>SUM(Treaty_Data!$M$2:$M$701)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Casualty</t>
        </is>
      </c>
      <c r="B11" s="10">
        <f>SUMIFS(Treaty_Data!$I$2:$I$701,Treaty_Data!$C$2:$C$701,$A11)/1000000</f>
        <v/>
      </c>
      <c r="C11" s="10">
        <f>SUMIFS(Treaty_Data!$K$2:$K$701,Treaty_Data!$C$2:$C$701,$A11)/1000000</f>
        <v/>
      </c>
      <c r="D11" s="10">
        <f>SUMIFS(Treaty_Data!$O$2:$O$701,Treaty_Data!$C$2:$C$701,$A11)/1000000</f>
        <v/>
      </c>
      <c r="E11" s="11">
        <f>IFERROR(D11/C11,0)</f>
        <v/>
      </c>
      <c r="F11" s="11">
        <f>IFERROR(SUMIFS(Treaty_Data!$L$2:$L$701,Treaty_Data!$C$2:$C$701,$A11)/1000000/C11,0)</f>
        <v/>
      </c>
      <c r="G11" s="11">
        <f>E11+F11+$B$4</f>
        <v/>
      </c>
      <c r="H11" s="12">
        <f>COUNTIF(Treaty_Data!$C$2:$C$701,$A11)</f>
        <v/>
      </c>
    </row>
    <row r="12">
      <c r="A12" s="9" t="inlineStr">
        <is>
          <t>Financial Lines</t>
        </is>
      </c>
      <c r="B12" s="10">
        <f>SUMIFS(Treaty_Data!$I$2:$I$701,Treaty_Data!$C$2:$C$701,$A12)/1000000</f>
        <v/>
      </c>
      <c r="C12" s="10">
        <f>SUMIFS(Treaty_Data!$K$2:$K$701,Treaty_Data!$C$2:$C$701,$A12)/1000000</f>
        <v/>
      </c>
      <c r="D12" s="10">
        <f>SUMIFS(Treaty_Data!$O$2:$O$701,Treaty_Data!$C$2:$C$701,$A12)/1000000</f>
        <v/>
      </c>
      <c r="E12" s="11">
        <f>IFERROR(D12/C12,0)</f>
        <v/>
      </c>
      <c r="F12" s="11">
        <f>IFERROR(SUMIFS(Treaty_Data!$L$2:$L$701,Treaty_Data!$C$2:$C$701,$A12)/1000000/C12,0)</f>
        <v/>
      </c>
      <c r="G12" s="11">
        <f>E12+F12+$B$4</f>
        <v/>
      </c>
      <c r="H12" s="12">
        <f>COUNTIF(Treaty_Data!$C$2:$C$701,$A12)</f>
        <v/>
      </c>
    </row>
    <row r="13">
      <c r="A13" s="9" t="inlineStr">
        <is>
          <t>Professional</t>
        </is>
      </c>
      <c r="B13" s="10">
        <f>SUMIFS(Treaty_Data!$I$2:$I$701,Treaty_Data!$C$2:$C$701,$A13)/1000000</f>
        <v/>
      </c>
      <c r="C13" s="10">
        <f>SUMIFS(Treaty_Data!$K$2:$K$701,Treaty_Data!$C$2:$C$701,$A13)/1000000</f>
        <v/>
      </c>
      <c r="D13" s="10">
        <f>SUMIFS(Treaty_Data!$O$2:$O$701,Treaty_Data!$C$2:$C$701,$A13)/1000000</f>
        <v/>
      </c>
      <c r="E13" s="11">
        <f>IFERROR(D13/C13,0)</f>
        <v/>
      </c>
      <c r="F13" s="11">
        <f>IFERROR(SUMIFS(Treaty_Data!$L$2:$L$701,Treaty_Data!$C$2:$C$701,$A13)/1000000/C13,0)</f>
        <v/>
      </c>
      <c r="G13" s="11">
        <f>E13+F13+$B$4</f>
        <v/>
      </c>
      <c r="H13" s="12">
        <f>COUNTIF(Treaty_Data!$C$2:$C$701,$A13)</f>
        <v/>
      </c>
    </row>
    <row r="14">
      <c r="A14" s="9" t="inlineStr">
        <is>
          <t>Property</t>
        </is>
      </c>
      <c r="B14" s="10">
        <f>SUMIFS(Treaty_Data!$I$2:$I$701,Treaty_Data!$C$2:$C$701,$A14)/1000000</f>
        <v/>
      </c>
      <c r="C14" s="10">
        <f>SUMIFS(Treaty_Data!$K$2:$K$701,Treaty_Data!$C$2:$C$701,$A14)/1000000</f>
        <v/>
      </c>
      <c r="D14" s="10">
        <f>SUMIFS(Treaty_Data!$O$2:$O$701,Treaty_Data!$C$2:$C$701,$A14)/1000000</f>
        <v/>
      </c>
      <c r="E14" s="11">
        <f>IFERROR(D14/C14,0)</f>
        <v/>
      </c>
      <c r="F14" s="11">
        <f>IFERROR(SUMIFS(Treaty_Data!$L$2:$L$701,Treaty_Data!$C$2:$C$701,$A14)/1000000/C14,0)</f>
        <v/>
      </c>
      <c r="G14" s="11">
        <f>E14+F14+$B$4</f>
        <v/>
      </c>
      <c r="H14" s="12">
        <f>COUNTIF(Treaty_Data!$C$2:$C$701,$A14)</f>
        <v/>
      </c>
    </row>
    <row r="15">
      <c r="A15" s="9" t="inlineStr">
        <is>
          <t>Specialty</t>
        </is>
      </c>
      <c r="B15" s="10">
        <f>SUMIFS(Treaty_Data!$I$2:$I$701,Treaty_Data!$C$2:$C$701,$A15)/1000000</f>
        <v/>
      </c>
      <c r="C15" s="10">
        <f>SUMIFS(Treaty_Data!$K$2:$K$701,Treaty_Data!$C$2:$C$701,$A15)/1000000</f>
        <v/>
      </c>
      <c r="D15" s="10">
        <f>SUMIFS(Treaty_Data!$O$2:$O$701,Treaty_Data!$C$2:$C$701,$A15)/1000000</f>
        <v/>
      </c>
      <c r="E15" s="11">
        <f>IFERROR(D15/C15,0)</f>
        <v/>
      </c>
      <c r="F15" s="11">
        <f>IFERROR(SUMIFS(Treaty_Data!$L$2:$L$701,Treaty_Data!$C$2:$C$701,$A15)/1000000/C15,0)</f>
        <v/>
      </c>
      <c r="G15" s="11">
        <f>E15+F15+$B$4</f>
        <v/>
      </c>
      <c r="H15" s="12">
        <f>COUNTIF(Treaty_Data!$C$2:$C$701,$A15)</f>
        <v/>
      </c>
    </row>
    <row r="16">
      <c r="A16" s="9" t="inlineStr">
        <is>
          <t>Unmapped</t>
        </is>
      </c>
      <c r="B16" s="10">
        <f>SUMIFS(Treaty_Data!$I$2:$I$701,Treaty_Data!$C$2:$C$701,$A16)/1000000</f>
        <v/>
      </c>
      <c r="C16" s="10">
        <f>SUMIFS(Treaty_Data!$K$2:$K$701,Treaty_Data!$C$2:$C$701,$A16)/1000000</f>
        <v/>
      </c>
      <c r="D16" s="10">
        <f>SUMIFS(Treaty_Data!$O$2:$O$701,Treaty_Data!$C$2:$C$701,$A16)/1000000</f>
        <v/>
      </c>
      <c r="E16" s="11">
        <f>IFERROR(D16/C16,0)</f>
        <v/>
      </c>
      <c r="F16" s="11">
        <f>IFERROR(SUMIFS(Treaty_Data!$L$2:$L$701,Treaty_Data!$C$2:$C$701,$A16)/1000000/C16,0)</f>
        <v/>
      </c>
      <c r="G16" s="11">
        <f>E16+F16+$B$4</f>
        <v/>
      </c>
      <c r="H16" s="12">
        <f>COUNTIF(Treaty_Data!$C$2:$C$701,$A16)</f>
        <v/>
      </c>
    </row>
    <row r="19">
      <c r="A19" s="4" t="inlineStr">
        <is>
          <t>Region</t>
        </is>
      </c>
      <c r="B19" s="4" t="inlineStr">
        <is>
          <t>GWP</t>
        </is>
      </c>
      <c r="C19" s="4" t="inlineStr">
        <is>
          <t>Earned</t>
        </is>
      </c>
      <c r="D19" s="4" t="inlineStr">
        <is>
          <t>Incurred</t>
        </is>
      </c>
      <c r="E19" s="4" t="inlineStr">
        <is>
          <t>Loss ratio</t>
        </is>
      </c>
      <c r="F19" s="4" t="inlineStr">
        <is>
          <t>Commission ratio</t>
        </is>
      </c>
      <c r="G19" s="4" t="inlineStr">
        <is>
          <t>Combined ratio</t>
        </is>
      </c>
      <c r="H19" s="4" t="inlineStr">
        <is>
          <t>Treaties</t>
        </is>
      </c>
    </row>
    <row r="20">
      <c r="A20" s="9" t="inlineStr">
        <is>
          <t>Asia Pacific</t>
        </is>
      </c>
      <c r="B20" s="10">
        <f>SUMIFS(Treaty_Data!$I$2:$I$701,Treaty_Data!$D$2:$D$701,$A20)/1000000</f>
        <v/>
      </c>
      <c r="C20" s="10">
        <f>SUMIFS(Treaty_Data!$K$2:$K$701,Treaty_Data!$D$2:$D$701,$A20)/1000000</f>
        <v/>
      </c>
      <c r="D20" s="10">
        <f>SUMIFS(Treaty_Data!$O$2:$O$701,Treaty_Data!$D$2:$D$701,$A20)/1000000</f>
        <v/>
      </c>
      <c r="E20" s="11">
        <f>IFERROR(D20/C20,0)</f>
        <v/>
      </c>
      <c r="F20" s="11">
        <f>IFERROR(SUMIFS(Treaty_Data!$L$2:$L$701,Treaty_Data!$D$2:$D$701,$A20)/1000000/C20,0)</f>
        <v/>
      </c>
      <c r="G20" s="11">
        <f>E20+F20+$B$4</f>
        <v/>
      </c>
      <c r="H20" s="12">
        <f>COUNTIF(Treaty_Data!$D$2:$D$701,$A20)</f>
        <v/>
      </c>
    </row>
    <row r="21">
      <c r="A21" s="9" t="inlineStr">
        <is>
          <t>Europe</t>
        </is>
      </c>
      <c r="B21" s="10">
        <f>SUMIFS(Treaty_Data!$I$2:$I$701,Treaty_Data!$D$2:$D$701,$A21)/1000000</f>
        <v/>
      </c>
      <c r="C21" s="10">
        <f>SUMIFS(Treaty_Data!$K$2:$K$701,Treaty_Data!$D$2:$D$701,$A21)/1000000</f>
        <v/>
      </c>
      <c r="D21" s="10">
        <f>SUMIFS(Treaty_Data!$O$2:$O$701,Treaty_Data!$D$2:$D$701,$A21)/1000000</f>
        <v/>
      </c>
      <c r="E21" s="11">
        <f>IFERROR(D21/C21,0)</f>
        <v/>
      </c>
      <c r="F21" s="11">
        <f>IFERROR(SUMIFS(Treaty_Data!$L$2:$L$701,Treaty_Data!$D$2:$D$701,$A21)/1000000/C21,0)</f>
        <v/>
      </c>
      <c r="G21" s="11">
        <f>E21+F21+$B$4</f>
        <v/>
      </c>
      <c r="H21" s="12">
        <f>COUNTIF(Treaty_Data!$D$2:$D$701,$A21)</f>
        <v/>
      </c>
    </row>
    <row r="22">
      <c r="A22" s="9" t="inlineStr">
        <is>
          <t>Latin America</t>
        </is>
      </c>
      <c r="B22" s="10">
        <f>SUMIFS(Treaty_Data!$I$2:$I$701,Treaty_Data!$D$2:$D$701,$A22)/1000000</f>
        <v/>
      </c>
      <c r="C22" s="10">
        <f>SUMIFS(Treaty_Data!$K$2:$K$701,Treaty_Data!$D$2:$D$701,$A22)/1000000</f>
        <v/>
      </c>
      <c r="D22" s="10">
        <f>SUMIFS(Treaty_Data!$O$2:$O$701,Treaty_Data!$D$2:$D$701,$A22)/1000000</f>
        <v/>
      </c>
      <c r="E22" s="11">
        <f>IFERROR(D22/C22,0)</f>
        <v/>
      </c>
      <c r="F22" s="11">
        <f>IFERROR(SUMIFS(Treaty_Data!$L$2:$L$701,Treaty_Data!$D$2:$D$701,$A22)/1000000/C22,0)</f>
        <v/>
      </c>
      <c r="G22" s="11">
        <f>E22+F22+$B$4</f>
        <v/>
      </c>
      <c r="H22" s="12">
        <f>COUNTIF(Treaty_Data!$D$2:$D$701,$A22)</f>
        <v/>
      </c>
    </row>
    <row r="23">
      <c r="A23" s="9" t="inlineStr">
        <is>
          <t>Middle East &amp; Africa</t>
        </is>
      </c>
      <c r="B23" s="10">
        <f>SUMIFS(Treaty_Data!$I$2:$I$701,Treaty_Data!$D$2:$D$701,$A23)/1000000</f>
        <v/>
      </c>
      <c r="C23" s="10">
        <f>SUMIFS(Treaty_Data!$K$2:$K$701,Treaty_Data!$D$2:$D$701,$A23)/1000000</f>
        <v/>
      </c>
      <c r="D23" s="10">
        <f>SUMIFS(Treaty_Data!$O$2:$O$701,Treaty_Data!$D$2:$D$701,$A23)/1000000</f>
        <v/>
      </c>
      <c r="E23" s="11">
        <f>IFERROR(D23/C23,0)</f>
        <v/>
      </c>
      <c r="F23" s="11">
        <f>IFERROR(SUMIFS(Treaty_Data!$L$2:$L$701,Treaty_Data!$D$2:$D$701,$A23)/1000000/C23,0)</f>
        <v/>
      </c>
      <c r="G23" s="11">
        <f>E23+F23+$B$4</f>
        <v/>
      </c>
      <c r="H23" s="12">
        <f>COUNTIF(Treaty_Data!$D$2:$D$701,$A23)</f>
        <v/>
      </c>
    </row>
    <row r="24">
      <c r="A24" s="9" t="inlineStr">
        <is>
          <t>North America</t>
        </is>
      </c>
      <c r="B24" s="10">
        <f>SUMIFS(Treaty_Data!$I$2:$I$701,Treaty_Data!$D$2:$D$701,$A24)/1000000</f>
        <v/>
      </c>
      <c r="C24" s="10">
        <f>SUMIFS(Treaty_Data!$K$2:$K$701,Treaty_Data!$D$2:$D$701,$A24)/1000000</f>
        <v/>
      </c>
      <c r="D24" s="10">
        <f>SUMIFS(Treaty_Data!$O$2:$O$701,Treaty_Data!$D$2:$D$701,$A24)/1000000</f>
        <v/>
      </c>
      <c r="E24" s="11">
        <f>IFERROR(D24/C24,0)</f>
        <v/>
      </c>
      <c r="F24" s="11">
        <f>IFERROR(SUMIFS(Treaty_Data!$L$2:$L$701,Treaty_Data!$D$2:$D$701,$A24)/1000000/C24,0)</f>
        <v/>
      </c>
      <c r="G24" s="11">
        <f>E24+F24+$B$4</f>
        <v/>
      </c>
      <c r="H24" s="12">
        <f>COUNTIF(Treaty_Data!$D$2:$D$701,$A24)</f>
        <v/>
      </c>
    </row>
    <row r="25">
      <c r="A25" s="9" t="inlineStr">
        <is>
          <t>Unassigned</t>
        </is>
      </c>
      <c r="B25" s="10">
        <f>SUMIFS(Treaty_Data!$I$2:$I$701,Treaty_Data!$D$2:$D$701,$A25)/1000000</f>
        <v/>
      </c>
      <c r="C25" s="10">
        <f>SUMIFS(Treaty_Data!$K$2:$K$701,Treaty_Data!$D$2:$D$701,$A25)/1000000</f>
        <v/>
      </c>
      <c r="D25" s="10">
        <f>SUMIFS(Treaty_Data!$O$2:$O$701,Treaty_Data!$D$2:$D$701,$A25)/1000000</f>
        <v/>
      </c>
      <c r="E25" s="11">
        <f>IFERROR(D25/C25,0)</f>
        <v/>
      </c>
      <c r="F25" s="11">
        <f>IFERROR(SUMIFS(Treaty_Data!$L$2:$L$701,Treaty_Data!$D$2:$D$701,$A25)/1000000/C25,0)</f>
        <v/>
      </c>
      <c r="G25" s="11">
        <f>E25+F25+$B$4</f>
        <v/>
      </c>
      <c r="H25" s="12">
        <f>COUNTIF(Treaty_Data!$D$2:$D$701,$A25)</f>
        <v/>
      </c>
    </row>
    <row r="28">
      <c r="A28" s="4" t="inlineStr">
        <is>
          <t>Underwriting year</t>
        </is>
      </c>
      <c r="B28" s="4" t="inlineStr">
        <is>
          <t>GWP</t>
        </is>
      </c>
      <c r="C28" s="4" t="inlineStr">
        <is>
          <t>Earned</t>
        </is>
      </c>
      <c r="D28" s="4" t="inlineStr">
        <is>
          <t>Incurred</t>
        </is>
      </c>
      <c r="E28" s="4" t="inlineStr">
        <is>
          <t>Loss ratio</t>
        </is>
      </c>
      <c r="F28" s="4" t="inlineStr">
        <is>
          <t>Commission ratio</t>
        </is>
      </c>
      <c r="G28" s="4" t="inlineStr">
        <is>
          <t>Combined ratio</t>
        </is>
      </c>
      <c r="H28" s="4" t="inlineStr">
        <is>
          <t>Treaties</t>
        </is>
      </c>
    </row>
    <row r="29">
      <c r="A29" s="9" t="n">
        <v>2021</v>
      </c>
      <c r="B29" s="10">
        <f>SUMIFS(Treaty_Data!$I$2:$I$701,Treaty_Data!$G$2:$G$701,$A29)/1000000</f>
        <v/>
      </c>
      <c r="C29" s="10">
        <f>SUMIFS(Treaty_Data!$K$2:$K$701,Treaty_Data!$G$2:$G$701,$A29)/1000000</f>
        <v/>
      </c>
      <c r="D29" s="10">
        <f>SUMIFS(Treaty_Data!$O$2:$O$701,Treaty_Data!$G$2:$G$701,$A29)/1000000</f>
        <v/>
      </c>
      <c r="E29" s="11">
        <f>IFERROR(D29/C29,0)</f>
        <v/>
      </c>
      <c r="F29" s="11">
        <f>IFERROR(SUMIFS(Treaty_Data!$L$2:$L$701,Treaty_Data!$G$2:$G$701,$A29)/1000000/C29,0)</f>
        <v/>
      </c>
      <c r="G29" s="11">
        <f>E29+F29+$B$4</f>
        <v/>
      </c>
      <c r="H29" s="12">
        <f>COUNTIF(Treaty_Data!$G$2:$G$701,$A29)</f>
        <v/>
      </c>
    </row>
    <row r="30">
      <c r="A30" s="9" t="n">
        <v>2022</v>
      </c>
      <c r="B30" s="10">
        <f>SUMIFS(Treaty_Data!$I$2:$I$701,Treaty_Data!$G$2:$G$701,$A30)/1000000</f>
        <v/>
      </c>
      <c r="C30" s="10">
        <f>SUMIFS(Treaty_Data!$K$2:$K$701,Treaty_Data!$G$2:$G$701,$A30)/1000000</f>
        <v/>
      </c>
      <c r="D30" s="10">
        <f>SUMIFS(Treaty_Data!$O$2:$O$701,Treaty_Data!$G$2:$G$701,$A30)/1000000</f>
        <v/>
      </c>
      <c r="E30" s="11">
        <f>IFERROR(D30/C30,0)</f>
        <v/>
      </c>
      <c r="F30" s="11">
        <f>IFERROR(SUMIFS(Treaty_Data!$L$2:$L$701,Treaty_Data!$G$2:$G$701,$A30)/1000000/C30,0)</f>
        <v/>
      </c>
      <c r="G30" s="11">
        <f>E30+F30+$B$4</f>
        <v/>
      </c>
      <c r="H30" s="12">
        <f>COUNTIF(Treaty_Data!$G$2:$G$701,$A30)</f>
        <v/>
      </c>
    </row>
    <row r="31">
      <c r="A31" s="9" t="n">
        <v>2023</v>
      </c>
      <c r="B31" s="10">
        <f>SUMIFS(Treaty_Data!$I$2:$I$701,Treaty_Data!$G$2:$G$701,$A31)/1000000</f>
        <v/>
      </c>
      <c r="C31" s="10">
        <f>SUMIFS(Treaty_Data!$K$2:$K$701,Treaty_Data!$G$2:$G$701,$A31)/1000000</f>
        <v/>
      </c>
      <c r="D31" s="10">
        <f>SUMIFS(Treaty_Data!$O$2:$O$701,Treaty_Data!$G$2:$G$701,$A31)/1000000</f>
        <v/>
      </c>
      <c r="E31" s="11">
        <f>IFERROR(D31/C31,0)</f>
        <v/>
      </c>
      <c r="F31" s="11">
        <f>IFERROR(SUMIFS(Treaty_Data!$L$2:$L$701,Treaty_Data!$G$2:$G$701,$A31)/1000000/C31,0)</f>
        <v/>
      </c>
      <c r="G31" s="11">
        <f>E31+F31+$B$4</f>
        <v/>
      </c>
      <c r="H31" s="12">
        <f>COUNTIF(Treaty_Data!$G$2:$G$701,$A31)</f>
        <v/>
      </c>
    </row>
    <row r="32">
      <c r="A32" s="9" t="n">
        <v>2024</v>
      </c>
      <c r="B32" s="10">
        <f>SUMIFS(Treaty_Data!$I$2:$I$701,Treaty_Data!$G$2:$G$701,$A32)/1000000</f>
        <v/>
      </c>
      <c r="C32" s="10">
        <f>SUMIFS(Treaty_Data!$K$2:$K$701,Treaty_Data!$G$2:$G$701,$A32)/1000000</f>
        <v/>
      </c>
      <c r="D32" s="10">
        <f>SUMIFS(Treaty_Data!$O$2:$O$701,Treaty_Data!$G$2:$G$701,$A32)/1000000</f>
        <v/>
      </c>
      <c r="E32" s="11">
        <f>IFERROR(D32/C32,0)</f>
        <v/>
      </c>
      <c r="F32" s="11">
        <f>IFERROR(SUMIFS(Treaty_Data!$L$2:$L$701,Treaty_Data!$G$2:$G$701,$A32)/1000000/C32,0)</f>
        <v/>
      </c>
      <c r="G32" s="11">
        <f>E32+F32+$B$4</f>
        <v/>
      </c>
      <c r="H32" s="12">
        <f>COUNTIF(Treaty_Data!$G$2:$G$701,$A32)</f>
        <v/>
      </c>
    </row>
    <row r="33">
      <c r="A33" s="9" t="n">
        <v>2025</v>
      </c>
      <c r="B33" s="10">
        <f>SUMIFS(Treaty_Data!$I$2:$I$701,Treaty_Data!$G$2:$G$701,$A33)/1000000</f>
        <v/>
      </c>
      <c r="C33" s="10">
        <f>SUMIFS(Treaty_Data!$K$2:$K$701,Treaty_Data!$G$2:$G$701,$A33)/1000000</f>
        <v/>
      </c>
      <c r="D33" s="10">
        <f>SUMIFS(Treaty_Data!$O$2:$O$701,Treaty_Data!$G$2:$G$701,$A33)/1000000</f>
        <v/>
      </c>
      <c r="E33" s="11">
        <f>IFERROR(D33/C33,0)</f>
        <v/>
      </c>
      <c r="F33" s="11">
        <f>IFERROR(SUMIFS(Treaty_Data!$L$2:$L$701,Treaty_Data!$G$2:$G$701,$A33)/1000000/C33,0)</f>
        <v/>
      </c>
      <c r="G33" s="11">
        <f>E33+F33+$B$4</f>
        <v/>
      </c>
      <c r="H33" s="12">
        <f>COUNTIF(Treaty_Data!$G$2:$G$701,$A33)</f>
        <v/>
      </c>
    </row>
    <row r="34">
      <c r="A34" s="9" t="n">
        <v>2026</v>
      </c>
      <c r="B34" s="10">
        <f>SUMIFS(Treaty_Data!$I$2:$I$701,Treaty_Data!$G$2:$G$701,$A34)/1000000</f>
        <v/>
      </c>
      <c r="C34" s="10">
        <f>SUMIFS(Treaty_Data!$K$2:$K$701,Treaty_Data!$G$2:$G$701,$A34)/1000000</f>
        <v/>
      </c>
      <c r="D34" s="10">
        <f>SUMIFS(Treaty_Data!$O$2:$O$701,Treaty_Data!$G$2:$G$701,$A34)/1000000</f>
        <v/>
      </c>
      <c r="E34" s="11">
        <f>IFERROR(D34/C34,0)</f>
        <v/>
      </c>
      <c r="F34" s="11">
        <f>IFERROR(SUMIFS(Treaty_Data!$L$2:$L$701,Treaty_Data!$G$2:$G$701,$A34)/1000000/C34,0)</f>
        <v/>
      </c>
      <c r="G34" s="11">
        <f>E34+F34+$B$4</f>
        <v/>
      </c>
      <c r="H34" s="12">
        <f>COUNTIF(Treaty_Data!$G$2:$G$701,$A34)</f>
        <v/>
      </c>
    </row>
  </sheetData>
  <conditionalFormatting sqref="G11:G16">
    <cfRule type="cellIs" priority="1" operator="greaterThan" dxfId="0">
      <formula>1</formula>
    </cfRule>
  </conditionalFormatting>
  <conditionalFormatting sqref="E11:E16">
    <cfRule type="dataBar" priority="2">
      <dataBar>
        <cfvo type="num" val="0"/>
        <cfvo type="num" val="1.2"/>
        <color rgb="007FA6BF"/>
      </dataBar>
    </cfRule>
  </conditionalFormatting>
  <conditionalFormatting sqref="G20:G25">
    <cfRule type="cellIs" priority="3" operator="greaterThan" dxfId="0">
      <formula>1</formula>
    </cfRule>
  </conditionalFormatting>
  <conditionalFormatting sqref="E20:E25">
    <cfRule type="dataBar" priority="4">
      <dataBar>
        <cfvo type="num" val="0"/>
        <cfvo type="num" val="1.2"/>
        <color rgb="007FA6BF"/>
      </dataBar>
    </cfRule>
  </conditionalFormatting>
  <conditionalFormatting sqref="G29:G34">
    <cfRule type="cellIs" priority="5" operator="greaterThan" dxfId="0">
      <formula>1</formula>
    </cfRule>
  </conditionalFormatting>
  <conditionalFormatting sqref="E29:E34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T0001</t>
        </is>
      </c>
      <c r="B2" s="9" t="inlineStr">
        <is>
          <t>Crown General</t>
        </is>
      </c>
      <c r="C2" s="9" t="inlineStr">
        <is>
          <t>Property</t>
        </is>
      </c>
      <c r="D2" s="9" t="inlineStr">
        <is>
          <t>North America</t>
        </is>
      </c>
      <c r="E2" s="9" t="inlineStr">
        <is>
          <t>Kenji Sato</t>
        </is>
      </c>
      <c r="F2" s="9" t="inlineStr">
        <is>
          <t>Excess of Loss</t>
        </is>
      </c>
      <c r="G2" s="9" t="n">
        <v>2024</v>
      </c>
      <c r="H2" s="12" t="n">
        <v>31700000</v>
      </c>
      <c r="I2" s="12" t="n">
        <v>2875045.8</v>
      </c>
      <c r="J2" s="12" t="n">
        <v>207034.32</v>
      </c>
      <c r="K2" s="12" t="n">
        <v>2875045.8</v>
      </c>
      <c r="L2" s="12" t="n">
        <v>297214.32</v>
      </c>
      <c r="M2" s="9" t="n">
        <v>6</v>
      </c>
      <c r="N2" s="12" t="n">
        <v>5309722.82</v>
      </c>
      <c r="O2" s="12" t="n">
        <v>5879710.43</v>
      </c>
      <c r="P2" s="12" t="n">
        <v>31700000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T0002</t>
        </is>
      </c>
      <c r="B3" s="9" t="inlineStr">
        <is>
          <t>Sterling Mutual</t>
        </is>
      </c>
      <c r="C3" s="9" t="inlineStr">
        <is>
          <t>Property</t>
        </is>
      </c>
      <c r="D3" s="9" t="inlineStr">
        <is>
          <t>Europe</t>
        </is>
      </c>
      <c r="E3" s="9" t="inlineStr">
        <is>
          <t>Hannah Weber</t>
        </is>
      </c>
      <c r="F3" s="9" t="inlineStr">
        <is>
          <t>Proportional</t>
        </is>
      </c>
      <c r="G3" s="9" t="n">
        <v>2026</v>
      </c>
      <c r="H3" s="12" t="n">
        <v>5700000.004600001</v>
      </c>
      <c r="I3" s="12" t="n">
        <v>332113.0645</v>
      </c>
      <c r="J3" s="12" t="n">
        <v>39542.8089</v>
      </c>
      <c r="K3" s="12" t="n">
        <v>284668.341</v>
      </c>
      <c r="L3" s="12" t="n">
        <v>89275.99620000001</v>
      </c>
      <c r="M3" s="9" t="n">
        <v>4</v>
      </c>
      <c r="N3" s="12" t="n">
        <v>41099.4098</v>
      </c>
      <c r="O3" s="12" t="n">
        <v>181769.5628</v>
      </c>
      <c r="P3" s="12" t="n">
        <v>570000.003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T0003</t>
        </is>
      </c>
      <c r="B4" s="9" t="inlineStr">
        <is>
          <t>Meridian Assurance</t>
        </is>
      </c>
      <c r="C4" s="9" t="inlineStr">
        <is>
          <t>Financial Lines</t>
        </is>
      </c>
      <c r="D4" s="9" t="inlineStr">
        <is>
          <t>Europe</t>
        </is>
      </c>
      <c r="E4" s="9" t="inlineStr">
        <is>
          <t>Priya Nair</t>
        </is>
      </c>
      <c r="F4" s="9" t="inlineStr">
        <is>
          <t>Proportional</t>
        </is>
      </c>
      <c r="G4" s="9" t="n">
        <v>2021</v>
      </c>
      <c r="H4" s="12" t="n">
        <v>12099999.996</v>
      </c>
      <c r="I4" s="12" t="n">
        <v>1175959.944</v>
      </c>
      <c r="J4" s="12" t="n">
        <v>96544.3536</v>
      </c>
      <c r="K4" s="12" t="n">
        <v>1175959.944</v>
      </c>
      <c r="L4" s="12" t="n">
        <v>339393.3696</v>
      </c>
      <c r="M4" s="9" t="n">
        <v>7</v>
      </c>
      <c r="N4" s="12" t="n">
        <v>1037174.5548</v>
      </c>
      <c r="O4" s="12" t="n">
        <v>1037174.5548</v>
      </c>
      <c r="P4" s="12" t="n">
        <v>4839999.998400001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T0004</t>
        </is>
      </c>
      <c r="B5" s="9" t="inlineStr">
        <is>
          <t>Northwind General</t>
        </is>
      </c>
      <c r="C5" s="9" t="inlineStr">
        <is>
          <t>Property</t>
        </is>
      </c>
      <c r="D5" s="9" t="inlineStr">
        <is>
          <t>Asia Pacific</t>
        </is>
      </c>
      <c r="E5" s="9" t="inlineStr">
        <is>
          <t>Omar Haddad</t>
        </is>
      </c>
      <c r="F5" s="9" t="inlineStr">
        <is>
          <t>Proportional</t>
        </is>
      </c>
      <c r="G5" s="9" t="n">
        <v>2026</v>
      </c>
      <c r="H5" s="12" t="n">
        <v>22899999.99996</v>
      </c>
      <c r="I5" s="12" t="n">
        <v>1032836.38416</v>
      </c>
      <c r="J5" s="12" t="n">
        <v>99769.85844</v>
      </c>
      <c r="K5" s="12" t="n">
        <v>968898.8937600001</v>
      </c>
      <c r="L5" s="12" t="n">
        <v>240665.6134319228</v>
      </c>
      <c r="M5" s="9" t="n">
        <v>5</v>
      </c>
      <c r="N5" s="12" t="n">
        <v>137988.10416</v>
      </c>
      <c r="O5" s="12" t="n">
        <v>300765.65328</v>
      </c>
      <c r="P5" s="12" t="n">
        <v>4580000.00004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T0005</t>
        </is>
      </c>
      <c r="B6" s="9" t="inlineStr">
        <is>
          <t>Harbor Insurance</t>
        </is>
      </c>
      <c r="C6" s="9" t="inlineStr">
        <is>
          <t>Property</t>
        </is>
      </c>
      <c r="D6" s="9" t="inlineStr">
        <is>
          <t>North America</t>
        </is>
      </c>
      <c r="E6" s="9" t="inlineStr">
        <is>
          <t>Aarav Mehta</t>
        </is>
      </c>
      <c r="F6" s="9" t="inlineStr">
        <is>
          <t>Proportional</t>
        </is>
      </c>
      <c r="G6" s="9" t="n">
        <v>2025</v>
      </c>
      <c r="H6" s="12" t="n">
        <v>9200000</v>
      </c>
      <c r="I6" s="12" t="n">
        <v>705032.46</v>
      </c>
      <c r="J6" s="12" t="n">
        <v>37801.06</v>
      </c>
      <c r="K6" s="12" t="n">
        <v>681531.38</v>
      </c>
      <c r="L6" s="12" t="n">
        <v>163445.1798129743</v>
      </c>
      <c r="M6" s="9" t="n">
        <v>11</v>
      </c>
      <c r="N6" s="12" t="n">
        <v>255579.6</v>
      </c>
      <c r="O6" s="12" t="n">
        <v>1024578.94</v>
      </c>
      <c r="P6" s="12" t="n">
        <v>920000</v>
      </c>
      <c r="Q6" s="9" t="inlineStr">
        <is>
          <t>Low</t>
        </is>
      </c>
      <c r="R6" s="11">
        <f>IFERROR(O6/K6,0)</f>
        <v/>
      </c>
    </row>
    <row r="7">
      <c r="A7" s="9" t="inlineStr">
        <is>
          <t>T0006</t>
        </is>
      </c>
      <c r="B7" s="9" t="inlineStr">
        <is>
          <t>Northwind Indemnity</t>
        </is>
      </c>
      <c r="C7" s="9" t="inlineStr">
        <is>
          <t>Professional</t>
        </is>
      </c>
      <c r="D7" s="9" t="inlineStr">
        <is>
          <t>North America</t>
        </is>
      </c>
      <c r="E7" s="9" t="inlineStr">
        <is>
          <t>Kenji Sato</t>
        </is>
      </c>
      <c r="F7" s="9" t="inlineStr">
        <is>
          <t>Proportional</t>
        </is>
      </c>
      <c r="G7" s="9" t="n">
        <v>2022</v>
      </c>
      <c r="H7" s="12" t="n">
        <v>2700000</v>
      </c>
      <c r="I7" s="12" t="n">
        <v>200000.04</v>
      </c>
      <c r="J7" s="12" t="n">
        <v>12825</v>
      </c>
      <c r="K7" s="12" t="n">
        <v>200000.04</v>
      </c>
      <c r="L7" s="12" t="n">
        <v>59442.12</v>
      </c>
      <c r="M7" s="9" t="n">
        <v>6</v>
      </c>
      <c r="N7" s="12" t="n">
        <v>57401.98</v>
      </c>
      <c r="O7" s="12" t="n">
        <v>59542.92</v>
      </c>
      <c r="P7" s="12" t="n">
        <v>810000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T0007</t>
        </is>
      </c>
      <c r="B8" s="9" t="inlineStr">
        <is>
          <t>Meridian Mutual</t>
        </is>
      </c>
      <c r="C8" s="9" t="inlineStr">
        <is>
          <t>Casualty</t>
        </is>
      </c>
      <c r="D8" s="9" t="inlineStr">
        <is>
          <t>North America</t>
        </is>
      </c>
      <c r="E8" s="9" t="inlineStr">
        <is>
          <t>Hannah Weber</t>
        </is>
      </c>
      <c r="F8" s="9" t="inlineStr">
        <is>
          <t>Proportional</t>
        </is>
      </c>
      <c r="G8" s="9" t="n">
        <v>2025</v>
      </c>
      <c r="H8" s="12" t="n">
        <v>8000000</v>
      </c>
      <c r="I8" s="12" t="n">
        <v>687072</v>
      </c>
      <c r="J8" s="12" t="n">
        <v>36974.76</v>
      </c>
      <c r="K8" s="12" t="n">
        <v>687072</v>
      </c>
      <c r="L8" s="12" t="n">
        <v>164419.2</v>
      </c>
      <c r="M8" s="9" t="n">
        <v>10</v>
      </c>
      <c r="N8" s="12" t="n">
        <v>90518.16</v>
      </c>
      <c r="O8" s="12" t="n">
        <v>523403.64</v>
      </c>
      <c r="P8" s="12" t="n">
        <v>2400000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T0008</t>
        </is>
      </c>
      <c r="B9" s="9" t="inlineStr">
        <is>
          <t>Northwind Indemnity</t>
        </is>
      </c>
      <c r="C9" s="9" t="inlineStr">
        <is>
          <t>Property</t>
        </is>
      </c>
      <c r="D9" s="9" t="inlineStr">
        <is>
          <t>North America</t>
        </is>
      </c>
      <c r="E9" s="9" t="inlineStr">
        <is>
          <t>Aarav Mehta</t>
        </is>
      </c>
      <c r="F9" s="9" t="inlineStr">
        <is>
          <t>Proportional</t>
        </is>
      </c>
      <c r="G9" s="9" t="n">
        <v>2025</v>
      </c>
      <c r="H9" s="12" t="n">
        <v>2000000</v>
      </c>
      <c r="I9" s="12" t="n">
        <v>295289.88</v>
      </c>
      <c r="J9" s="12" t="n">
        <v>26596.44</v>
      </c>
      <c r="K9" s="12" t="n">
        <v>295289.88</v>
      </c>
      <c r="L9" s="12" t="n">
        <v>93903</v>
      </c>
      <c r="M9" s="9" t="n">
        <v>6</v>
      </c>
      <c r="N9" s="12" t="n">
        <v>147757.78</v>
      </c>
      <c r="O9" s="12" t="n">
        <v>184973.04</v>
      </c>
      <c r="P9" s="12" t="n">
        <v>400000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T0009</t>
        </is>
      </c>
      <c r="B10" s="9" t="inlineStr">
        <is>
          <t>Crown Mutual</t>
        </is>
      </c>
      <c r="C10" s="9" t="inlineStr">
        <is>
          <t>Financial Lines</t>
        </is>
      </c>
      <c r="D10" s="9" t="inlineStr">
        <is>
          <t>North America</t>
        </is>
      </c>
      <c r="E10" s="9" t="inlineStr">
        <is>
          <t>Carlos Ibarra</t>
        </is>
      </c>
      <c r="F10" s="9" t="inlineStr">
        <is>
          <t>Excess of Loss</t>
        </is>
      </c>
      <c r="G10" s="9" t="n">
        <v>2023</v>
      </c>
      <c r="H10" s="12" t="n">
        <v>46700000</v>
      </c>
      <c r="I10" s="12" t="n">
        <v>3468115.2</v>
      </c>
      <c r="J10" s="12" t="n">
        <v>202347.96</v>
      </c>
      <c r="K10" s="12" t="n">
        <v>3468115.2</v>
      </c>
      <c r="L10" s="12" t="n">
        <v>271492.44</v>
      </c>
      <c r="M10" s="9" t="n">
        <v>9</v>
      </c>
      <c r="N10" s="12" t="n">
        <v>1720988.05</v>
      </c>
      <c r="O10" s="12" t="n">
        <v>2077657.36</v>
      </c>
      <c r="P10" s="12" t="n">
        <v>46700000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T0010</t>
        </is>
      </c>
      <c r="B11" s="9" t="inlineStr">
        <is>
          <t>Granite Assurance</t>
        </is>
      </c>
      <c r="C11" s="9" t="inlineStr">
        <is>
          <t>Property</t>
        </is>
      </c>
      <c r="D11" s="9" t="inlineStr">
        <is>
          <t>Asia Pacific</t>
        </is>
      </c>
      <c r="E11" s="9" t="inlineStr">
        <is>
          <t>Priya Nair</t>
        </is>
      </c>
      <c r="F11" s="9" t="inlineStr">
        <is>
          <t>Excess of Loss</t>
        </is>
      </c>
      <c r="G11" s="9" t="n">
        <v>2023</v>
      </c>
      <c r="H11" s="12" t="n">
        <v>16200000</v>
      </c>
      <c r="I11" s="12" t="n">
        <v>1858151.28</v>
      </c>
      <c r="J11" s="12" t="n">
        <v>97597.92</v>
      </c>
      <c r="K11" s="12" t="n">
        <v>1858151.28</v>
      </c>
      <c r="L11" s="12" t="n">
        <v>169428.96</v>
      </c>
      <c r="M11" s="9" t="n">
        <v>15</v>
      </c>
      <c r="N11" s="12" t="n">
        <v>490576.76</v>
      </c>
      <c r="O11" s="12" t="n">
        <v>545775.98</v>
      </c>
      <c r="P11" s="12" t="n">
        <v>16200000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T0011</t>
        </is>
      </c>
      <c r="B12" s="9" t="inlineStr">
        <is>
          <t>Pioneer Insurance</t>
        </is>
      </c>
      <c r="C12" s="9" t="inlineStr">
        <is>
          <t>Casualty</t>
        </is>
      </c>
      <c r="D12" s="9" t="inlineStr">
        <is>
          <t>Europe</t>
        </is>
      </c>
      <c r="E12" s="9" t="inlineStr">
        <is>
          <t>Carlos Ibarra</t>
        </is>
      </c>
      <c r="F12" s="9" t="inlineStr">
        <is>
          <t>Excess of Loss</t>
        </is>
      </c>
      <c r="G12" s="9" t="n">
        <v>2022</v>
      </c>
      <c r="H12" s="12" t="n">
        <v>20400000.0012</v>
      </c>
      <c r="I12" s="12" t="n">
        <v>1881415.512</v>
      </c>
      <c r="J12" s="12" t="n">
        <v>150888.096</v>
      </c>
      <c r="K12" s="12" t="n">
        <v>1881415.512</v>
      </c>
      <c r="L12" s="12" t="n">
        <v>197774.9136</v>
      </c>
      <c r="M12" s="9" t="n">
        <v>10</v>
      </c>
      <c r="N12" s="12" t="n">
        <v>1592613.1224</v>
      </c>
      <c r="O12" s="12" t="n">
        <v>1633416.03</v>
      </c>
      <c r="P12" s="12" t="n">
        <v>20400000.0012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T0012</t>
        </is>
      </c>
      <c r="B13" s="9" t="inlineStr">
        <is>
          <t>Northwind Insurance</t>
        </is>
      </c>
      <c r="C13" s="9" t="inlineStr">
        <is>
          <t>Casualty</t>
        </is>
      </c>
      <c r="D13" s="9" t="inlineStr">
        <is>
          <t>North America</t>
        </is>
      </c>
      <c r="E13" s="9" t="inlineStr">
        <is>
          <t>Hannah Weber</t>
        </is>
      </c>
      <c r="F13" s="9" t="inlineStr">
        <is>
          <t>Facultative</t>
        </is>
      </c>
      <c r="G13" s="9" t="n">
        <v>2024</v>
      </c>
      <c r="H13" s="12" t="n">
        <v>14400000</v>
      </c>
      <c r="I13" s="12" t="n">
        <v>1513257.12</v>
      </c>
      <c r="J13" s="12" t="n">
        <v>128006.28</v>
      </c>
      <c r="K13" s="12" t="n">
        <v>1513257.12</v>
      </c>
      <c r="L13" s="12" t="n">
        <v>287509.08</v>
      </c>
      <c r="M13" s="9" t="n">
        <v>7</v>
      </c>
      <c r="N13" s="12" t="n">
        <v>176352.63</v>
      </c>
      <c r="O13" s="12" t="n">
        <v>815068.5999999999</v>
      </c>
      <c r="P13" s="12" t="n">
        <v>14400000</v>
      </c>
      <c r="Q13" s="9" t="inlineStr">
        <is>
          <t>Low</t>
        </is>
      </c>
      <c r="R13" s="11">
        <f>IFERROR(O13/K13,0)</f>
        <v/>
      </c>
    </row>
    <row r="14">
      <c r="A14" s="9" t="inlineStr">
        <is>
          <t>T0013</t>
        </is>
      </c>
      <c r="B14" s="9" t="inlineStr">
        <is>
          <t>Crown General</t>
        </is>
      </c>
      <c r="C14" s="9" t="inlineStr">
        <is>
          <t>Property</t>
        </is>
      </c>
      <c r="D14" s="9" t="inlineStr">
        <is>
          <t>North America</t>
        </is>
      </c>
      <c r="E14" s="9" t="inlineStr">
        <is>
          <t>Hannah Weber</t>
        </is>
      </c>
      <c r="F14" s="9" t="inlineStr">
        <is>
          <t>Proportional</t>
        </is>
      </c>
      <c r="G14" s="9" t="n">
        <v>2025</v>
      </c>
      <c r="H14" s="12" t="n">
        <v>7200000</v>
      </c>
      <c r="I14" s="12" t="n">
        <v>1097638.2</v>
      </c>
      <c r="J14" s="12" t="n">
        <v>83484.48</v>
      </c>
      <c r="K14" s="12" t="n">
        <v>1015315.34</v>
      </c>
      <c r="L14" s="12" t="n">
        <v>255239.3952569464</v>
      </c>
      <c r="M14" s="9" t="n">
        <v>14</v>
      </c>
      <c r="N14" s="12" t="n">
        <v>150019.46</v>
      </c>
      <c r="O14" s="12" t="n">
        <v>538289.34</v>
      </c>
      <c r="P14" s="12" t="n">
        <v>720000</v>
      </c>
      <c r="Q14" s="9" t="inlineStr">
        <is>
          <t>Low</t>
        </is>
      </c>
      <c r="R14" s="11">
        <f>IFERROR(O14/K14,0)</f>
        <v/>
      </c>
    </row>
    <row r="15">
      <c r="A15" s="9" t="inlineStr">
        <is>
          <t>T0014</t>
        </is>
      </c>
      <c r="B15" s="9" t="inlineStr">
        <is>
          <t>Crown Mutual</t>
        </is>
      </c>
      <c r="C15" s="9" t="inlineStr">
        <is>
          <t>Specialty</t>
        </is>
      </c>
      <c r="D15" s="9" t="inlineStr">
        <is>
          <t>North America</t>
        </is>
      </c>
      <c r="E15" s="9" t="inlineStr">
        <is>
          <t>Kenji Sato</t>
        </is>
      </c>
      <c r="F15" s="9" t="inlineStr">
        <is>
          <t>Facultative</t>
        </is>
      </c>
      <c r="G15" s="9" t="n">
        <v>2021</v>
      </c>
      <c r="H15" s="12" t="n">
        <v>2800000</v>
      </c>
      <c r="I15" s="12" t="n">
        <v>200000.04</v>
      </c>
      <c r="J15" s="12" t="n">
        <v>18972.48</v>
      </c>
      <c r="K15" s="12" t="n">
        <v>200000.04</v>
      </c>
      <c r="L15" s="12" t="n">
        <v>33109.68</v>
      </c>
      <c r="M15" s="9" t="n">
        <v>4</v>
      </c>
      <c r="N15" s="12" t="n">
        <v>47978.12</v>
      </c>
      <c r="O15" s="12" t="n">
        <v>51543.52</v>
      </c>
      <c r="P15" s="12" t="n">
        <v>2800000</v>
      </c>
      <c r="Q15" s="9" t="inlineStr">
        <is>
          <t>Low</t>
        </is>
      </c>
      <c r="R15" s="11">
        <f>IFERROR(O15/K15,0)</f>
        <v/>
      </c>
    </row>
    <row r="16">
      <c r="A16" s="9" t="inlineStr">
        <is>
          <t>T0015</t>
        </is>
      </c>
      <c r="B16" s="9" t="inlineStr">
        <is>
          <t>Granite General</t>
        </is>
      </c>
      <c r="C16" s="9" t="inlineStr">
        <is>
          <t>Property</t>
        </is>
      </c>
      <c r="D16" s="9" t="inlineStr">
        <is>
          <t>Asia Pacific</t>
        </is>
      </c>
      <c r="E16" s="9" t="inlineStr">
        <is>
          <t>Kenji Sato</t>
        </is>
      </c>
      <c r="F16" s="9" t="inlineStr">
        <is>
          <t>Proportional</t>
        </is>
      </c>
      <c r="G16" s="9" t="n">
        <v>2024</v>
      </c>
      <c r="H16" s="12" t="n">
        <v>34300000</v>
      </c>
      <c r="I16" s="12" t="n">
        <v>2470818.24</v>
      </c>
      <c r="J16" s="12" t="n">
        <v>201068.28</v>
      </c>
      <c r="K16" s="12" t="n">
        <v>2470818.24</v>
      </c>
      <c r="L16" s="12" t="n">
        <v>680949.96</v>
      </c>
      <c r="M16" s="9" t="n">
        <v>9</v>
      </c>
      <c r="N16" s="12" t="n">
        <v>1972769.76</v>
      </c>
      <c r="O16" s="12" t="n">
        <v>2008666.04</v>
      </c>
      <c r="P16" s="12" t="n">
        <v>6860000</v>
      </c>
      <c r="Q16" s="9" t="inlineStr">
        <is>
          <t>Low</t>
        </is>
      </c>
      <c r="R16" s="11">
        <f>IFERROR(O16/K16,0)</f>
        <v/>
      </c>
    </row>
    <row r="17">
      <c r="A17" s="9" t="inlineStr">
        <is>
          <t>T0016</t>
        </is>
      </c>
      <c r="B17" s="9" t="inlineStr">
        <is>
          <t>Pioneer Indemnity</t>
        </is>
      </c>
      <c r="C17" s="9" t="inlineStr">
        <is>
          <t>Property</t>
        </is>
      </c>
      <c r="D17" s="9" t="inlineStr">
        <is>
          <t>Latin America</t>
        </is>
      </c>
      <c r="E17" s="9" t="inlineStr">
        <is>
          <t>Sophie Laurent</t>
        </is>
      </c>
      <c r="F17" s="9" t="inlineStr">
        <is>
          <t>Proportional</t>
        </is>
      </c>
      <c r="G17" s="9" t="n">
        <v>2025</v>
      </c>
      <c r="H17" s="12" t="n">
        <v>35100000</v>
      </c>
      <c r="I17" s="12" t="n">
        <v>4852389.08</v>
      </c>
      <c r="J17" s="12" t="n">
        <v>441815.66</v>
      </c>
      <c r="K17" s="12" t="n">
        <v>4852389.08</v>
      </c>
      <c r="L17" s="12" t="n">
        <v>1507687.61</v>
      </c>
      <c r="M17" s="9" t="n">
        <v>6</v>
      </c>
      <c r="N17" s="12" t="n">
        <v>2853297.25</v>
      </c>
      <c r="O17" s="12" t="n">
        <v>3154948.06</v>
      </c>
      <c r="P17" s="12" t="n">
        <v>8775000</v>
      </c>
      <c r="Q17" s="9" t="inlineStr">
        <is>
          <t>Low</t>
        </is>
      </c>
      <c r="R17" s="11">
        <f>IFERROR(O17/K17,0)</f>
        <v/>
      </c>
    </row>
    <row r="18">
      <c r="A18" s="9" t="inlineStr">
        <is>
          <t>T0017</t>
        </is>
      </c>
      <c r="B18" s="9" t="inlineStr">
        <is>
          <t>Sterling Indemnity</t>
        </is>
      </c>
      <c r="C18" s="9" t="inlineStr">
        <is>
          <t>Property</t>
        </is>
      </c>
      <c r="D18" s="9" t="inlineStr">
        <is>
          <t>Europe</t>
        </is>
      </c>
      <c r="E18" s="9" t="inlineStr">
        <is>
          <t>Hannah Weber</t>
        </is>
      </c>
      <c r="F18" s="9" t="inlineStr">
        <is>
          <t>Excess of Loss</t>
        </is>
      </c>
      <c r="G18" s="9" t="n">
        <v>2022</v>
      </c>
      <c r="H18" s="12" t="n">
        <v>7499999.995200001</v>
      </c>
      <c r="I18" s="12" t="n">
        <v>693625.6800000001</v>
      </c>
      <c r="J18" s="12" t="n">
        <v>51114.62880000001</v>
      </c>
      <c r="K18" s="12" t="n">
        <v>693625.6800000001</v>
      </c>
      <c r="L18" s="12" t="n">
        <v>37502.6112</v>
      </c>
      <c r="M18" s="9" t="n">
        <v>7</v>
      </c>
      <c r="N18" s="12" t="n">
        <v>133571.2464</v>
      </c>
      <c r="O18" s="12" t="n">
        <v>133571.2464</v>
      </c>
      <c r="P18" s="12" t="n">
        <v>7499999.995200001</v>
      </c>
      <c r="Q18" s="9" t="inlineStr">
        <is>
          <t>Low</t>
        </is>
      </c>
      <c r="R18" s="11">
        <f>IFERROR(O18/K18,0)</f>
        <v/>
      </c>
    </row>
    <row r="19">
      <c r="A19" s="9" t="inlineStr">
        <is>
          <t>T0018</t>
        </is>
      </c>
      <c r="B19" s="9" t="inlineStr">
        <is>
          <t>Orion Indemnity</t>
        </is>
      </c>
      <c r="C19" s="9" t="inlineStr">
        <is>
          <t>Casualty</t>
        </is>
      </c>
      <c r="D19" s="9" t="inlineStr">
        <is>
          <t>Unassigned</t>
        </is>
      </c>
      <c r="E19" s="9" t="inlineStr">
        <is>
          <t>Kenji Sato</t>
        </is>
      </c>
      <c r="F19" s="9" t="inlineStr">
        <is>
          <t>Excess of Loss</t>
        </is>
      </c>
      <c r="G19" s="9" t="n">
        <v>2025</v>
      </c>
      <c r="H19" s="12" t="n">
        <v>104100000</v>
      </c>
      <c r="I19" s="12" t="n">
        <v>7895433.48</v>
      </c>
      <c r="J19" s="12" t="n">
        <v>452791.92</v>
      </c>
      <c r="K19" s="12" t="n">
        <v>7895433.48</v>
      </c>
      <c r="L19" s="12" t="n">
        <v>583009.5599999999</v>
      </c>
      <c r="M19" s="9" t="n">
        <v>12</v>
      </c>
      <c r="N19" s="12" t="n">
        <v>2103065.89</v>
      </c>
      <c r="O19" s="12" t="n">
        <v>2511377.62</v>
      </c>
      <c r="P19" s="12" t="n">
        <v>104100000</v>
      </c>
      <c r="Q19" s="9" t="inlineStr">
        <is>
          <t>Low</t>
        </is>
      </c>
      <c r="R19" s="11">
        <f>IFERROR(O19/K19,0)</f>
        <v/>
      </c>
    </row>
    <row r="20">
      <c r="A20" s="9" t="inlineStr">
        <is>
          <t>T0019</t>
        </is>
      </c>
      <c r="B20" s="9" t="inlineStr">
        <is>
          <t>Pioneer Indemnity</t>
        </is>
      </c>
      <c r="C20" s="9" t="inlineStr">
        <is>
          <t>Financial Lines</t>
        </is>
      </c>
      <c r="D20" s="9" t="inlineStr">
        <is>
          <t>Latin America</t>
        </is>
      </c>
      <c r="E20" s="9" t="inlineStr">
        <is>
          <t>Sophie Laurent</t>
        </is>
      </c>
      <c r="F20" s="9" t="inlineStr">
        <is>
          <t>Proportional</t>
        </is>
      </c>
      <c r="G20" s="9" t="n">
        <v>2024</v>
      </c>
      <c r="H20" s="12" t="n">
        <v>3800000</v>
      </c>
      <c r="I20" s="12" t="n">
        <v>730349.04</v>
      </c>
      <c r="J20" s="12" t="n">
        <v>36891.36</v>
      </c>
      <c r="K20" s="12" t="n">
        <v>730349.04</v>
      </c>
      <c r="L20" s="12" t="n">
        <v>228413.76</v>
      </c>
      <c r="M20" s="9" t="n">
        <v>9</v>
      </c>
      <c r="N20" s="12" t="n">
        <v>185729.33</v>
      </c>
      <c r="O20" s="12" t="n">
        <v>226767.47</v>
      </c>
      <c r="P20" s="12" t="n">
        <v>760000</v>
      </c>
      <c r="Q20" s="9" t="inlineStr">
        <is>
          <t>Low</t>
        </is>
      </c>
      <c r="R20" s="11">
        <f>IFERROR(O20/K20,0)</f>
        <v/>
      </c>
    </row>
    <row r="21">
      <c r="A21" s="9" t="inlineStr">
        <is>
          <t>T0020</t>
        </is>
      </c>
      <c r="B21" s="9" t="inlineStr">
        <is>
          <t>Orion General</t>
        </is>
      </c>
      <c r="C21" s="9" t="inlineStr">
        <is>
          <t>Professional</t>
        </is>
      </c>
      <c r="D21" s="9" t="inlineStr">
        <is>
          <t>North America</t>
        </is>
      </c>
      <c r="E21" s="9" t="inlineStr">
        <is>
          <t>Omar Haddad</t>
        </is>
      </c>
      <c r="F21" s="9" t="inlineStr">
        <is>
          <t>Excess of Loss</t>
        </is>
      </c>
      <c r="G21" s="9" t="n">
        <v>2024</v>
      </c>
      <c r="H21" s="12" t="n">
        <v>51700000</v>
      </c>
      <c r="I21" s="12" t="n">
        <v>3995701.05</v>
      </c>
      <c r="J21" s="12" t="n">
        <v>442228.6</v>
      </c>
      <c r="K21" s="12" t="n">
        <v>3995701.05</v>
      </c>
      <c r="L21" s="12" t="n">
        <v>469194.33</v>
      </c>
      <c r="M21" s="9" t="n">
        <v>2</v>
      </c>
      <c r="N21" s="12" t="n">
        <v>1422984.84</v>
      </c>
      <c r="O21" s="12" t="n">
        <v>2879587.82</v>
      </c>
      <c r="P21" s="12" t="n">
        <v>51700000</v>
      </c>
      <c r="Q21" s="9" t="inlineStr">
        <is>
          <t>Low</t>
        </is>
      </c>
      <c r="R21" s="11">
        <f>IFERROR(O21/K21,0)</f>
        <v/>
      </c>
    </row>
    <row r="22">
      <c r="A22" s="9" t="inlineStr">
        <is>
          <t>T0021</t>
        </is>
      </c>
      <c r="B22" s="9" t="inlineStr">
        <is>
          <t>Crown General</t>
        </is>
      </c>
      <c r="C22" s="9" t="inlineStr">
        <is>
          <t>Professional</t>
        </is>
      </c>
      <c r="D22" s="9" t="inlineStr">
        <is>
          <t>North America</t>
        </is>
      </c>
      <c r="E22" s="9" t="inlineStr">
        <is>
          <t>Carlos Ibarra</t>
        </is>
      </c>
      <c r="F22" s="9" t="inlineStr">
        <is>
          <t>Facultative</t>
        </is>
      </c>
      <c r="G22" s="9" t="n">
        <v>2023</v>
      </c>
      <c r="H22" s="12" t="n">
        <v>23700000</v>
      </c>
      <c r="I22" s="12" t="n">
        <v>1710188.04</v>
      </c>
      <c r="J22" s="12" t="n">
        <v>100338.24</v>
      </c>
      <c r="K22" s="12" t="n">
        <v>1710188.04</v>
      </c>
      <c r="L22" s="12" t="n">
        <v>319271.04</v>
      </c>
      <c r="M22" s="9" t="n">
        <v>10</v>
      </c>
      <c r="N22" s="12" t="n">
        <v>709444.46</v>
      </c>
      <c r="O22" s="12" t="n">
        <v>791291.48</v>
      </c>
      <c r="P22" s="12" t="n">
        <v>23700000</v>
      </c>
      <c r="Q22" s="9" t="inlineStr">
        <is>
          <t>Low</t>
        </is>
      </c>
      <c r="R22" s="11">
        <f>IFERROR(O22/K22,0)</f>
        <v/>
      </c>
    </row>
    <row r="23">
      <c r="A23" s="9" t="inlineStr">
        <is>
          <t>T0022</t>
        </is>
      </c>
      <c r="B23" s="9" t="inlineStr">
        <is>
          <t>Northwind Mutual</t>
        </is>
      </c>
      <c r="C23" s="9" t="inlineStr">
        <is>
          <t>Professional</t>
        </is>
      </c>
      <c r="D23" s="9" t="inlineStr">
        <is>
          <t>Asia Pacific</t>
        </is>
      </c>
      <c r="E23" s="9" t="inlineStr">
        <is>
          <t>Omar Haddad</t>
        </is>
      </c>
      <c r="F23" s="9" t="inlineStr">
        <is>
          <t>Facultative</t>
        </is>
      </c>
      <c r="G23" s="9" t="n">
        <v>2024</v>
      </c>
      <c r="H23" s="12" t="n">
        <v>15000000</v>
      </c>
      <c r="I23" s="12" t="n">
        <v>1719241.14528</v>
      </c>
      <c r="J23" s="12" t="n">
        <v>197247.01824</v>
      </c>
      <c r="K23" s="12" t="n">
        <v>1719241.14528</v>
      </c>
      <c r="L23" s="12" t="n">
        <v>265177.4112</v>
      </c>
      <c r="M23" s="9" t="n">
        <v>4</v>
      </c>
      <c r="N23" s="12" t="n">
        <v>1398201.80568</v>
      </c>
      <c r="O23" s="12" t="n">
        <v>1464519.76716</v>
      </c>
      <c r="P23" s="12" t="n">
        <v>15000000</v>
      </c>
      <c r="Q23" s="9" t="inlineStr">
        <is>
          <t>Low</t>
        </is>
      </c>
      <c r="R23" s="11">
        <f>IFERROR(O23/K23,0)</f>
        <v/>
      </c>
    </row>
    <row r="24">
      <c r="A24" s="9" t="inlineStr">
        <is>
          <t>T0023</t>
        </is>
      </c>
      <c r="B24" s="9" t="inlineStr">
        <is>
          <t>Sterling Insurance</t>
        </is>
      </c>
      <c r="C24" s="9" t="inlineStr">
        <is>
          <t>Property</t>
        </is>
      </c>
      <c r="D24" s="9" t="inlineStr">
        <is>
          <t>Asia Pacific</t>
        </is>
      </c>
      <c r="E24" s="9" t="inlineStr">
        <is>
          <t>Aarav Mehta</t>
        </is>
      </c>
      <c r="F24" s="9" t="inlineStr">
        <is>
          <t>Excess of Loss</t>
        </is>
      </c>
      <c r="G24" s="9" t="n">
        <v>2023</v>
      </c>
      <c r="H24" s="12" t="n">
        <v>6600000</v>
      </c>
      <c r="I24" s="12" t="n">
        <v>581182.99488</v>
      </c>
      <c r="J24" s="12" t="n">
        <v>31051.1304</v>
      </c>
      <c r="K24" s="12" t="n">
        <v>581182.99488</v>
      </c>
      <c r="L24" s="12" t="n">
        <v>59141.29968</v>
      </c>
      <c r="M24" s="9" t="n">
        <v>10</v>
      </c>
      <c r="N24" s="12" t="n">
        <v>424860.12816</v>
      </c>
      <c r="O24" s="12" t="n">
        <v>430495.06416</v>
      </c>
      <c r="P24" s="12" t="n">
        <v>6600000</v>
      </c>
      <c r="Q24" s="9" t="inlineStr">
        <is>
          <t>Low</t>
        </is>
      </c>
      <c r="R24" s="11">
        <f>IFERROR(O24/K24,0)</f>
        <v/>
      </c>
    </row>
    <row r="25">
      <c r="A25" s="9" t="inlineStr">
        <is>
          <t>T0024</t>
        </is>
      </c>
      <c r="B25" s="9" t="inlineStr">
        <is>
          <t>Atlas Assurance</t>
        </is>
      </c>
      <c r="C25" s="9" t="inlineStr">
        <is>
          <t>Specialty</t>
        </is>
      </c>
      <c r="D25" s="9" t="inlineStr">
        <is>
          <t>North America</t>
        </is>
      </c>
      <c r="E25" s="9" t="inlineStr">
        <is>
          <t>Aarav Mehta</t>
        </is>
      </c>
      <c r="F25" s="9" t="inlineStr">
        <is>
          <t>Excess of Loss</t>
        </is>
      </c>
      <c r="G25" s="9" t="n">
        <v>2025</v>
      </c>
      <c r="H25" s="12" t="n">
        <v>9300000</v>
      </c>
      <c r="I25" s="12" t="n">
        <v>1759533.36</v>
      </c>
      <c r="J25" s="12" t="n">
        <v>193011.48</v>
      </c>
      <c r="K25" s="12" t="n">
        <v>1759533.36</v>
      </c>
      <c r="L25" s="12" t="n">
        <v>170697.48</v>
      </c>
      <c r="M25" s="9" t="n">
        <v>4</v>
      </c>
      <c r="N25" s="12" t="n">
        <v>971055.59</v>
      </c>
      <c r="O25" s="12" t="n">
        <v>1349819.51</v>
      </c>
      <c r="P25" s="12" t="n">
        <v>9300000</v>
      </c>
      <c r="Q25" s="9" t="inlineStr">
        <is>
          <t>Low</t>
        </is>
      </c>
      <c r="R25" s="11">
        <f>IFERROR(O25/K25,0)</f>
        <v/>
      </c>
    </row>
    <row r="26">
      <c r="A26" s="9" t="inlineStr">
        <is>
          <t>T0025</t>
        </is>
      </c>
      <c r="B26" s="9" t="inlineStr">
        <is>
          <t>Cobalt Insurance</t>
        </is>
      </c>
      <c r="C26" s="9" t="inlineStr">
        <is>
          <t>Financial Lines</t>
        </is>
      </c>
      <c r="D26" s="9" t="inlineStr">
        <is>
          <t>Middle East &amp; Africa</t>
        </is>
      </c>
      <c r="E26" s="9" t="inlineStr">
        <is>
          <t>Priya Nair</t>
        </is>
      </c>
      <c r="F26" s="9" t="inlineStr">
        <is>
          <t>Proportional</t>
        </is>
      </c>
      <c r="G26" s="9" t="n">
        <v>2023</v>
      </c>
      <c r="H26" s="12" t="n">
        <v>14000000</v>
      </c>
      <c r="I26" s="12" t="n">
        <v>1075258.2</v>
      </c>
      <c r="J26" s="12" t="n">
        <v>128936.4</v>
      </c>
      <c r="K26" s="12" t="n">
        <v>1075258.2</v>
      </c>
      <c r="L26" s="12" t="n">
        <v>256728</v>
      </c>
      <c r="M26" s="9" t="n">
        <v>10</v>
      </c>
      <c r="N26" s="12" t="n">
        <v>623171.14</v>
      </c>
      <c r="O26" s="12" t="n">
        <v>624483.8100000001</v>
      </c>
      <c r="P26" s="12" t="n">
        <v>4200000</v>
      </c>
      <c r="Q26" s="9" t="inlineStr">
        <is>
          <t>Low</t>
        </is>
      </c>
      <c r="R26" s="11">
        <f>IFERROR(O26/K26,0)</f>
        <v/>
      </c>
    </row>
    <row r="27">
      <c r="A27" s="9" t="inlineStr">
        <is>
          <t>T0026</t>
        </is>
      </c>
      <c r="B27" s="9" t="inlineStr">
        <is>
          <t>Orion General</t>
        </is>
      </c>
      <c r="C27" s="9" t="inlineStr">
        <is>
          <t>Casualty</t>
        </is>
      </c>
      <c r="D27" s="9" t="inlineStr">
        <is>
          <t>North America</t>
        </is>
      </c>
      <c r="E27" s="9" t="inlineStr">
        <is>
          <t>James Whitfield</t>
        </is>
      </c>
      <c r="F27" s="9" t="inlineStr">
        <is>
          <t>Facultative</t>
        </is>
      </c>
      <c r="G27" s="9" t="n">
        <v>2022</v>
      </c>
      <c r="H27" s="12" t="n">
        <v>26700000</v>
      </c>
      <c r="I27" s="12" t="n">
        <v>2361838.8</v>
      </c>
      <c r="J27" s="12" t="n">
        <v>178499.52</v>
      </c>
      <c r="K27" s="12" t="n">
        <v>2361838.8</v>
      </c>
      <c r="L27" s="12" t="n">
        <v>400611.48</v>
      </c>
      <c r="M27" s="9" t="n">
        <v>10</v>
      </c>
      <c r="N27" s="12" t="n">
        <v>928041.9700000001</v>
      </c>
      <c r="O27" s="12" t="n">
        <v>983397.17</v>
      </c>
      <c r="P27" s="12" t="n">
        <v>26700000</v>
      </c>
      <c r="Q27" s="9" t="inlineStr">
        <is>
          <t>Low</t>
        </is>
      </c>
      <c r="R27" s="11">
        <f>IFERROR(O27/K27,0)</f>
        <v/>
      </c>
    </row>
    <row r="28">
      <c r="A28" s="9" t="inlineStr">
        <is>
          <t>T0027</t>
        </is>
      </c>
      <c r="B28" s="9" t="inlineStr">
        <is>
          <t>Atlas Indemnity</t>
        </is>
      </c>
      <c r="C28" s="9" t="inlineStr">
        <is>
          <t>Property</t>
        </is>
      </c>
      <c r="D28" s="9" t="inlineStr">
        <is>
          <t>North America</t>
        </is>
      </c>
      <c r="E28" s="9" t="inlineStr">
        <is>
          <t>Omar Haddad</t>
        </is>
      </c>
      <c r="F28" s="9" t="inlineStr">
        <is>
          <t>Excess of Loss</t>
        </is>
      </c>
      <c r="G28" s="9" t="n">
        <v>2021</v>
      </c>
      <c r="H28" s="12" t="n">
        <v>5400000</v>
      </c>
      <c r="I28" s="12" t="n">
        <v>668835</v>
      </c>
      <c r="J28" s="12" t="n">
        <v>75437.75999999999</v>
      </c>
      <c r="K28" s="12" t="n">
        <v>668835</v>
      </c>
      <c r="L28" s="12" t="n">
        <v>68647.43999999999</v>
      </c>
      <c r="M28" s="9" t="n">
        <v>6</v>
      </c>
      <c r="N28" s="12" t="n">
        <v>353153.38</v>
      </c>
      <c r="O28" s="12" t="n">
        <v>505516.42</v>
      </c>
      <c r="P28" s="12" t="n">
        <v>5400000</v>
      </c>
      <c r="Q28" s="9" t="inlineStr">
        <is>
          <t>Low</t>
        </is>
      </c>
      <c r="R28" s="11">
        <f>IFERROR(O28/K28,0)</f>
        <v/>
      </c>
    </row>
    <row r="29">
      <c r="A29" s="9" t="inlineStr">
        <is>
          <t>T0028</t>
        </is>
      </c>
      <c r="B29" s="9" t="inlineStr">
        <is>
          <t>Atlas Assurance</t>
        </is>
      </c>
      <c r="C29" s="9" t="inlineStr">
        <is>
          <t>Casualty</t>
        </is>
      </c>
      <c r="D29" s="9" t="inlineStr">
        <is>
          <t>North America</t>
        </is>
      </c>
      <c r="E29" s="9" t="inlineStr">
        <is>
          <t>Sophie Laurent</t>
        </is>
      </c>
      <c r="F29" s="9" t="inlineStr">
        <is>
          <t>Excess of Loss</t>
        </is>
      </c>
      <c r="G29" s="9" t="n">
        <v>2026</v>
      </c>
      <c r="H29" s="12" t="n">
        <v>9300000</v>
      </c>
      <c r="I29" s="12" t="n">
        <v>523700.59</v>
      </c>
      <c r="J29" s="12" t="n">
        <v>58236.57</v>
      </c>
      <c r="K29" s="12" t="n">
        <v>496268.65</v>
      </c>
      <c r="L29" s="12" t="n">
        <v>33198.44004345021</v>
      </c>
      <c r="M29" s="9" t="n">
        <v>7</v>
      </c>
      <c r="N29" s="12" t="n">
        <v>60006.2</v>
      </c>
      <c r="O29" s="12" t="n">
        <v>161987.87</v>
      </c>
      <c r="P29" s="12" t="n">
        <v>9300000</v>
      </c>
      <c r="Q29" s="9" t="inlineStr">
        <is>
          <t>Low</t>
        </is>
      </c>
      <c r="R29" s="11">
        <f>IFERROR(O29/K29,0)</f>
        <v/>
      </c>
    </row>
    <row r="30">
      <c r="A30" s="9" t="inlineStr">
        <is>
          <t>T0029</t>
        </is>
      </c>
      <c r="B30" s="9" t="inlineStr">
        <is>
          <t>Orion General</t>
        </is>
      </c>
      <c r="C30" s="9" t="inlineStr">
        <is>
          <t>Specialty</t>
        </is>
      </c>
      <c r="D30" s="9" t="inlineStr">
        <is>
          <t>North America</t>
        </is>
      </c>
      <c r="E30" s="9" t="inlineStr">
        <is>
          <t>James Whitfield</t>
        </is>
      </c>
      <c r="F30" s="9" t="inlineStr">
        <is>
          <t>Excess of Loss</t>
        </is>
      </c>
      <c r="G30" s="9" t="n">
        <v>2025</v>
      </c>
      <c r="H30" s="12" t="n">
        <v>11300000</v>
      </c>
      <c r="I30" s="12" t="n">
        <v>1214804.88</v>
      </c>
      <c r="J30" s="12" t="n">
        <v>76487.16</v>
      </c>
      <c r="K30" s="12" t="n">
        <v>1214804.88</v>
      </c>
      <c r="L30" s="12" t="n">
        <v>130014.12</v>
      </c>
      <c r="M30" s="9" t="n">
        <v>7</v>
      </c>
      <c r="N30" s="12" t="n">
        <v>770548.28</v>
      </c>
      <c r="O30" s="12" t="n">
        <v>815944.88</v>
      </c>
      <c r="P30" s="12" t="n">
        <v>11300000</v>
      </c>
      <c r="Q30" s="9" t="inlineStr">
        <is>
          <t>Low</t>
        </is>
      </c>
      <c r="R30" s="11">
        <f>IFERROR(O30/K30,0)</f>
        <v/>
      </c>
    </row>
    <row r="31">
      <c r="A31" s="9" t="inlineStr">
        <is>
          <t>T0030</t>
        </is>
      </c>
      <c r="B31" s="9" t="inlineStr">
        <is>
          <t>Lumen Assurance</t>
        </is>
      </c>
      <c r="C31" s="9" t="inlineStr">
        <is>
          <t>Property</t>
        </is>
      </c>
      <c r="D31" s="9" t="inlineStr">
        <is>
          <t>Latin America</t>
        </is>
      </c>
      <c r="E31" s="9" t="inlineStr">
        <is>
          <t>Aarav Mehta</t>
        </is>
      </c>
      <c r="F31" s="9" t="inlineStr">
        <is>
          <t>Excess of Loss</t>
        </is>
      </c>
      <c r="G31" s="9" t="n">
        <v>2024</v>
      </c>
      <c r="H31" s="12" t="n">
        <v>8700000</v>
      </c>
      <c r="I31" s="12" t="n">
        <v>975714.36</v>
      </c>
      <c r="J31" s="12" t="n">
        <v>53261.39999999999</v>
      </c>
      <c r="K31" s="12" t="n">
        <v>975714.36</v>
      </c>
      <c r="L31" s="12" t="n">
        <v>55820.75999999999</v>
      </c>
      <c r="M31" s="9" t="n">
        <v>11</v>
      </c>
      <c r="N31" s="12" t="n">
        <v>495474.26</v>
      </c>
      <c r="O31" s="12" t="n">
        <v>575871.52</v>
      </c>
      <c r="P31" s="12" t="n">
        <v>8700000</v>
      </c>
      <c r="Q31" s="9" t="inlineStr">
        <is>
          <t>Low</t>
        </is>
      </c>
      <c r="R31" s="11">
        <f>IFERROR(O31/K31,0)</f>
        <v/>
      </c>
    </row>
    <row r="32">
      <c r="A32" s="9" t="inlineStr">
        <is>
          <t>T0031</t>
        </is>
      </c>
      <c r="B32" s="9" t="inlineStr">
        <is>
          <t>Northwind General</t>
        </is>
      </c>
      <c r="C32" s="9" t="inlineStr">
        <is>
          <t>Casualty</t>
        </is>
      </c>
      <c r="D32" s="9" t="inlineStr">
        <is>
          <t>Asia Pacific</t>
        </is>
      </c>
      <c r="E32" s="9" t="inlineStr">
        <is>
          <t>Priya Nair</t>
        </is>
      </c>
      <c r="F32" s="9" t="inlineStr">
        <is>
          <t>Proportional</t>
        </is>
      </c>
      <c r="G32" s="9" t="n">
        <v>2023</v>
      </c>
      <c r="H32" s="12" t="n">
        <v>6300000</v>
      </c>
      <c r="I32" s="12" t="n">
        <v>1136747.01024</v>
      </c>
      <c r="J32" s="12" t="n">
        <v>89987.9328</v>
      </c>
      <c r="K32" s="12" t="n">
        <v>1136747.01024</v>
      </c>
      <c r="L32" s="12" t="n">
        <v>329450.85072</v>
      </c>
      <c r="M32" s="9" t="n">
        <v>14</v>
      </c>
      <c r="N32" s="12" t="n">
        <v>522756.0012000001</v>
      </c>
      <c r="O32" s="12" t="n">
        <v>595718.77992</v>
      </c>
      <c r="P32" s="12" t="n">
        <v>1890000</v>
      </c>
      <c r="Q32" s="9" t="inlineStr">
        <is>
          <t>Low</t>
        </is>
      </c>
      <c r="R32" s="11">
        <f>IFERROR(O32/K32,0)</f>
        <v/>
      </c>
    </row>
    <row r="33">
      <c r="A33" s="9" t="inlineStr">
        <is>
          <t>T0032</t>
        </is>
      </c>
      <c r="B33" s="9" t="inlineStr">
        <is>
          <t>Granite General</t>
        </is>
      </c>
      <c r="C33" s="9" t="inlineStr">
        <is>
          <t>Property</t>
        </is>
      </c>
      <c r="D33" s="9" t="inlineStr">
        <is>
          <t>Asia Pacific</t>
        </is>
      </c>
      <c r="E33" s="9" t="inlineStr">
        <is>
          <t>Aarav Mehta</t>
        </is>
      </c>
      <c r="F33" s="9" t="inlineStr">
        <is>
          <t>Excess of Loss</t>
        </is>
      </c>
      <c r="G33" s="9" t="n">
        <v>2025</v>
      </c>
      <c r="H33" s="12" t="n">
        <v>9400000</v>
      </c>
      <c r="I33" s="12" t="n">
        <v>1170447</v>
      </c>
      <c r="J33" s="12" t="n">
        <v>84944.39999999999</v>
      </c>
      <c r="K33" s="12" t="n">
        <v>1170447</v>
      </c>
      <c r="L33" s="12" t="n">
        <v>127443.24</v>
      </c>
      <c r="M33" s="9" t="n">
        <v>11</v>
      </c>
      <c r="N33" s="12" t="n">
        <v>1087091.11</v>
      </c>
      <c r="O33" s="12" t="n">
        <v>1301913.97</v>
      </c>
      <c r="P33" s="12" t="n">
        <v>9400000</v>
      </c>
      <c r="Q33" s="9" t="inlineStr">
        <is>
          <t>Low</t>
        </is>
      </c>
      <c r="R33" s="11">
        <f>IFERROR(O33/K33,0)</f>
        <v/>
      </c>
    </row>
    <row r="34">
      <c r="A34" s="9" t="inlineStr">
        <is>
          <t>T0033</t>
        </is>
      </c>
      <c r="B34" s="9" t="inlineStr">
        <is>
          <t>Atlas Assurance</t>
        </is>
      </c>
      <c r="C34" s="9" t="inlineStr">
        <is>
          <t>Casualty</t>
        </is>
      </c>
      <c r="D34" s="9" t="inlineStr">
        <is>
          <t>North America</t>
        </is>
      </c>
      <c r="E34" s="9" t="inlineStr">
        <is>
          <t>Sophie Laurent</t>
        </is>
      </c>
      <c r="F34" s="9" t="inlineStr">
        <is>
          <t>Facultative</t>
        </is>
      </c>
      <c r="G34" s="9" t="n">
        <v>2024</v>
      </c>
      <c r="H34" s="12" t="n">
        <v>9700000</v>
      </c>
      <c r="I34" s="12" t="n">
        <v>1780102.92</v>
      </c>
      <c r="J34" s="12" t="n">
        <v>106226.52</v>
      </c>
      <c r="K34" s="12" t="n">
        <v>1780102.92</v>
      </c>
      <c r="L34" s="12" t="n">
        <v>330347.76</v>
      </c>
      <c r="M34" s="9" t="n">
        <v>10</v>
      </c>
      <c r="N34" s="12" t="n">
        <v>1038087.48</v>
      </c>
      <c r="O34" s="12" t="n">
        <v>1389741.76</v>
      </c>
      <c r="P34" s="12" t="n">
        <v>9700000</v>
      </c>
      <c r="Q34" s="9" t="inlineStr">
        <is>
          <t>Low</t>
        </is>
      </c>
      <c r="R34" s="11">
        <f>IFERROR(O34/K34,0)</f>
        <v/>
      </c>
    </row>
    <row r="35">
      <c r="A35" s="9" t="inlineStr">
        <is>
          <t>T0034</t>
        </is>
      </c>
      <c r="B35" s="9" t="inlineStr">
        <is>
          <t>Harbor Indemnity</t>
        </is>
      </c>
      <c r="C35" s="9" t="inlineStr">
        <is>
          <t>Property</t>
        </is>
      </c>
      <c r="D35" s="9" t="inlineStr">
        <is>
          <t>North America</t>
        </is>
      </c>
      <c r="E35" s="9" t="inlineStr">
        <is>
          <t>Aarav Mehta</t>
        </is>
      </c>
      <c r="F35" s="9" t="inlineStr">
        <is>
          <t>Excess of Loss</t>
        </is>
      </c>
      <c r="G35" s="9" t="n">
        <v>2022</v>
      </c>
      <c r="H35" s="12" t="n">
        <v>2500000</v>
      </c>
      <c r="I35" s="12" t="n">
        <v>388637.28</v>
      </c>
      <c r="J35" s="12" t="n">
        <v>42647.52</v>
      </c>
      <c r="K35" s="12" t="n">
        <v>388637.28</v>
      </c>
      <c r="L35" s="12" t="n">
        <v>42540.48</v>
      </c>
      <c r="M35" s="9" t="n">
        <v>12</v>
      </c>
      <c r="N35" s="12" t="n">
        <v>244611.89</v>
      </c>
      <c r="O35" s="12" t="n">
        <v>249916.27</v>
      </c>
      <c r="P35" s="12" t="n">
        <v>2500000</v>
      </c>
      <c r="Q35" s="9" t="inlineStr">
        <is>
          <t>Low</t>
        </is>
      </c>
      <c r="R35" s="11">
        <f>IFERROR(O35/K35,0)</f>
        <v/>
      </c>
    </row>
    <row r="36">
      <c r="A36" s="9" t="inlineStr">
        <is>
          <t>T0035</t>
        </is>
      </c>
      <c r="B36" s="9" t="inlineStr">
        <is>
          <t>Northwind Indemnity</t>
        </is>
      </c>
      <c r="C36" s="9" t="inlineStr">
        <is>
          <t>Property</t>
        </is>
      </c>
      <c r="D36" s="9" t="inlineStr">
        <is>
          <t>North America</t>
        </is>
      </c>
      <c r="E36" s="9" t="inlineStr">
        <is>
          <t>Kenji Sato</t>
        </is>
      </c>
      <c r="F36" s="9" t="inlineStr">
        <is>
          <t>Facultative</t>
        </is>
      </c>
      <c r="G36" s="9" t="n">
        <v>2025</v>
      </c>
      <c r="H36" s="12" t="n">
        <v>12900000</v>
      </c>
      <c r="I36" s="12" t="n">
        <v>1178078</v>
      </c>
      <c r="J36" s="12" t="n">
        <v>85160.8</v>
      </c>
      <c r="K36" s="12" t="n">
        <v>1064197.13</v>
      </c>
      <c r="L36" s="12" t="n">
        <v>212022.6319974416</v>
      </c>
      <c r="M36" s="9" t="n">
        <v>9</v>
      </c>
      <c r="N36" s="12" t="n">
        <v>604598.28</v>
      </c>
      <c r="O36" s="12" t="n">
        <v>1652888.43</v>
      </c>
      <c r="P36" s="12" t="n">
        <v>12900000</v>
      </c>
      <c r="Q36" s="9" t="inlineStr">
        <is>
          <t>Low</t>
        </is>
      </c>
      <c r="R36" s="11">
        <f>IFERROR(O36/K36,0)</f>
        <v/>
      </c>
    </row>
    <row r="37">
      <c r="A37" s="9" t="inlineStr">
        <is>
          <t>T0036</t>
        </is>
      </c>
      <c r="B37" s="9" t="inlineStr">
        <is>
          <t>Orion Assurance</t>
        </is>
      </c>
      <c r="C37" s="9" t="inlineStr">
        <is>
          <t>Specialty</t>
        </is>
      </c>
      <c r="D37" s="9" t="inlineStr">
        <is>
          <t>North America</t>
        </is>
      </c>
      <c r="E37" s="9" t="inlineStr">
        <is>
          <t>Kenji Sato</t>
        </is>
      </c>
      <c r="F37" s="9" t="inlineStr">
        <is>
          <t>Proportional</t>
        </is>
      </c>
      <c r="G37" s="9" t="n">
        <v>2022</v>
      </c>
      <c r="H37" s="12" t="n">
        <v>13800000</v>
      </c>
      <c r="I37" s="12" t="n">
        <v>2626059.24</v>
      </c>
      <c r="J37" s="12" t="n">
        <v>267071.88</v>
      </c>
      <c r="K37" s="12" t="n">
        <v>2626059.24</v>
      </c>
      <c r="L37" s="12" t="n">
        <v>668720.3999999999</v>
      </c>
      <c r="M37" s="9" t="n">
        <v>11</v>
      </c>
      <c r="N37" s="12" t="n">
        <v>1444879.5</v>
      </c>
      <c r="O37" s="12" t="n">
        <v>1472520.62</v>
      </c>
      <c r="P37" s="12" t="n">
        <v>2760000</v>
      </c>
      <c r="Q37" s="9" t="inlineStr">
        <is>
          <t>Low</t>
        </is>
      </c>
      <c r="R37" s="11">
        <f>IFERROR(O37/K37,0)</f>
        <v/>
      </c>
    </row>
    <row r="38">
      <c r="A38" s="9" t="inlineStr">
        <is>
          <t>T0037</t>
        </is>
      </c>
      <c r="B38" s="9" t="inlineStr">
        <is>
          <t>Granite Indemnity</t>
        </is>
      </c>
      <c r="C38" s="9" t="inlineStr">
        <is>
          <t>Financial Lines</t>
        </is>
      </c>
      <c r="D38" s="9" t="inlineStr">
        <is>
          <t>Europe</t>
        </is>
      </c>
      <c r="E38" s="9" t="inlineStr">
        <is>
          <t>Hannah Weber</t>
        </is>
      </c>
      <c r="F38" s="9" t="inlineStr">
        <is>
          <t>Proportional</t>
        </is>
      </c>
      <c r="G38" s="9" t="n">
        <v>2024</v>
      </c>
      <c r="H38" s="12" t="n">
        <v>9299999.9988</v>
      </c>
      <c r="I38" s="12" t="n">
        <v>1414416.9456</v>
      </c>
      <c r="J38" s="12" t="n">
        <v>169045.3152</v>
      </c>
      <c r="K38" s="12" t="n">
        <v>1414416.9456</v>
      </c>
      <c r="L38" s="12" t="n">
        <v>382924.0656</v>
      </c>
      <c r="M38" s="9" t="n">
        <v>7</v>
      </c>
      <c r="N38" s="12" t="n">
        <v>864921.0348</v>
      </c>
      <c r="O38" s="12" t="n">
        <v>933525.7452</v>
      </c>
      <c r="P38" s="12" t="n">
        <v>2789999.9964</v>
      </c>
      <c r="Q38" s="9" t="inlineStr">
        <is>
          <t>Low</t>
        </is>
      </c>
      <c r="R38" s="11">
        <f>IFERROR(O38/K38,0)</f>
        <v/>
      </c>
    </row>
    <row r="39">
      <c r="A39" s="9" t="inlineStr">
        <is>
          <t>T0038</t>
        </is>
      </c>
      <c r="B39" s="9" t="inlineStr">
        <is>
          <t>Granite Insurance</t>
        </is>
      </c>
      <c r="C39" s="9" t="inlineStr">
        <is>
          <t>Property</t>
        </is>
      </c>
      <c r="D39" s="9" t="inlineStr">
        <is>
          <t>Asia Pacific</t>
        </is>
      </c>
      <c r="E39" s="9" t="inlineStr">
        <is>
          <t>Omar Haddad</t>
        </is>
      </c>
      <c r="F39" s="9" t="inlineStr">
        <is>
          <t>Excess of Loss</t>
        </is>
      </c>
      <c r="G39" s="9" t="n">
        <v>2025</v>
      </c>
      <c r="H39" s="12" t="n">
        <v>8800000</v>
      </c>
      <c r="I39" s="12" t="n">
        <v>1178208.84</v>
      </c>
      <c r="J39" s="12" t="n">
        <v>127879.44</v>
      </c>
      <c r="K39" s="12" t="n">
        <v>1178208.84</v>
      </c>
      <c r="L39" s="12" t="n">
        <v>83220.24000000001</v>
      </c>
      <c r="M39" s="9" t="n">
        <v>5</v>
      </c>
      <c r="N39" s="12" t="n">
        <v>355376.77</v>
      </c>
      <c r="O39" s="12" t="n">
        <v>613801.25</v>
      </c>
      <c r="P39" s="12" t="n">
        <v>8800000</v>
      </c>
      <c r="Q39" s="9" t="inlineStr">
        <is>
          <t>Low</t>
        </is>
      </c>
      <c r="R39" s="11">
        <f>IFERROR(O39/K39,0)</f>
        <v/>
      </c>
    </row>
    <row r="40">
      <c r="A40" s="9" t="inlineStr">
        <is>
          <t>T0039</t>
        </is>
      </c>
      <c r="B40" s="9" t="inlineStr">
        <is>
          <t>Granite General</t>
        </is>
      </c>
      <c r="C40" s="9" t="inlineStr">
        <is>
          <t>Specialty</t>
        </is>
      </c>
      <c r="D40" s="9" t="inlineStr">
        <is>
          <t>Asia Pacific</t>
        </is>
      </c>
      <c r="E40" s="9" t="inlineStr">
        <is>
          <t>Kenji Sato</t>
        </is>
      </c>
      <c r="F40" s="9" t="inlineStr">
        <is>
          <t>Excess of Loss</t>
        </is>
      </c>
      <c r="G40" s="9" t="n">
        <v>2022</v>
      </c>
      <c r="H40" s="12" t="n">
        <v>14400000</v>
      </c>
      <c r="I40" s="12" t="n">
        <v>1447081.08</v>
      </c>
      <c r="J40" s="12" t="n">
        <v>149178.96</v>
      </c>
      <c r="K40" s="12" t="n">
        <v>1447081.08</v>
      </c>
      <c r="L40" s="12" t="n">
        <v>145871.4</v>
      </c>
      <c r="M40" s="9" t="n">
        <v>9</v>
      </c>
      <c r="N40" s="12" t="n">
        <v>679322.1799999999</v>
      </c>
      <c r="O40" s="12" t="n">
        <v>679322.1799999999</v>
      </c>
      <c r="P40" s="12" t="n">
        <v>14400000</v>
      </c>
      <c r="Q40" s="9" t="inlineStr">
        <is>
          <t>Low</t>
        </is>
      </c>
      <c r="R40" s="11">
        <f>IFERROR(O40/K40,0)</f>
        <v/>
      </c>
    </row>
    <row r="41">
      <c r="A41" s="9" t="inlineStr">
        <is>
          <t>T0040</t>
        </is>
      </c>
      <c r="B41" s="9" t="inlineStr">
        <is>
          <t>Meridian General</t>
        </is>
      </c>
      <c r="C41" s="9" t="inlineStr">
        <is>
          <t>Casualty</t>
        </is>
      </c>
      <c r="D41" s="9" t="inlineStr">
        <is>
          <t>North America</t>
        </is>
      </c>
      <c r="E41" s="9" t="inlineStr">
        <is>
          <t>Aarav Mehta</t>
        </is>
      </c>
      <c r="F41" s="9" t="inlineStr">
        <is>
          <t>Excess of Loss</t>
        </is>
      </c>
      <c r="G41" s="9" t="n">
        <v>2024</v>
      </c>
      <c r="H41" s="12" t="n">
        <v>7400000</v>
      </c>
      <c r="I41" s="12" t="n">
        <v>856639.7999999999</v>
      </c>
      <c r="J41" s="12" t="n">
        <v>51789.12</v>
      </c>
      <c r="K41" s="12" t="n">
        <v>856639.7999999999</v>
      </c>
      <c r="L41" s="12" t="n">
        <v>66518.52</v>
      </c>
      <c r="M41" s="9" t="n">
        <v>8</v>
      </c>
      <c r="N41" s="12" t="n">
        <v>312973.23</v>
      </c>
      <c r="O41" s="12" t="n">
        <v>339083.31</v>
      </c>
      <c r="P41" s="12" t="n">
        <v>7400000</v>
      </c>
      <c r="Q41" s="9" t="inlineStr">
        <is>
          <t>Low</t>
        </is>
      </c>
      <c r="R41" s="11">
        <f>IFERROR(O41/K41,0)</f>
        <v/>
      </c>
    </row>
    <row r="42">
      <c r="A42" s="9" t="inlineStr">
        <is>
          <t>T0041</t>
        </is>
      </c>
      <c r="B42" s="9" t="inlineStr">
        <is>
          <t>Evergreen Assurance</t>
        </is>
      </c>
      <c r="C42" s="9" t="inlineStr">
        <is>
          <t>Property</t>
        </is>
      </c>
      <c r="D42" s="9" t="inlineStr">
        <is>
          <t>North America</t>
        </is>
      </c>
      <c r="E42" s="9" t="inlineStr">
        <is>
          <t>Aarav Mehta</t>
        </is>
      </c>
      <c r="F42" s="9" t="inlineStr">
        <is>
          <t>Proportional</t>
        </is>
      </c>
      <c r="G42" s="9" t="n">
        <v>2022</v>
      </c>
      <c r="H42" s="12" t="n">
        <v>16900000</v>
      </c>
      <c r="I42" s="12" t="n">
        <v>1834796.04</v>
      </c>
      <c r="J42" s="12" t="n">
        <v>185643.72</v>
      </c>
      <c r="K42" s="12" t="n">
        <v>1834796.04</v>
      </c>
      <c r="L42" s="12" t="n">
        <v>538236.48</v>
      </c>
      <c r="M42" s="9" t="n">
        <v>5</v>
      </c>
      <c r="N42" s="12" t="n">
        <v>1362667.83</v>
      </c>
      <c r="O42" s="12" t="n">
        <v>1362667.83</v>
      </c>
      <c r="P42" s="12" t="n">
        <v>8450000</v>
      </c>
      <c r="Q42" s="9" t="inlineStr">
        <is>
          <t>Low</t>
        </is>
      </c>
      <c r="R42" s="11">
        <f>IFERROR(O42/K42,0)</f>
        <v/>
      </c>
    </row>
    <row r="43">
      <c r="A43" s="9" t="inlineStr">
        <is>
          <t>T0042</t>
        </is>
      </c>
      <c r="B43" s="9" t="inlineStr">
        <is>
          <t>Vantage Assurance</t>
        </is>
      </c>
      <c r="C43" s="9" t="inlineStr">
        <is>
          <t>Unmapped</t>
        </is>
      </c>
      <c r="D43" s="9" t="inlineStr">
        <is>
          <t>Europe</t>
        </is>
      </c>
      <c r="E43" s="9" t="inlineStr">
        <is>
          <t>Sophie Laurent</t>
        </is>
      </c>
      <c r="F43" s="9" t="inlineStr">
        <is>
          <t>Excess of Loss</t>
        </is>
      </c>
      <c r="G43" s="9" t="n">
        <v>2021</v>
      </c>
      <c r="H43" s="12" t="n">
        <v>12399999.9984</v>
      </c>
      <c r="I43" s="12" t="n">
        <v>1013730.1632</v>
      </c>
      <c r="J43" s="12" t="n">
        <v>77449.08960000001</v>
      </c>
      <c r="K43" s="12" t="n">
        <v>1013730.1632</v>
      </c>
      <c r="L43" s="12" t="n">
        <v>103453.2</v>
      </c>
      <c r="M43" s="9" t="n">
        <v>7</v>
      </c>
      <c r="N43" s="12" t="n">
        <v>331871.1048</v>
      </c>
      <c r="O43" s="12" t="n">
        <v>331871.1048</v>
      </c>
      <c r="P43" s="12" t="n">
        <v>12399999.9984</v>
      </c>
      <c r="Q43" s="9" t="inlineStr">
        <is>
          <t>Low</t>
        </is>
      </c>
      <c r="R43" s="11">
        <f>IFERROR(O43/K43,0)</f>
        <v/>
      </c>
    </row>
    <row r="44">
      <c r="A44" s="9" t="inlineStr">
        <is>
          <t>T0043</t>
        </is>
      </c>
      <c r="B44" s="9" t="inlineStr">
        <is>
          <t>Meridian Assurance</t>
        </is>
      </c>
      <c r="C44" s="9" t="inlineStr">
        <is>
          <t>Financial Lines</t>
        </is>
      </c>
      <c r="D44" s="9" t="inlineStr">
        <is>
          <t>Europe</t>
        </is>
      </c>
      <c r="E44" s="9" t="inlineStr">
        <is>
          <t>Aarav Mehta</t>
        </is>
      </c>
      <c r="F44" s="9" t="inlineStr">
        <is>
          <t>Excess of Loss</t>
        </is>
      </c>
      <c r="G44" s="9" t="n">
        <v>2023</v>
      </c>
      <c r="H44" s="12" t="n">
        <v>19500000.0048</v>
      </c>
      <c r="I44" s="12" t="n">
        <v>1910042.5968</v>
      </c>
      <c r="J44" s="12" t="n">
        <v>145935.6912</v>
      </c>
      <c r="K44" s="12" t="n">
        <v>1910042.5968</v>
      </c>
      <c r="L44" s="12" t="n">
        <v>220565.4624</v>
      </c>
      <c r="M44" s="9" t="n">
        <v>12</v>
      </c>
      <c r="N44" s="12" t="n">
        <v>572307.5412</v>
      </c>
      <c r="O44" s="12" t="n">
        <v>572307.5412</v>
      </c>
      <c r="P44" s="12" t="n">
        <v>19500000.0048</v>
      </c>
      <c r="Q44" s="9" t="inlineStr">
        <is>
          <t>Low</t>
        </is>
      </c>
      <c r="R44" s="11">
        <f>IFERROR(O44/K44,0)</f>
        <v/>
      </c>
    </row>
    <row r="45">
      <c r="A45" s="9" t="inlineStr">
        <is>
          <t>T0044</t>
        </is>
      </c>
      <c r="B45" s="9" t="inlineStr">
        <is>
          <t>Pioneer Indemnity</t>
        </is>
      </c>
      <c r="C45" s="9" t="inlineStr">
        <is>
          <t>Property</t>
        </is>
      </c>
      <c r="D45" s="9" t="inlineStr">
        <is>
          <t>Latin America</t>
        </is>
      </c>
      <c r="E45" s="9" t="inlineStr">
        <is>
          <t>Omar Haddad</t>
        </is>
      </c>
      <c r="F45" s="9" t="inlineStr">
        <is>
          <t>Proportional</t>
        </is>
      </c>
      <c r="G45" s="9" t="n">
        <v>2022</v>
      </c>
      <c r="H45" s="12" t="n">
        <v>14500000</v>
      </c>
      <c r="I45" s="12" t="n">
        <v>2009112.84</v>
      </c>
      <c r="J45" s="12" t="n">
        <v>128876.88</v>
      </c>
      <c r="K45" s="12" t="n">
        <v>2009112.84</v>
      </c>
      <c r="L45" s="12" t="n">
        <v>461879.88</v>
      </c>
      <c r="M45" s="9" t="n">
        <v>11</v>
      </c>
      <c r="N45" s="12" t="n">
        <v>1019231.38</v>
      </c>
      <c r="O45" s="12" t="n">
        <v>1019231.38</v>
      </c>
      <c r="P45" s="12" t="n">
        <v>1450000</v>
      </c>
      <c r="Q45" s="9" t="inlineStr">
        <is>
          <t>Low</t>
        </is>
      </c>
      <c r="R45" s="11">
        <f>IFERROR(O45/K45,0)</f>
        <v/>
      </c>
    </row>
    <row r="46">
      <c r="A46" s="9" t="inlineStr">
        <is>
          <t>T0045</t>
        </is>
      </c>
      <c r="B46" s="9" t="inlineStr">
        <is>
          <t>Cobalt Indemnity</t>
        </is>
      </c>
      <c r="C46" s="9" t="inlineStr">
        <is>
          <t>Casualty</t>
        </is>
      </c>
      <c r="D46" s="9" t="inlineStr">
        <is>
          <t>North America</t>
        </is>
      </c>
      <c r="E46" s="9" t="inlineStr">
        <is>
          <t>James Whitfield</t>
        </is>
      </c>
      <c r="F46" s="9" t="inlineStr">
        <is>
          <t>Excess of Loss</t>
        </is>
      </c>
      <c r="G46" s="9" t="n">
        <v>2023</v>
      </c>
      <c r="H46" s="12" t="n">
        <v>24200000</v>
      </c>
      <c r="I46" s="12" t="n">
        <v>1774479</v>
      </c>
      <c r="J46" s="12" t="n">
        <v>125338.92</v>
      </c>
      <c r="K46" s="12" t="n">
        <v>1774479</v>
      </c>
      <c r="L46" s="12" t="n">
        <v>102473.4</v>
      </c>
      <c r="M46" s="9" t="n">
        <v>10</v>
      </c>
      <c r="N46" s="12" t="n">
        <v>1291645.55</v>
      </c>
      <c r="O46" s="12" t="n">
        <v>1384472.7</v>
      </c>
      <c r="P46" s="12" t="n">
        <v>24200000</v>
      </c>
      <c r="Q46" s="9" t="inlineStr">
        <is>
          <t>Low</t>
        </is>
      </c>
      <c r="R46" s="11">
        <f>IFERROR(O46/K46,0)</f>
        <v/>
      </c>
    </row>
    <row r="47">
      <c r="A47" s="9" t="inlineStr">
        <is>
          <t>T0046</t>
        </is>
      </c>
      <c r="B47" s="9" t="inlineStr">
        <is>
          <t>Vantage Assurance</t>
        </is>
      </c>
      <c r="C47" s="9" t="inlineStr">
        <is>
          <t>Financial Lines</t>
        </is>
      </c>
      <c r="D47" s="9" t="inlineStr">
        <is>
          <t>Europe</t>
        </is>
      </c>
      <c r="E47" s="9" t="inlineStr">
        <is>
          <t>Omar Haddad</t>
        </is>
      </c>
      <c r="F47" s="9" t="inlineStr">
        <is>
          <t>Facultative</t>
        </is>
      </c>
      <c r="G47" s="9" t="n">
        <v>2026</v>
      </c>
      <c r="H47" s="12" t="n">
        <v>3099999.9996</v>
      </c>
      <c r="I47" s="12" t="n">
        <v>408342.4488</v>
      </c>
      <c r="J47" s="12" t="n">
        <v>44593.31880000001</v>
      </c>
      <c r="K47" s="12" t="n">
        <v>369020.5884</v>
      </c>
      <c r="L47" s="12" t="n">
        <v>60970.79891272543</v>
      </c>
      <c r="M47" s="9" t="n">
        <v>7</v>
      </c>
      <c r="N47" s="12" t="n">
        <v>66423.32640000001</v>
      </c>
      <c r="O47" s="12" t="n">
        <v>248707.2492</v>
      </c>
      <c r="P47" s="12" t="n">
        <v>3099999.9996</v>
      </c>
      <c r="Q47" s="9" t="inlineStr">
        <is>
          <t>Low</t>
        </is>
      </c>
      <c r="R47" s="11">
        <f>IFERROR(O47/K47,0)</f>
        <v/>
      </c>
    </row>
    <row r="48">
      <c r="A48" s="9" t="inlineStr">
        <is>
          <t>T0047</t>
        </is>
      </c>
      <c r="B48" s="9" t="inlineStr">
        <is>
          <t>Northwind Indemnity</t>
        </is>
      </c>
      <c r="C48" s="9" t="inlineStr">
        <is>
          <t>Specialty</t>
        </is>
      </c>
      <c r="D48" s="9" t="inlineStr">
        <is>
          <t>North America</t>
        </is>
      </c>
      <c r="E48" s="9" t="inlineStr">
        <is>
          <t>Unassigned</t>
        </is>
      </c>
      <c r="F48" s="9" t="inlineStr">
        <is>
          <t>Excess of Loss</t>
        </is>
      </c>
      <c r="G48" s="9" t="n">
        <v>2022</v>
      </c>
      <c r="H48" s="12" t="n">
        <v>11000000</v>
      </c>
      <c r="I48" s="12" t="n">
        <v>1074105.12</v>
      </c>
      <c r="J48" s="12" t="n">
        <v>110848.8</v>
      </c>
      <c r="K48" s="12" t="n">
        <v>1074105.12</v>
      </c>
      <c r="L48" s="12" t="n">
        <v>81618.72</v>
      </c>
      <c r="M48" s="9" t="n">
        <v>13</v>
      </c>
      <c r="N48" s="12" t="n">
        <v>376133.45</v>
      </c>
      <c r="O48" s="12" t="n">
        <v>376133.45</v>
      </c>
      <c r="P48" s="12" t="n">
        <v>11000000</v>
      </c>
      <c r="Q48" s="9" t="inlineStr">
        <is>
          <t>Low</t>
        </is>
      </c>
      <c r="R48" s="11">
        <f>IFERROR(O48/K48,0)</f>
        <v/>
      </c>
    </row>
    <row r="49">
      <c r="A49" s="9" t="inlineStr">
        <is>
          <t>T0048</t>
        </is>
      </c>
      <c r="B49" s="9" t="inlineStr">
        <is>
          <t>Vantage Assurance</t>
        </is>
      </c>
      <c r="C49" s="9" t="inlineStr">
        <is>
          <t>Property</t>
        </is>
      </c>
      <c r="D49" s="9" t="inlineStr">
        <is>
          <t>Europe</t>
        </is>
      </c>
      <c r="E49" s="9" t="inlineStr">
        <is>
          <t>Sophie Laurent</t>
        </is>
      </c>
      <c r="F49" s="9" t="inlineStr">
        <is>
          <t>Proportional</t>
        </is>
      </c>
      <c r="G49" s="9" t="n">
        <v>2026</v>
      </c>
      <c r="H49" s="12" t="n">
        <v>8499999.999600001</v>
      </c>
      <c r="I49" s="12" t="n">
        <v>577936.296</v>
      </c>
      <c r="J49" s="12" t="n">
        <v>57630.13920000001</v>
      </c>
      <c r="K49" s="12" t="n">
        <v>545828.7276</v>
      </c>
      <c r="L49" s="12" t="n">
        <v>166285.5418967322</v>
      </c>
      <c r="M49" s="9" t="n">
        <v>0</v>
      </c>
      <c r="N49" s="12" t="n">
        <v>0</v>
      </c>
      <c r="O49" s="12" t="n">
        <v>0</v>
      </c>
      <c r="P49" s="12" t="n">
        <v>850000.0032000002</v>
      </c>
      <c r="Q49" s="9" t="inlineStr">
        <is>
          <t>Low</t>
        </is>
      </c>
      <c r="R49" s="11">
        <f>IFERROR(O49/K49,0)</f>
        <v/>
      </c>
    </row>
    <row r="50">
      <c r="A50" s="9" t="inlineStr">
        <is>
          <t>T0049</t>
        </is>
      </c>
      <c r="B50" s="9" t="inlineStr">
        <is>
          <t>Orion Indemnity</t>
        </is>
      </c>
      <c r="C50" s="9" t="inlineStr">
        <is>
          <t>Financial Lines</t>
        </is>
      </c>
      <c r="D50" s="9" t="inlineStr">
        <is>
          <t>Unassigned</t>
        </is>
      </c>
      <c r="E50" s="9" t="inlineStr">
        <is>
          <t>Sophie Laurent</t>
        </is>
      </c>
      <c r="F50" s="9" t="inlineStr">
        <is>
          <t>Proportional</t>
        </is>
      </c>
      <c r="G50" s="9" t="n">
        <v>2023</v>
      </c>
      <c r="H50" s="12" t="n">
        <v>14200000</v>
      </c>
      <c r="I50" s="12" t="n">
        <v>2195640.12</v>
      </c>
      <c r="J50" s="12" t="n">
        <v>185185.92</v>
      </c>
      <c r="K50" s="12" t="n">
        <v>2195640.12</v>
      </c>
      <c r="L50" s="12" t="n">
        <v>689435.16</v>
      </c>
      <c r="M50" s="9" t="n">
        <v>3</v>
      </c>
      <c r="N50" s="12" t="n">
        <v>1353003.57</v>
      </c>
      <c r="O50" s="12" t="n">
        <v>1353003.57</v>
      </c>
      <c r="P50" s="12" t="n">
        <v>2840000</v>
      </c>
      <c r="Q50" s="9" t="inlineStr">
        <is>
          <t>Low</t>
        </is>
      </c>
      <c r="R50" s="11">
        <f>IFERROR(O50/K50,0)</f>
        <v/>
      </c>
    </row>
    <row r="51">
      <c r="A51" s="9" t="inlineStr">
        <is>
          <t>T0050</t>
        </is>
      </c>
      <c r="B51" s="9" t="inlineStr">
        <is>
          <t>Meridian Indemnity</t>
        </is>
      </c>
      <c r="C51" s="9" t="inlineStr">
        <is>
          <t>Casualty</t>
        </is>
      </c>
      <c r="D51" s="9" t="inlineStr">
        <is>
          <t>Europe</t>
        </is>
      </c>
      <c r="E51" s="9" t="inlineStr">
        <is>
          <t>Sophie Laurent</t>
        </is>
      </c>
      <c r="F51" s="9" t="inlineStr">
        <is>
          <t>Facultative</t>
        </is>
      </c>
      <c r="G51" s="9" t="n">
        <v>2023</v>
      </c>
      <c r="H51" s="12" t="n">
        <v>13100000.0004</v>
      </c>
      <c r="I51" s="12" t="n">
        <v>1407178.1376</v>
      </c>
      <c r="J51" s="12" t="n">
        <v>95298.24960000001</v>
      </c>
      <c r="K51" s="12" t="n">
        <v>1407178.1376</v>
      </c>
      <c r="L51" s="12" t="n">
        <v>222585.7968</v>
      </c>
      <c r="M51" s="9" t="n">
        <v>11</v>
      </c>
      <c r="N51" s="12" t="n">
        <v>1408919.1516</v>
      </c>
      <c r="O51" s="12" t="n">
        <v>1525602.5028</v>
      </c>
      <c r="P51" s="12" t="n">
        <v>13100000.0004</v>
      </c>
      <c r="Q51" s="9" t="inlineStr">
        <is>
          <t>Low</t>
        </is>
      </c>
      <c r="R51" s="11">
        <f>IFERROR(O51/K51,0)</f>
        <v/>
      </c>
    </row>
    <row r="52">
      <c r="A52" s="9" t="inlineStr">
        <is>
          <t>T0051</t>
        </is>
      </c>
      <c r="B52" s="9" t="inlineStr">
        <is>
          <t>Summit Indemnity</t>
        </is>
      </c>
      <c r="C52" s="9" t="inlineStr">
        <is>
          <t>Property</t>
        </is>
      </c>
      <c r="D52" s="9" t="inlineStr">
        <is>
          <t>Asia Pacific</t>
        </is>
      </c>
      <c r="E52" s="9" t="inlineStr">
        <is>
          <t>James Whitfield</t>
        </is>
      </c>
      <c r="F52" s="9" t="inlineStr">
        <is>
          <t>Excess of Loss</t>
        </is>
      </c>
      <c r="G52" s="9" t="n">
        <v>2026</v>
      </c>
      <c r="H52" s="12" t="n">
        <v>18300000</v>
      </c>
      <c r="I52" s="12" t="n">
        <v>1593514.35</v>
      </c>
      <c r="J52" s="12" t="n">
        <v>162399.87</v>
      </c>
      <c r="K52" s="12" t="n">
        <v>1587612.44</v>
      </c>
      <c r="L52" s="12" t="n">
        <v>189246.9690706554</v>
      </c>
      <c r="M52" s="9" t="n">
        <v>3</v>
      </c>
      <c r="N52" s="12" t="n">
        <v>851644.64</v>
      </c>
      <c r="O52" s="12" t="n">
        <v>946048.6599999999</v>
      </c>
      <c r="P52" s="12" t="n">
        <v>18300000</v>
      </c>
      <c r="Q52" s="9" t="inlineStr">
        <is>
          <t>Low</t>
        </is>
      </c>
      <c r="R52" s="11">
        <f>IFERROR(O52/K52,0)</f>
        <v/>
      </c>
    </row>
    <row r="53">
      <c r="A53" s="9" t="inlineStr">
        <is>
          <t>T0052</t>
        </is>
      </c>
      <c r="B53" s="9" t="inlineStr">
        <is>
          <t>Summit General</t>
        </is>
      </c>
      <c r="C53" s="9" t="inlineStr">
        <is>
          <t>Property</t>
        </is>
      </c>
      <c r="D53" s="9" t="inlineStr">
        <is>
          <t>North America</t>
        </is>
      </c>
      <c r="E53" s="9" t="inlineStr">
        <is>
          <t>Sophie Laurent</t>
        </is>
      </c>
      <c r="F53" s="9" t="inlineStr">
        <is>
          <t>Proportional</t>
        </is>
      </c>
      <c r="G53" s="9" t="n">
        <v>2026</v>
      </c>
      <c r="H53" s="12" t="n">
        <v>9300000</v>
      </c>
      <c r="I53" s="12" t="n">
        <v>254761.68</v>
      </c>
      <c r="J53" s="12" t="n">
        <v>20548.88</v>
      </c>
      <c r="K53" s="12" t="n">
        <v>222916.47</v>
      </c>
      <c r="L53" s="12" t="n">
        <v>62922.825</v>
      </c>
      <c r="M53" s="9" t="n">
        <v>1</v>
      </c>
      <c r="N53" s="12" t="n">
        <v>30229.38</v>
      </c>
      <c r="O53" s="12" t="n">
        <v>97854.43000000001</v>
      </c>
      <c r="P53" s="12" t="n">
        <v>1860000</v>
      </c>
      <c r="Q53" s="9" t="inlineStr">
        <is>
          <t>Low</t>
        </is>
      </c>
      <c r="R53" s="11">
        <f>IFERROR(O53/K53,0)</f>
        <v/>
      </c>
    </row>
    <row r="54">
      <c r="A54" s="9" t="inlineStr">
        <is>
          <t>T0053</t>
        </is>
      </c>
      <c r="B54" s="9" t="inlineStr">
        <is>
          <t>Harbor Insurance</t>
        </is>
      </c>
      <c r="C54" s="9" t="inlineStr">
        <is>
          <t>Property</t>
        </is>
      </c>
      <c r="D54" s="9" t="inlineStr">
        <is>
          <t>North America</t>
        </is>
      </c>
      <c r="E54" s="9" t="inlineStr">
        <is>
          <t>Priya Nair</t>
        </is>
      </c>
      <c r="F54" s="9" t="inlineStr">
        <is>
          <t>Proportional</t>
        </is>
      </c>
      <c r="G54" s="9" t="n">
        <v>2026</v>
      </c>
      <c r="H54" s="12" t="n">
        <v>6900000</v>
      </c>
      <c r="I54" s="12" t="n">
        <v>187731.14</v>
      </c>
      <c r="J54" s="12" t="n">
        <v>13580.64</v>
      </c>
      <c r="K54" s="12" t="n">
        <v>147056.06</v>
      </c>
      <c r="L54" s="12" t="n">
        <v>34592.39174507756</v>
      </c>
      <c r="M54" s="9" t="n">
        <v>2</v>
      </c>
      <c r="N54" s="12" t="n">
        <v>43094.58</v>
      </c>
      <c r="O54" s="12" t="n">
        <v>117440.68</v>
      </c>
      <c r="P54" s="12" t="n">
        <v>1380000</v>
      </c>
      <c r="Q54" s="9" t="inlineStr">
        <is>
          <t>Low</t>
        </is>
      </c>
      <c r="R54" s="11">
        <f>IFERROR(O54/K54,0)</f>
        <v/>
      </c>
    </row>
    <row r="55">
      <c r="A55" s="9" t="inlineStr">
        <is>
          <t>T0054</t>
        </is>
      </c>
      <c r="B55" s="9" t="inlineStr">
        <is>
          <t>Meridian Assurance</t>
        </is>
      </c>
      <c r="C55" s="9" t="inlineStr">
        <is>
          <t>Casualty</t>
        </is>
      </c>
      <c r="D55" s="9" t="inlineStr">
        <is>
          <t>Europe</t>
        </is>
      </c>
      <c r="E55" s="9" t="inlineStr">
        <is>
          <t>Carlos Ibarra</t>
        </is>
      </c>
      <c r="F55" s="9" t="inlineStr">
        <is>
          <t>Facultative</t>
        </is>
      </c>
      <c r="G55" s="9" t="n">
        <v>2024</v>
      </c>
      <c r="H55" s="12" t="n">
        <v>16500000.0024</v>
      </c>
      <c r="I55" s="12" t="n">
        <v>2041557.5664</v>
      </c>
      <c r="J55" s="12" t="n">
        <v>166334.472</v>
      </c>
      <c r="K55" s="12" t="n">
        <v>2041557.5664</v>
      </c>
      <c r="L55" s="12" t="n">
        <v>375451.9776000001</v>
      </c>
      <c r="M55" s="9" t="n">
        <v>15</v>
      </c>
      <c r="N55" s="12" t="n">
        <v>789406.9272</v>
      </c>
      <c r="O55" s="12" t="n">
        <v>871919.1000000001</v>
      </c>
      <c r="P55" s="12" t="n">
        <v>16500000.0024</v>
      </c>
      <c r="Q55" s="9" t="inlineStr">
        <is>
          <t>Low</t>
        </is>
      </c>
      <c r="R55" s="11">
        <f>IFERROR(O55/K55,0)</f>
        <v/>
      </c>
    </row>
    <row r="56">
      <c r="A56" s="9" t="inlineStr">
        <is>
          <t>T0055</t>
        </is>
      </c>
      <c r="B56" s="9" t="inlineStr">
        <is>
          <t>Harbor Mutual</t>
        </is>
      </c>
      <c r="C56" s="9" t="inlineStr">
        <is>
          <t>Professional</t>
        </is>
      </c>
      <c r="D56" s="9" t="inlineStr">
        <is>
          <t>North America</t>
        </is>
      </c>
      <c r="E56" s="9" t="inlineStr">
        <is>
          <t>Sophie Laurent</t>
        </is>
      </c>
      <c r="F56" s="9" t="inlineStr">
        <is>
          <t>Proportional</t>
        </is>
      </c>
      <c r="G56" s="9" t="n">
        <v>2026</v>
      </c>
      <c r="H56" s="12" t="n">
        <v>12600000</v>
      </c>
      <c r="I56" s="12" t="n">
        <v>464382.54</v>
      </c>
      <c r="J56" s="12" t="n">
        <v>39762.96</v>
      </c>
      <c r="K56" s="12" t="n">
        <v>410204.58</v>
      </c>
      <c r="L56" s="12" t="n">
        <v>105272.2577699007</v>
      </c>
      <c r="M56" s="9" t="n">
        <v>4</v>
      </c>
      <c r="N56" s="12" t="n">
        <v>84541.45999999999</v>
      </c>
      <c r="O56" s="12" t="n">
        <v>240135.71</v>
      </c>
      <c r="P56" s="12" t="n">
        <v>3150000</v>
      </c>
      <c r="Q56" s="9" t="inlineStr">
        <is>
          <t>Low</t>
        </is>
      </c>
      <c r="R56" s="11">
        <f>IFERROR(O56/K56,0)</f>
        <v/>
      </c>
    </row>
    <row r="57">
      <c r="A57" s="9" t="inlineStr">
        <is>
          <t>T0056</t>
        </is>
      </c>
      <c r="B57" s="9" t="inlineStr">
        <is>
          <t>Vantage General</t>
        </is>
      </c>
      <c r="C57" s="9" t="inlineStr">
        <is>
          <t>Casualty</t>
        </is>
      </c>
      <c r="D57" s="9" t="inlineStr">
        <is>
          <t>North America</t>
        </is>
      </c>
      <c r="E57" s="9" t="inlineStr">
        <is>
          <t>Hannah Weber</t>
        </is>
      </c>
      <c r="F57" s="9" t="inlineStr">
        <is>
          <t>Excess of Loss</t>
        </is>
      </c>
      <c r="G57" s="9" t="n">
        <v>2024</v>
      </c>
      <c r="H57" s="12" t="n">
        <v>6700000</v>
      </c>
      <c r="I57" s="12" t="n">
        <v>753202.08</v>
      </c>
      <c r="J57" s="12" t="n">
        <v>38702.28</v>
      </c>
      <c r="K57" s="12" t="n">
        <v>753202.08</v>
      </c>
      <c r="L57" s="12" t="n">
        <v>72852.95999999999</v>
      </c>
      <c r="M57" s="9" t="n">
        <v>8</v>
      </c>
      <c r="N57" s="12" t="n">
        <v>482387</v>
      </c>
      <c r="O57" s="12" t="n">
        <v>612656.86</v>
      </c>
      <c r="P57" s="12" t="n">
        <v>6700000</v>
      </c>
      <c r="Q57" s="9" t="inlineStr">
        <is>
          <t>Low</t>
        </is>
      </c>
      <c r="R57" s="11">
        <f>IFERROR(O57/K57,0)</f>
        <v/>
      </c>
    </row>
    <row r="58">
      <c r="A58" s="9" t="inlineStr">
        <is>
          <t>T0057</t>
        </is>
      </c>
      <c r="B58" s="9" t="inlineStr">
        <is>
          <t>Granite Indemnity</t>
        </is>
      </c>
      <c r="C58" s="9" t="inlineStr">
        <is>
          <t>Property</t>
        </is>
      </c>
      <c r="D58" s="9" t="inlineStr">
        <is>
          <t>Europe</t>
        </is>
      </c>
      <c r="E58" s="9" t="inlineStr">
        <is>
          <t>Hannah Weber</t>
        </is>
      </c>
      <c r="F58" s="9" t="inlineStr">
        <is>
          <t>Proportional</t>
        </is>
      </c>
      <c r="G58" s="9" t="n">
        <v>2025</v>
      </c>
      <c r="H58" s="12" t="n">
        <v>2099999.9952</v>
      </c>
      <c r="I58" s="12" t="n">
        <v>342885.4416</v>
      </c>
      <c r="J58" s="12" t="n">
        <v>38993.9184</v>
      </c>
      <c r="K58" s="12" t="n">
        <v>342885.4416</v>
      </c>
      <c r="L58" s="12" t="n">
        <v>84869.33760000001</v>
      </c>
      <c r="M58" s="9" t="n">
        <v>11</v>
      </c>
      <c r="N58" s="12" t="n">
        <v>64285.60680000001</v>
      </c>
      <c r="O58" s="12" t="n">
        <v>113704.6248</v>
      </c>
      <c r="P58" s="12" t="n">
        <v>1049999.9976</v>
      </c>
      <c r="Q58" s="9" t="inlineStr">
        <is>
          <t>Low</t>
        </is>
      </c>
      <c r="R58" s="11">
        <f>IFERROR(O58/K58,0)</f>
        <v/>
      </c>
    </row>
    <row r="59">
      <c r="A59" s="9" t="inlineStr">
        <is>
          <t>T0058</t>
        </is>
      </c>
      <c r="B59" s="9" t="inlineStr">
        <is>
          <t>Cobalt Indemnity</t>
        </is>
      </c>
      <c r="C59" s="9" t="inlineStr">
        <is>
          <t>Specialty</t>
        </is>
      </c>
      <c r="D59" s="9" t="inlineStr">
        <is>
          <t>North America</t>
        </is>
      </c>
      <c r="E59" s="9" t="inlineStr">
        <is>
          <t>Carlos Ibarra</t>
        </is>
      </c>
      <c r="F59" s="9" t="inlineStr">
        <is>
          <t>Proportional</t>
        </is>
      </c>
      <c r="G59" s="9" t="n">
        <v>2025</v>
      </c>
      <c r="H59" s="12" t="n">
        <v>2300000</v>
      </c>
      <c r="I59" s="12" t="n">
        <v>219433.44</v>
      </c>
      <c r="J59" s="12" t="n">
        <v>17116.8</v>
      </c>
      <c r="K59" s="12" t="n">
        <v>215166.68</v>
      </c>
      <c r="L59" s="12" t="n">
        <v>54232.56700273212</v>
      </c>
      <c r="M59" s="9" t="n">
        <v>12</v>
      </c>
      <c r="N59" s="12" t="n">
        <v>689802.7</v>
      </c>
      <c r="O59" s="12" t="n">
        <v>3184909.96</v>
      </c>
      <c r="P59" s="12" t="n">
        <v>1150000</v>
      </c>
      <c r="Q59" s="9" t="inlineStr">
        <is>
          <t>Critical</t>
        </is>
      </c>
      <c r="R59" s="11">
        <f>IFERROR(O59/K59,0)</f>
        <v/>
      </c>
    </row>
    <row r="60">
      <c r="A60" s="9" t="inlineStr">
        <is>
          <t>T0059</t>
        </is>
      </c>
      <c r="B60" s="9" t="inlineStr">
        <is>
          <t>Orion Insurance</t>
        </is>
      </c>
      <c r="C60" s="9" t="inlineStr">
        <is>
          <t>Specialty</t>
        </is>
      </c>
      <c r="D60" s="9" t="inlineStr">
        <is>
          <t>Asia Pacific</t>
        </is>
      </c>
      <c r="E60" s="9" t="inlineStr">
        <is>
          <t>Kenji Sato</t>
        </is>
      </c>
      <c r="F60" s="9" t="inlineStr">
        <is>
          <t>Excess of Loss</t>
        </is>
      </c>
      <c r="G60" s="9" t="n">
        <v>2023</v>
      </c>
      <c r="H60" s="12" t="n">
        <v>21900000</v>
      </c>
      <c r="I60" s="12" t="n">
        <v>2776799.76</v>
      </c>
      <c r="J60" s="12" t="n">
        <v>316241.52</v>
      </c>
      <c r="K60" s="12" t="n">
        <v>2776799.76</v>
      </c>
      <c r="L60" s="12" t="n">
        <v>261724.92</v>
      </c>
      <c r="M60" s="9" t="n">
        <v>10</v>
      </c>
      <c r="N60" s="12" t="n">
        <v>1412002.06</v>
      </c>
      <c r="O60" s="12" t="n">
        <v>1412002.06</v>
      </c>
      <c r="P60" s="12" t="n">
        <v>21900000</v>
      </c>
      <c r="Q60" s="9" t="inlineStr">
        <is>
          <t>Low</t>
        </is>
      </c>
      <c r="R60" s="11">
        <f>IFERROR(O60/K60,0)</f>
        <v/>
      </c>
    </row>
    <row r="61">
      <c r="A61" s="9" t="inlineStr">
        <is>
          <t>T0060</t>
        </is>
      </c>
      <c r="B61" s="9" t="inlineStr">
        <is>
          <t>Harbor Indemnity</t>
        </is>
      </c>
      <c r="C61" s="9" t="inlineStr">
        <is>
          <t>Professional</t>
        </is>
      </c>
      <c r="D61" s="9" t="inlineStr">
        <is>
          <t>North America</t>
        </is>
      </c>
      <c r="E61" s="9" t="inlineStr">
        <is>
          <t>Hannah Weber</t>
        </is>
      </c>
      <c r="F61" s="9" t="inlineStr">
        <is>
          <t>Excess of Loss</t>
        </is>
      </c>
      <c r="G61" s="9" t="n">
        <v>2026</v>
      </c>
      <c r="H61" s="12" t="n">
        <v>5800000</v>
      </c>
      <c r="I61" s="12" t="n">
        <v>284217.22</v>
      </c>
      <c r="J61" s="12" t="n">
        <v>19340.02</v>
      </c>
      <c r="K61" s="12" t="n">
        <v>282863.8</v>
      </c>
      <c r="L61" s="12" t="n">
        <v>18899.80002152579</v>
      </c>
      <c r="M61" s="9" t="n">
        <v>7</v>
      </c>
      <c r="N61" s="12" t="n">
        <v>42157.2</v>
      </c>
      <c r="O61" s="12" t="n">
        <v>98963.59</v>
      </c>
      <c r="P61" s="12" t="n">
        <v>5800000</v>
      </c>
      <c r="Q61" s="9" t="inlineStr">
        <is>
          <t>Low</t>
        </is>
      </c>
      <c r="R61" s="11">
        <f>IFERROR(O61/K61,0)</f>
        <v/>
      </c>
    </row>
    <row r="62">
      <c r="A62" s="9" t="inlineStr">
        <is>
          <t>T0061</t>
        </is>
      </c>
      <c r="B62" s="9" t="inlineStr">
        <is>
          <t>Granite Insurance</t>
        </is>
      </c>
      <c r="C62" s="9" t="inlineStr">
        <is>
          <t>Casualty</t>
        </is>
      </c>
      <c r="D62" s="9" t="inlineStr">
        <is>
          <t>Asia Pacific</t>
        </is>
      </c>
      <c r="E62" s="9" t="inlineStr">
        <is>
          <t>Sophie Laurent</t>
        </is>
      </c>
      <c r="F62" s="9" t="inlineStr">
        <is>
          <t>Excess of Loss</t>
        </is>
      </c>
      <c r="G62" s="9" t="n">
        <v>2022</v>
      </c>
      <c r="H62" s="12" t="n">
        <v>6200000</v>
      </c>
      <c r="I62" s="12" t="n">
        <v>949776.8400000001</v>
      </c>
      <c r="J62" s="12" t="n">
        <v>98970.12</v>
      </c>
      <c r="K62" s="12" t="n">
        <v>949776.8400000001</v>
      </c>
      <c r="L62" s="12" t="n">
        <v>100510.8</v>
      </c>
      <c r="M62" s="9" t="n">
        <v>17</v>
      </c>
      <c r="N62" s="12" t="n">
        <v>912128.14</v>
      </c>
      <c r="O62" s="12" t="n">
        <v>994874.1899999999</v>
      </c>
      <c r="P62" s="12" t="n">
        <v>6200000</v>
      </c>
      <c r="Q62" s="9" t="inlineStr">
        <is>
          <t>Low</t>
        </is>
      </c>
      <c r="R62" s="11">
        <f>IFERROR(O62/K62,0)</f>
        <v/>
      </c>
    </row>
    <row r="63">
      <c r="A63" s="9" t="inlineStr">
        <is>
          <t>T0062</t>
        </is>
      </c>
      <c r="B63" s="9" t="inlineStr">
        <is>
          <t>Crown General</t>
        </is>
      </c>
      <c r="C63" s="9" t="inlineStr">
        <is>
          <t>Casualty</t>
        </is>
      </c>
      <c r="D63" s="9" t="inlineStr">
        <is>
          <t>North America</t>
        </is>
      </c>
      <c r="E63" s="9" t="inlineStr">
        <is>
          <t>Priya Nair</t>
        </is>
      </c>
      <c r="F63" s="9" t="inlineStr">
        <is>
          <t>Proportional</t>
        </is>
      </c>
      <c r="G63" s="9" t="n">
        <v>2026</v>
      </c>
      <c r="H63" s="12" t="n">
        <v>6800000</v>
      </c>
      <c r="I63" s="12" t="n">
        <v>429583.52</v>
      </c>
      <c r="J63" s="12" t="n">
        <v>45257.36</v>
      </c>
      <c r="K63" s="12" t="n">
        <v>424213.73</v>
      </c>
      <c r="L63" s="12" t="n">
        <v>132901.9382531602</v>
      </c>
      <c r="M63" s="9" t="n">
        <v>4</v>
      </c>
      <c r="N63" s="12" t="n">
        <v>39771.92</v>
      </c>
      <c r="O63" s="12" t="n">
        <v>253487.96</v>
      </c>
      <c r="P63" s="12" t="n">
        <v>680000</v>
      </c>
      <c r="Q63" s="9" t="inlineStr">
        <is>
          <t>Low</t>
        </is>
      </c>
      <c r="R63" s="11">
        <f>IFERROR(O63/K63,0)</f>
        <v/>
      </c>
    </row>
    <row r="64">
      <c r="A64" s="9" t="inlineStr">
        <is>
          <t>T0063</t>
        </is>
      </c>
      <c r="B64" s="9" t="inlineStr">
        <is>
          <t>Pioneer General</t>
        </is>
      </c>
      <c r="C64" s="9" t="inlineStr">
        <is>
          <t>Financial Lines</t>
        </is>
      </c>
      <c r="D64" s="9" t="inlineStr">
        <is>
          <t>Europe</t>
        </is>
      </c>
      <c r="E64" s="9" t="inlineStr">
        <is>
          <t>Aarav Mehta</t>
        </is>
      </c>
      <c r="F64" s="9" t="inlineStr">
        <is>
          <t>Proportional</t>
        </is>
      </c>
      <c r="G64" s="9" t="n">
        <v>2024</v>
      </c>
      <c r="H64" s="12" t="n">
        <v>3300000.0048</v>
      </c>
      <c r="I64" s="12" t="n">
        <v>376962.5952</v>
      </c>
      <c r="J64" s="12" t="n">
        <v>45220.2912</v>
      </c>
      <c r="K64" s="12" t="n">
        <v>376962.5952</v>
      </c>
      <c r="L64" s="12" t="n">
        <v>103747.1328</v>
      </c>
      <c r="M64" s="9" t="n">
        <v>10</v>
      </c>
      <c r="N64" s="12" t="n">
        <v>144890.5752</v>
      </c>
      <c r="O64" s="12" t="n">
        <v>185997.2652</v>
      </c>
      <c r="P64" s="12" t="n">
        <v>330000.0048</v>
      </c>
      <c r="Q64" s="9" t="inlineStr">
        <is>
          <t>Low</t>
        </is>
      </c>
      <c r="R64" s="11">
        <f>IFERROR(O64/K64,0)</f>
        <v/>
      </c>
    </row>
    <row r="65">
      <c r="A65" s="9" t="inlineStr">
        <is>
          <t>T0064</t>
        </is>
      </c>
      <c r="B65" s="9" t="inlineStr">
        <is>
          <t>Crown Insurance</t>
        </is>
      </c>
      <c r="C65" s="9" t="inlineStr">
        <is>
          <t>Property</t>
        </is>
      </c>
      <c r="D65" s="9" t="inlineStr">
        <is>
          <t>Asia Pacific</t>
        </is>
      </c>
      <c r="E65" s="9" t="inlineStr">
        <is>
          <t>Priya Nair</t>
        </is>
      </c>
      <c r="F65" s="9" t="inlineStr">
        <is>
          <t>Proportional</t>
        </is>
      </c>
      <c r="G65" s="9" t="n">
        <v>2025</v>
      </c>
      <c r="H65" s="12" t="n">
        <v>28300000</v>
      </c>
      <c r="I65" s="12" t="n">
        <v>2669162.3</v>
      </c>
      <c r="J65" s="12" t="n">
        <v>288932.6</v>
      </c>
      <c r="K65" s="12" t="n">
        <v>2420040.49</v>
      </c>
      <c r="L65" s="12" t="n">
        <v>544852.5397173289</v>
      </c>
      <c r="M65" s="9" t="n">
        <v>13</v>
      </c>
      <c r="N65" s="12" t="n">
        <v>520339.65</v>
      </c>
      <c r="O65" s="12" t="n">
        <v>1731230.31</v>
      </c>
      <c r="P65" s="12" t="n">
        <v>5660000</v>
      </c>
      <c r="Q65" s="9" t="inlineStr">
        <is>
          <t>Low</t>
        </is>
      </c>
      <c r="R65" s="11">
        <f>IFERROR(O65/K65,0)</f>
        <v/>
      </c>
    </row>
    <row r="66">
      <c r="A66" s="9" t="inlineStr">
        <is>
          <t>T0065</t>
        </is>
      </c>
      <c r="B66" s="9" t="inlineStr">
        <is>
          <t>Sterling Insurance</t>
        </is>
      </c>
      <c r="C66" s="9" t="inlineStr">
        <is>
          <t>Casualty</t>
        </is>
      </c>
      <c r="D66" s="9" t="inlineStr">
        <is>
          <t>Asia Pacific</t>
        </is>
      </c>
      <c r="E66" s="9" t="inlineStr">
        <is>
          <t>Hannah Weber</t>
        </is>
      </c>
      <c r="F66" s="9" t="inlineStr">
        <is>
          <t>Excess of Loss</t>
        </is>
      </c>
      <c r="G66" s="9" t="n">
        <v>2023</v>
      </c>
      <c r="H66" s="12" t="n">
        <v>14499999.99996</v>
      </c>
      <c r="I66" s="12" t="n">
        <v>1222452.6264</v>
      </c>
      <c r="J66" s="12" t="n">
        <v>106804.22112</v>
      </c>
      <c r="K66" s="12" t="n">
        <v>1222452.6264</v>
      </c>
      <c r="L66" s="12" t="n">
        <v>69345.6624</v>
      </c>
      <c r="M66" s="9" t="n">
        <v>8</v>
      </c>
      <c r="N66" s="12" t="n">
        <v>212921.29308</v>
      </c>
      <c r="O66" s="12" t="n">
        <v>462056.24148</v>
      </c>
      <c r="P66" s="12" t="n">
        <v>14499999.99996</v>
      </c>
      <c r="Q66" s="9" t="inlineStr">
        <is>
          <t>Low</t>
        </is>
      </c>
      <c r="R66" s="11">
        <f>IFERROR(O66/K66,0)</f>
        <v/>
      </c>
    </row>
    <row r="67">
      <c r="A67" s="9" t="inlineStr">
        <is>
          <t>T0066</t>
        </is>
      </c>
      <c r="B67" s="9" t="inlineStr">
        <is>
          <t>Atlas Indemnity</t>
        </is>
      </c>
      <c r="C67" s="9" t="inlineStr">
        <is>
          <t>Property</t>
        </is>
      </c>
      <c r="D67" s="9" t="inlineStr">
        <is>
          <t>North America</t>
        </is>
      </c>
      <c r="E67" s="9" t="inlineStr">
        <is>
          <t>James Whitfield</t>
        </is>
      </c>
      <c r="F67" s="9" t="inlineStr">
        <is>
          <t>Proportional</t>
        </is>
      </c>
      <c r="G67" s="9" t="n">
        <v>2021</v>
      </c>
      <c r="H67" s="12" t="n">
        <v>12500000</v>
      </c>
      <c r="I67" s="12" t="n">
        <v>1145701.68</v>
      </c>
      <c r="J67" s="12" t="n">
        <v>100507.68</v>
      </c>
      <c r="K67" s="12" t="n">
        <v>1145701.68</v>
      </c>
      <c r="L67" s="12" t="n">
        <v>346360.2</v>
      </c>
      <c r="M67" s="9" t="n">
        <v>8</v>
      </c>
      <c r="N67" s="12" t="n">
        <v>436281.52</v>
      </c>
      <c r="O67" s="12" t="n">
        <v>498070.18</v>
      </c>
      <c r="P67" s="12" t="n">
        <v>3125000</v>
      </c>
      <c r="Q67" s="9" t="inlineStr">
        <is>
          <t>Low</t>
        </is>
      </c>
      <c r="R67" s="11">
        <f>IFERROR(O67/K67,0)</f>
        <v/>
      </c>
    </row>
    <row r="68">
      <c r="A68" s="9" t="inlineStr">
        <is>
          <t>T0067</t>
        </is>
      </c>
      <c r="B68" s="9" t="inlineStr">
        <is>
          <t>Sterling Insurance</t>
        </is>
      </c>
      <c r="C68" s="9" t="inlineStr">
        <is>
          <t>Property</t>
        </is>
      </c>
      <c r="D68" s="9" t="inlineStr">
        <is>
          <t>Asia Pacific</t>
        </is>
      </c>
      <c r="E68" s="9" t="inlineStr">
        <is>
          <t>Kenji Sato</t>
        </is>
      </c>
      <c r="F68" s="9" t="inlineStr">
        <is>
          <t>Proportional</t>
        </is>
      </c>
      <c r="G68" s="9" t="n">
        <v>2023</v>
      </c>
      <c r="H68" s="12" t="n">
        <v>39900000</v>
      </c>
      <c r="I68" s="12" t="n">
        <v>4185599.10336</v>
      </c>
      <c r="J68" s="12" t="n">
        <v>270333.42192</v>
      </c>
      <c r="K68" s="12" t="n">
        <v>4185599.10336</v>
      </c>
      <c r="L68" s="12" t="n">
        <v>1234863.06768</v>
      </c>
      <c r="M68" s="9" t="n">
        <v>10</v>
      </c>
      <c r="N68" s="12" t="n">
        <v>2643599.38704</v>
      </c>
      <c r="O68" s="12" t="n">
        <v>4550726.52312</v>
      </c>
      <c r="P68" s="12" t="n">
        <v>7980000</v>
      </c>
      <c r="Q68" s="9" t="inlineStr">
        <is>
          <t>Low</t>
        </is>
      </c>
      <c r="R68" s="11">
        <f>IFERROR(O68/K68,0)</f>
        <v/>
      </c>
    </row>
    <row r="69">
      <c r="A69" s="9" t="inlineStr">
        <is>
          <t>T0068</t>
        </is>
      </c>
      <c r="B69" s="9" t="inlineStr">
        <is>
          <t>Lumen Mutual</t>
        </is>
      </c>
      <c r="C69" s="9" t="inlineStr">
        <is>
          <t>Property</t>
        </is>
      </c>
      <c r="D69" s="9" t="inlineStr">
        <is>
          <t>Middle East &amp; Africa</t>
        </is>
      </c>
      <c r="E69" s="9" t="inlineStr">
        <is>
          <t>Sophie Laurent</t>
        </is>
      </c>
      <c r="F69" s="9" t="inlineStr">
        <is>
          <t>Excess of Loss</t>
        </is>
      </c>
      <c r="G69" s="9" t="n">
        <v>2021</v>
      </c>
      <c r="H69" s="12" t="n">
        <v>28600000</v>
      </c>
      <c r="I69" s="12" t="n">
        <v>3328958.16</v>
      </c>
      <c r="J69" s="12" t="n">
        <v>258008.52</v>
      </c>
      <c r="K69" s="12" t="n">
        <v>3328958.16</v>
      </c>
      <c r="L69" s="12" t="n">
        <v>318740.4</v>
      </c>
      <c r="M69" s="9" t="n">
        <v>11</v>
      </c>
      <c r="N69" s="12" t="n">
        <v>1379267.2</v>
      </c>
      <c r="O69" s="12" t="n">
        <v>1508699.4</v>
      </c>
      <c r="P69" s="12" t="n">
        <v>28600000</v>
      </c>
      <c r="Q69" s="9" t="inlineStr">
        <is>
          <t>Low</t>
        </is>
      </c>
      <c r="R69" s="11">
        <f>IFERROR(O69/K69,0)</f>
        <v/>
      </c>
    </row>
    <row r="70">
      <c r="A70" s="9" t="inlineStr">
        <is>
          <t>T0069</t>
        </is>
      </c>
      <c r="B70" s="9" t="inlineStr">
        <is>
          <t>Orion Insurance</t>
        </is>
      </c>
      <c r="C70" s="9" t="inlineStr">
        <is>
          <t>Financial Lines</t>
        </is>
      </c>
      <c r="D70" s="9" t="inlineStr">
        <is>
          <t>Asia Pacific</t>
        </is>
      </c>
      <c r="E70" s="9" t="inlineStr">
        <is>
          <t>Sophie Laurent</t>
        </is>
      </c>
      <c r="F70" s="9" t="inlineStr">
        <is>
          <t>Excess of Loss</t>
        </is>
      </c>
      <c r="G70" s="9" t="n">
        <v>2025</v>
      </c>
      <c r="H70" s="12" t="n">
        <v>3900000</v>
      </c>
      <c r="I70" s="12" t="n">
        <v>510411.72</v>
      </c>
      <c r="J70" s="12" t="n">
        <v>50907.12</v>
      </c>
      <c r="K70" s="12" t="n">
        <v>510411.72</v>
      </c>
      <c r="L70" s="12" t="n">
        <v>45203.87999999999</v>
      </c>
      <c r="M70" s="9" t="n">
        <v>5</v>
      </c>
      <c r="N70" s="12" t="n">
        <v>443995.74</v>
      </c>
      <c r="O70" s="12" t="n">
        <v>480600.26</v>
      </c>
      <c r="P70" s="12" t="n">
        <v>3900000</v>
      </c>
      <c r="Q70" s="9" t="inlineStr">
        <is>
          <t>Low</t>
        </is>
      </c>
      <c r="R70" s="11">
        <f>IFERROR(O70/K70,0)</f>
        <v/>
      </c>
    </row>
    <row r="71">
      <c r="A71" s="9" t="inlineStr">
        <is>
          <t>T0070</t>
        </is>
      </c>
      <c r="B71" s="9" t="inlineStr">
        <is>
          <t>Summit Indemnity</t>
        </is>
      </c>
      <c r="C71" s="9" t="inlineStr">
        <is>
          <t>Property</t>
        </is>
      </c>
      <c r="D71" s="9" t="inlineStr">
        <is>
          <t>Asia Pacific</t>
        </is>
      </c>
      <c r="E71" s="9" t="inlineStr">
        <is>
          <t>Priya Nair</t>
        </is>
      </c>
      <c r="F71" s="9" t="inlineStr">
        <is>
          <t>Excess of Loss</t>
        </is>
      </c>
      <c r="G71" s="9" t="n">
        <v>2024</v>
      </c>
      <c r="H71" s="12" t="n">
        <v>15000000</v>
      </c>
      <c r="I71" s="12" t="n">
        <v>1267598.4</v>
      </c>
      <c r="J71" s="12" t="n">
        <v>109690.68</v>
      </c>
      <c r="K71" s="12" t="n">
        <v>1267598.4</v>
      </c>
      <c r="L71" s="12" t="n">
        <v>97574.51999999999</v>
      </c>
      <c r="M71" s="9" t="n">
        <v>12</v>
      </c>
      <c r="N71" s="12" t="n">
        <v>584081.1900000001</v>
      </c>
      <c r="O71" s="12" t="n">
        <v>589567.28</v>
      </c>
      <c r="P71" s="12" t="n">
        <v>15000000</v>
      </c>
      <c r="Q71" s="9" t="inlineStr">
        <is>
          <t>Low</t>
        </is>
      </c>
      <c r="R71" s="11">
        <f>IFERROR(O71/K71,0)</f>
        <v/>
      </c>
    </row>
    <row r="72">
      <c r="A72" s="9" t="inlineStr">
        <is>
          <t>T0071</t>
        </is>
      </c>
      <c r="B72" s="9" t="inlineStr">
        <is>
          <t>Granite Indemnity</t>
        </is>
      </c>
      <c r="C72" s="9" t="inlineStr">
        <is>
          <t>Specialty</t>
        </is>
      </c>
      <c r="D72" s="9" t="inlineStr">
        <is>
          <t>Europe</t>
        </is>
      </c>
      <c r="E72" s="9" t="inlineStr">
        <is>
          <t>Kenji Sato</t>
        </is>
      </c>
      <c r="F72" s="9" t="inlineStr">
        <is>
          <t>Proportional</t>
        </is>
      </c>
      <c r="G72" s="9" t="n">
        <v>2024</v>
      </c>
      <c r="H72" s="12" t="n">
        <v>18100000.0008</v>
      </c>
      <c r="I72" s="12" t="n">
        <v>1387397.0304</v>
      </c>
      <c r="J72" s="12" t="n">
        <v>160227.5904</v>
      </c>
      <c r="K72" s="12" t="n">
        <v>1387397.0304</v>
      </c>
      <c r="L72" s="12" t="n">
        <v>394893.5328</v>
      </c>
      <c r="M72" s="9" t="n">
        <v>12</v>
      </c>
      <c r="N72" s="12" t="n">
        <v>743622.7032000001</v>
      </c>
      <c r="O72" s="12" t="n">
        <v>743622.7032000001</v>
      </c>
      <c r="P72" s="12" t="n">
        <v>1810000.0044</v>
      </c>
      <c r="Q72" s="9" t="inlineStr">
        <is>
          <t>Low</t>
        </is>
      </c>
      <c r="R72" s="11">
        <f>IFERROR(O72/K72,0)</f>
        <v/>
      </c>
    </row>
    <row r="73">
      <c r="A73" s="9" t="inlineStr">
        <is>
          <t>T0072</t>
        </is>
      </c>
      <c r="B73" s="9" t="inlineStr">
        <is>
          <t>Atlas Indemnity</t>
        </is>
      </c>
      <c r="C73" s="9" t="inlineStr">
        <is>
          <t>Property</t>
        </is>
      </c>
      <c r="D73" s="9" t="inlineStr">
        <is>
          <t>North America</t>
        </is>
      </c>
      <c r="E73" s="9" t="inlineStr">
        <is>
          <t>Aarav Mehta</t>
        </is>
      </c>
      <c r="F73" s="9" t="inlineStr">
        <is>
          <t>Excess of Loss</t>
        </is>
      </c>
      <c r="G73" s="9" t="n">
        <v>2024</v>
      </c>
      <c r="H73" s="12" t="n">
        <v>3400000</v>
      </c>
      <c r="I73" s="12" t="n">
        <v>492959.76</v>
      </c>
      <c r="J73" s="12" t="n">
        <v>54333.84</v>
      </c>
      <c r="K73" s="12" t="n">
        <v>492959.76</v>
      </c>
      <c r="L73" s="12" t="n">
        <v>39235.32</v>
      </c>
      <c r="M73" s="9" t="n">
        <v>8</v>
      </c>
      <c r="N73" s="12" t="n">
        <v>297681.98</v>
      </c>
      <c r="O73" s="12" t="n">
        <v>297681.98</v>
      </c>
      <c r="P73" s="12" t="n">
        <v>3400000</v>
      </c>
      <c r="Q73" s="9" t="inlineStr">
        <is>
          <t>Low</t>
        </is>
      </c>
      <c r="R73" s="11">
        <f>IFERROR(O73/K73,0)</f>
        <v/>
      </c>
    </row>
    <row r="74">
      <c r="A74" s="9" t="inlineStr">
        <is>
          <t>T0073</t>
        </is>
      </c>
      <c r="B74" s="9" t="inlineStr">
        <is>
          <t>Granite Indemnity</t>
        </is>
      </c>
      <c r="C74" s="9" t="inlineStr">
        <is>
          <t>Casualty</t>
        </is>
      </c>
      <c r="D74" s="9" t="inlineStr">
        <is>
          <t>Europe</t>
        </is>
      </c>
      <c r="E74" s="9" t="inlineStr">
        <is>
          <t>Carlos Ibarra</t>
        </is>
      </c>
      <c r="F74" s="9" t="inlineStr">
        <is>
          <t>Proportional</t>
        </is>
      </c>
      <c r="G74" s="9" t="n">
        <v>2021</v>
      </c>
      <c r="H74" s="12" t="n">
        <v>66700000.0008</v>
      </c>
      <c r="I74" s="12" t="n">
        <v>9736290.3312</v>
      </c>
      <c r="J74" s="12" t="n">
        <v>565414.0848000001</v>
      </c>
      <c r="K74" s="12" t="n">
        <v>9736290.3312</v>
      </c>
      <c r="L74" s="12" t="n">
        <v>3006922.305600001</v>
      </c>
      <c r="M74" s="9" t="n">
        <v>12</v>
      </c>
      <c r="N74" s="12" t="n">
        <v>7056522.165600001</v>
      </c>
      <c r="O74" s="12" t="n">
        <v>8729420.976</v>
      </c>
      <c r="P74" s="12" t="n">
        <v>33350000.0004</v>
      </c>
      <c r="Q74" s="9" t="inlineStr">
        <is>
          <t>Low</t>
        </is>
      </c>
      <c r="R74" s="11">
        <f>IFERROR(O74/K74,0)</f>
        <v/>
      </c>
    </row>
    <row r="75">
      <c r="A75" s="9" t="inlineStr">
        <is>
          <t>T0074</t>
        </is>
      </c>
      <c r="B75" s="9" t="inlineStr">
        <is>
          <t>Northwind Indemnity</t>
        </is>
      </c>
      <c r="C75" s="9" t="inlineStr">
        <is>
          <t>Property</t>
        </is>
      </c>
      <c r="D75" s="9" t="inlineStr">
        <is>
          <t>North America</t>
        </is>
      </c>
      <c r="E75" s="9" t="inlineStr">
        <is>
          <t>Kenji Sato</t>
        </is>
      </c>
      <c r="F75" s="9" t="inlineStr">
        <is>
          <t>Excess of Loss</t>
        </is>
      </c>
      <c r="G75" s="9" t="n">
        <v>2025</v>
      </c>
      <c r="H75" s="12" t="n">
        <v>58600000</v>
      </c>
      <c r="I75" s="12" t="n">
        <v>3494288.9</v>
      </c>
      <c r="J75" s="12" t="n">
        <v>315814.8</v>
      </c>
      <c r="K75" s="12" t="n">
        <v>3296279.2</v>
      </c>
      <c r="L75" s="12" t="n">
        <v>239558.9343149274</v>
      </c>
      <c r="M75" s="9" t="n">
        <v>6</v>
      </c>
      <c r="N75" s="12" t="n">
        <v>2426928.13</v>
      </c>
      <c r="O75" s="12" t="n">
        <v>3144842.2</v>
      </c>
      <c r="P75" s="12" t="n">
        <v>58600000</v>
      </c>
      <c r="Q75" s="9" t="inlineStr">
        <is>
          <t>Low</t>
        </is>
      </c>
      <c r="R75" s="11">
        <f>IFERROR(O75/K75,0)</f>
        <v/>
      </c>
    </row>
    <row r="76">
      <c r="A76" s="9" t="inlineStr">
        <is>
          <t>T0075</t>
        </is>
      </c>
      <c r="B76" s="9" t="inlineStr">
        <is>
          <t>Summit Mutual</t>
        </is>
      </c>
      <c r="C76" s="9" t="inlineStr">
        <is>
          <t>Property</t>
        </is>
      </c>
      <c r="D76" s="9" t="inlineStr">
        <is>
          <t>Middle East &amp; Africa</t>
        </is>
      </c>
      <c r="E76" s="9" t="inlineStr">
        <is>
          <t>Kenji Sato</t>
        </is>
      </c>
      <c r="F76" s="9" t="inlineStr">
        <is>
          <t>Proportional</t>
        </is>
      </c>
      <c r="G76" s="9" t="n">
        <v>2026</v>
      </c>
      <c r="H76" s="12" t="n">
        <v>15500000</v>
      </c>
      <c r="I76" s="12" t="n">
        <v>878978.73</v>
      </c>
      <c r="J76" s="12" t="n">
        <v>80209.64</v>
      </c>
      <c r="K76" s="12" t="n">
        <v>791080.86</v>
      </c>
      <c r="L76" s="12" t="n">
        <v>184167.7746984157</v>
      </c>
      <c r="M76" s="9" t="n">
        <v>8</v>
      </c>
      <c r="N76" s="12" t="n">
        <v>447105.84</v>
      </c>
      <c r="O76" s="12" t="n">
        <v>1062486.14</v>
      </c>
      <c r="P76" s="12" t="n">
        <v>3875000</v>
      </c>
      <c r="Q76" s="9" t="inlineStr">
        <is>
          <t>Low</t>
        </is>
      </c>
      <c r="R76" s="11">
        <f>IFERROR(O76/K76,0)</f>
        <v/>
      </c>
    </row>
    <row r="77">
      <c r="A77" s="9" t="inlineStr">
        <is>
          <t>T0076</t>
        </is>
      </c>
      <c r="B77" s="9" t="inlineStr">
        <is>
          <t>Atlas Mutual</t>
        </is>
      </c>
      <c r="C77" s="9" t="inlineStr">
        <is>
          <t>Casualty</t>
        </is>
      </c>
      <c r="D77" s="9" t="inlineStr">
        <is>
          <t>Europe</t>
        </is>
      </c>
      <c r="E77" s="9" t="inlineStr">
        <is>
          <t>Priya Nair</t>
        </is>
      </c>
      <c r="F77" s="9" t="inlineStr">
        <is>
          <t>Facultative</t>
        </is>
      </c>
      <c r="G77" s="9" t="n">
        <v>2023</v>
      </c>
      <c r="H77" s="12" t="n">
        <v>19900000.0044</v>
      </c>
      <c r="I77" s="12" t="n">
        <v>1483287.4224</v>
      </c>
      <c r="J77" s="12" t="n">
        <v>142562.8512</v>
      </c>
      <c r="K77" s="12" t="n">
        <v>1483287.4224</v>
      </c>
      <c r="L77" s="12" t="n">
        <v>246912.624</v>
      </c>
      <c r="M77" s="9" t="n">
        <v>7</v>
      </c>
      <c r="N77" s="12" t="n">
        <v>547707.7656</v>
      </c>
      <c r="O77" s="12" t="n">
        <v>547707.7656</v>
      </c>
      <c r="P77" s="12" t="n">
        <v>19900000.0044</v>
      </c>
      <c r="Q77" s="9" t="inlineStr">
        <is>
          <t>Low</t>
        </is>
      </c>
      <c r="R77" s="11">
        <f>IFERROR(O77/K77,0)</f>
        <v/>
      </c>
    </row>
    <row r="78">
      <c r="A78" s="9" t="inlineStr">
        <is>
          <t>T0077</t>
        </is>
      </c>
      <c r="B78" s="9" t="inlineStr">
        <is>
          <t>Northwind Assurance</t>
        </is>
      </c>
      <c r="C78" s="9" t="inlineStr">
        <is>
          <t>Casualty</t>
        </is>
      </c>
      <c r="D78" s="9" t="inlineStr">
        <is>
          <t>North America</t>
        </is>
      </c>
      <c r="E78" s="9" t="inlineStr">
        <is>
          <t>Sophie Laurent</t>
        </is>
      </c>
      <c r="F78" s="9" t="inlineStr">
        <is>
          <t>Proportional</t>
        </is>
      </c>
      <c r="G78" s="9" t="n">
        <v>2023</v>
      </c>
      <c r="H78" s="12" t="n">
        <v>15600000</v>
      </c>
      <c r="I78" s="12" t="n">
        <v>1354882.44</v>
      </c>
      <c r="J78" s="12" t="n">
        <v>92158.56</v>
      </c>
      <c r="K78" s="12" t="n">
        <v>1354882.44</v>
      </c>
      <c r="L78" s="12" t="n">
        <v>350792.16</v>
      </c>
      <c r="M78" s="9" t="n">
        <v>7</v>
      </c>
      <c r="N78" s="12" t="n">
        <v>1029294.59</v>
      </c>
      <c r="O78" s="12" t="n">
        <v>1029294.59</v>
      </c>
      <c r="P78" s="12" t="n">
        <v>3120000</v>
      </c>
      <c r="Q78" s="9" t="inlineStr">
        <is>
          <t>Low</t>
        </is>
      </c>
      <c r="R78" s="11">
        <f>IFERROR(O78/K78,0)</f>
        <v/>
      </c>
    </row>
    <row r="79">
      <c r="A79" s="9" t="inlineStr">
        <is>
          <t>T0078</t>
        </is>
      </c>
      <c r="B79" s="9" t="inlineStr">
        <is>
          <t>Sterling Insurance</t>
        </is>
      </c>
      <c r="C79" s="9" t="inlineStr">
        <is>
          <t>Unmapped</t>
        </is>
      </c>
      <c r="D79" s="9" t="inlineStr">
        <is>
          <t>Asia Pacific</t>
        </is>
      </c>
      <c r="E79" s="9" t="inlineStr">
        <is>
          <t>Hannah Weber</t>
        </is>
      </c>
      <c r="F79" s="9" t="inlineStr">
        <is>
          <t>Facultative</t>
        </is>
      </c>
      <c r="G79" s="9" t="n">
        <v>2024</v>
      </c>
      <c r="H79" s="12" t="n">
        <v>44100000</v>
      </c>
      <c r="I79" s="12" t="n">
        <v>5170105.2312</v>
      </c>
      <c r="J79" s="12" t="n">
        <v>504753.84</v>
      </c>
      <c r="K79" s="12" t="n">
        <v>5170105.2312</v>
      </c>
      <c r="L79" s="12" t="n">
        <v>925184.52144</v>
      </c>
      <c r="M79" s="9" t="n">
        <v>10</v>
      </c>
      <c r="N79" s="12" t="n">
        <v>1896891.49356</v>
      </c>
      <c r="O79" s="12" t="n">
        <v>2128751.37984</v>
      </c>
      <c r="P79" s="12" t="n">
        <v>44100000</v>
      </c>
      <c r="Q79" s="9" t="inlineStr">
        <is>
          <t>Low</t>
        </is>
      </c>
      <c r="R79" s="11">
        <f>IFERROR(O79/K79,0)</f>
        <v/>
      </c>
    </row>
    <row r="80">
      <c r="A80" s="9" t="inlineStr">
        <is>
          <t>T0079</t>
        </is>
      </c>
      <c r="B80" s="9" t="inlineStr">
        <is>
          <t>Lumen Assurance</t>
        </is>
      </c>
      <c r="C80" s="9" t="inlineStr">
        <is>
          <t>Property</t>
        </is>
      </c>
      <c r="D80" s="9" t="inlineStr">
        <is>
          <t>Latin America</t>
        </is>
      </c>
      <c r="E80" s="9" t="inlineStr">
        <is>
          <t>Kenji Sato</t>
        </is>
      </c>
      <c r="F80" s="9" t="inlineStr">
        <is>
          <t>Excess of Loss</t>
        </is>
      </c>
      <c r="G80" s="9" t="n">
        <v>2025</v>
      </c>
      <c r="H80" s="12" t="n">
        <v>1300000</v>
      </c>
      <c r="I80" s="12" t="n">
        <v>252709.44</v>
      </c>
      <c r="J80" s="12" t="n">
        <v>22631.52</v>
      </c>
      <c r="K80" s="12" t="n">
        <v>252709.44</v>
      </c>
      <c r="L80" s="12" t="n">
        <v>28180.56</v>
      </c>
      <c r="M80" s="9" t="n">
        <v>15</v>
      </c>
      <c r="N80" s="12" t="n">
        <v>720897.1599999999</v>
      </c>
      <c r="O80" s="12" t="n">
        <v>3360348.47</v>
      </c>
      <c r="P80" s="12" t="n">
        <v>1300000</v>
      </c>
      <c r="Q80" s="9" t="inlineStr">
        <is>
          <t>Critical</t>
        </is>
      </c>
      <c r="R80" s="11">
        <f>IFERROR(O80/K80,0)</f>
        <v/>
      </c>
    </row>
    <row r="81">
      <c r="A81" s="9" t="inlineStr">
        <is>
          <t>T0080</t>
        </is>
      </c>
      <c r="B81" s="9" t="inlineStr">
        <is>
          <t>Pioneer General</t>
        </is>
      </c>
      <c r="C81" s="9" t="inlineStr">
        <is>
          <t>Property</t>
        </is>
      </c>
      <c r="D81" s="9" t="inlineStr">
        <is>
          <t>Europe</t>
        </is>
      </c>
      <c r="E81" s="9" t="inlineStr">
        <is>
          <t>Priya Nair</t>
        </is>
      </c>
      <c r="F81" s="9" t="inlineStr">
        <is>
          <t>Facultative</t>
        </is>
      </c>
      <c r="G81" s="9" t="n">
        <v>2025</v>
      </c>
      <c r="H81" s="12" t="n">
        <v>23800000.0032</v>
      </c>
      <c r="I81" s="12" t="n">
        <v>1742754.0096</v>
      </c>
      <c r="J81" s="12" t="n">
        <v>132819.6528</v>
      </c>
      <c r="K81" s="12" t="n">
        <v>1742754.0096</v>
      </c>
      <c r="L81" s="12" t="n">
        <v>277760.9232</v>
      </c>
      <c r="M81" s="9" t="n">
        <v>5</v>
      </c>
      <c r="N81" s="12" t="n">
        <v>822075.534</v>
      </c>
      <c r="O81" s="12" t="n">
        <v>906550.3584</v>
      </c>
      <c r="P81" s="12" t="n">
        <v>23800000.0032</v>
      </c>
      <c r="Q81" s="9" t="inlineStr">
        <is>
          <t>Low</t>
        </is>
      </c>
      <c r="R81" s="11">
        <f>IFERROR(O81/K81,0)</f>
        <v/>
      </c>
    </row>
    <row r="82">
      <c r="A82" s="9" t="inlineStr">
        <is>
          <t>T0081</t>
        </is>
      </c>
      <c r="B82" s="9" t="inlineStr">
        <is>
          <t>Pioneer Assurance</t>
        </is>
      </c>
      <c r="C82" s="9" t="inlineStr">
        <is>
          <t>Professional</t>
        </is>
      </c>
      <c r="D82" s="9" t="inlineStr">
        <is>
          <t>Europe</t>
        </is>
      </c>
      <c r="E82" s="9" t="inlineStr">
        <is>
          <t>Carlos Ibarra</t>
        </is>
      </c>
      <c r="F82" s="9" t="inlineStr">
        <is>
          <t>Excess of Loss</t>
        </is>
      </c>
      <c r="G82" s="9" t="n">
        <v>2024</v>
      </c>
      <c r="H82" s="12" t="n">
        <v>1800000.0036</v>
      </c>
      <c r="I82" s="12" t="n">
        <v>200000.016</v>
      </c>
      <c r="J82" s="12" t="n">
        <v>21728.088</v>
      </c>
      <c r="K82" s="12" t="n">
        <v>200000.016</v>
      </c>
      <c r="L82" s="12" t="n">
        <v>11657.6496</v>
      </c>
      <c r="M82" s="9" t="n">
        <v>11</v>
      </c>
      <c r="N82" s="12" t="n">
        <v>86884.01280000001</v>
      </c>
      <c r="O82" s="12" t="n">
        <v>96905.08440000001</v>
      </c>
      <c r="P82" s="12" t="n">
        <v>1800000.0036</v>
      </c>
      <c r="Q82" s="9" t="inlineStr">
        <is>
          <t>Low</t>
        </is>
      </c>
      <c r="R82" s="11">
        <f>IFERROR(O82/K82,0)</f>
        <v/>
      </c>
    </row>
    <row r="83">
      <c r="A83" s="9" t="inlineStr">
        <is>
          <t>T0082</t>
        </is>
      </c>
      <c r="B83" s="9" t="inlineStr">
        <is>
          <t>Orion General</t>
        </is>
      </c>
      <c r="C83" s="9" t="inlineStr">
        <is>
          <t>Property</t>
        </is>
      </c>
      <c r="D83" s="9" t="inlineStr">
        <is>
          <t>North America</t>
        </is>
      </c>
      <c r="E83" s="9" t="inlineStr">
        <is>
          <t>Aarav Mehta</t>
        </is>
      </c>
      <c r="F83" s="9" t="inlineStr">
        <is>
          <t>Excess of Loss</t>
        </is>
      </c>
      <c r="G83" s="9" t="n">
        <v>2025</v>
      </c>
      <c r="H83" s="12" t="n">
        <v>21600000</v>
      </c>
      <c r="I83" s="12" t="n">
        <v>1927280.52</v>
      </c>
      <c r="J83" s="12" t="n">
        <v>101773.2</v>
      </c>
      <c r="K83" s="12" t="n">
        <v>1927280.52</v>
      </c>
      <c r="L83" s="12" t="n">
        <v>147189.12</v>
      </c>
      <c r="M83" s="9" t="n">
        <v>7</v>
      </c>
      <c r="N83" s="12" t="n">
        <v>1323209.51</v>
      </c>
      <c r="O83" s="12" t="n">
        <v>1510532.49</v>
      </c>
      <c r="P83" s="12" t="n">
        <v>21600000</v>
      </c>
      <c r="Q83" s="9" t="inlineStr">
        <is>
          <t>Low</t>
        </is>
      </c>
      <c r="R83" s="11">
        <f>IFERROR(O83/K83,0)</f>
        <v/>
      </c>
    </row>
    <row r="84">
      <c r="A84" s="9" t="inlineStr">
        <is>
          <t>T0083</t>
        </is>
      </c>
      <c r="B84" s="9" t="inlineStr">
        <is>
          <t>Northwind General</t>
        </is>
      </c>
      <c r="C84" s="9" t="inlineStr">
        <is>
          <t>Casualty</t>
        </is>
      </c>
      <c r="D84" s="9" t="inlineStr">
        <is>
          <t>Asia Pacific</t>
        </is>
      </c>
      <c r="E84" s="9" t="inlineStr">
        <is>
          <t>Sophie Laurent</t>
        </is>
      </c>
      <c r="F84" s="9" t="inlineStr">
        <is>
          <t>Proportional</t>
        </is>
      </c>
      <c r="G84" s="9" t="n">
        <v>2022</v>
      </c>
      <c r="H84" s="12" t="n">
        <v>15399999.99996</v>
      </c>
      <c r="I84" s="12" t="n">
        <v>2630560.13856</v>
      </c>
      <c r="J84" s="12" t="n">
        <v>251525.90736</v>
      </c>
      <c r="K84" s="12" t="n">
        <v>2630560.13856</v>
      </c>
      <c r="L84" s="12" t="n">
        <v>827921.40048</v>
      </c>
      <c r="M84" s="9" t="n">
        <v>9</v>
      </c>
      <c r="N84" s="12" t="n">
        <v>1900968.06864</v>
      </c>
      <c r="O84" s="12" t="n">
        <v>1983010.09104</v>
      </c>
      <c r="P84" s="12" t="n">
        <v>1539999.99996</v>
      </c>
      <c r="Q84" s="9" t="inlineStr">
        <is>
          <t>Low</t>
        </is>
      </c>
      <c r="R84" s="11">
        <f>IFERROR(O84/K84,0)</f>
        <v/>
      </c>
    </row>
    <row r="85">
      <c r="A85" s="9" t="inlineStr">
        <is>
          <t>T0084</t>
        </is>
      </c>
      <c r="B85" s="9" t="inlineStr">
        <is>
          <t>Orion Insurance</t>
        </is>
      </c>
      <c r="C85" s="9" t="inlineStr">
        <is>
          <t>Specialty</t>
        </is>
      </c>
      <c r="D85" s="9" t="inlineStr">
        <is>
          <t>Asia Pacific</t>
        </is>
      </c>
      <c r="E85" s="9" t="inlineStr">
        <is>
          <t>Carlos Ibarra</t>
        </is>
      </c>
      <c r="F85" s="9" t="inlineStr">
        <is>
          <t>Proportional</t>
        </is>
      </c>
      <c r="G85" s="9" t="n">
        <v>2023</v>
      </c>
      <c r="H85" s="12" t="n">
        <v>28100000</v>
      </c>
      <c r="I85" s="12" t="n">
        <v>2013952.44</v>
      </c>
      <c r="J85" s="12" t="n">
        <v>227998.08</v>
      </c>
      <c r="K85" s="12" t="n">
        <v>2013952.44</v>
      </c>
      <c r="L85" s="12" t="n">
        <v>636148.6800000001</v>
      </c>
      <c r="M85" s="9" t="n">
        <v>7</v>
      </c>
      <c r="N85" s="12" t="n">
        <v>1062571.47</v>
      </c>
      <c r="O85" s="12" t="n">
        <v>1240890.9</v>
      </c>
      <c r="P85" s="12" t="n">
        <v>4215000</v>
      </c>
      <c r="Q85" s="9" t="inlineStr">
        <is>
          <t>Low</t>
        </is>
      </c>
      <c r="R85" s="11">
        <f>IFERROR(O85/K85,0)</f>
        <v/>
      </c>
    </row>
    <row r="86">
      <c r="A86" s="9" t="inlineStr">
        <is>
          <t>T0085</t>
        </is>
      </c>
      <c r="B86" s="9" t="inlineStr">
        <is>
          <t>Northwind Mutual</t>
        </is>
      </c>
      <c r="C86" s="9" t="inlineStr">
        <is>
          <t>Financial Lines</t>
        </is>
      </c>
      <c r="D86" s="9" t="inlineStr">
        <is>
          <t>Asia Pacific</t>
        </is>
      </c>
      <c r="E86" s="9" t="inlineStr">
        <is>
          <t>Aarav Mehta</t>
        </is>
      </c>
      <c r="F86" s="9" t="inlineStr">
        <is>
          <t>Excess of Loss</t>
        </is>
      </c>
      <c r="G86" s="9" t="n">
        <v>2025</v>
      </c>
      <c r="H86" s="12" t="n">
        <v>16599999.99996</v>
      </c>
      <c r="I86" s="12" t="n">
        <v>2154882.1932</v>
      </c>
      <c r="J86" s="12" t="n">
        <v>174871.1112</v>
      </c>
      <c r="K86" s="12" t="n">
        <v>1953759.85512</v>
      </c>
      <c r="L86" s="12" t="n">
        <v>175294.0067156934</v>
      </c>
      <c r="M86" s="9" t="n">
        <v>10</v>
      </c>
      <c r="N86" s="12" t="n">
        <v>688439.01984</v>
      </c>
      <c r="O86" s="12" t="n">
        <v>1003854.6528</v>
      </c>
      <c r="P86" s="12" t="n">
        <v>16599999.99996</v>
      </c>
      <c r="Q86" s="9" t="inlineStr">
        <is>
          <t>Low</t>
        </is>
      </c>
      <c r="R86" s="11">
        <f>IFERROR(O86/K86,0)</f>
        <v/>
      </c>
    </row>
    <row r="87">
      <c r="A87" s="9" t="inlineStr">
        <is>
          <t>T0086</t>
        </is>
      </c>
      <c r="B87" s="9" t="inlineStr">
        <is>
          <t>Atlas Indemnity</t>
        </is>
      </c>
      <c r="C87" s="9" t="inlineStr">
        <is>
          <t>Financial Lines</t>
        </is>
      </c>
      <c r="D87" s="9" t="inlineStr">
        <is>
          <t>North America</t>
        </is>
      </c>
      <c r="E87" s="9" t="inlineStr">
        <is>
          <t>Sophie Laurent</t>
        </is>
      </c>
      <c r="F87" s="9" t="inlineStr">
        <is>
          <t>Facultative</t>
        </is>
      </c>
      <c r="G87" s="9" t="n">
        <v>2023</v>
      </c>
      <c r="H87" s="12" t="n">
        <v>11300000</v>
      </c>
      <c r="I87" s="12" t="n">
        <v>1928761.08</v>
      </c>
      <c r="J87" s="12" t="n">
        <v>210140.16</v>
      </c>
      <c r="K87" s="12" t="n">
        <v>1928761.08</v>
      </c>
      <c r="L87" s="12" t="n">
        <v>357577.2</v>
      </c>
      <c r="M87" s="9" t="n">
        <v>16</v>
      </c>
      <c r="N87" s="12" t="n">
        <v>1968267.9</v>
      </c>
      <c r="O87" s="12" t="n">
        <v>2048161.63</v>
      </c>
      <c r="P87" s="12" t="n">
        <v>11300000</v>
      </c>
      <c r="Q87" s="9" t="inlineStr">
        <is>
          <t>Low</t>
        </is>
      </c>
      <c r="R87" s="11">
        <f>IFERROR(O87/K87,0)</f>
        <v/>
      </c>
    </row>
    <row r="88">
      <c r="A88" s="9" t="inlineStr">
        <is>
          <t>T0087</t>
        </is>
      </c>
      <c r="B88" s="9" t="inlineStr">
        <is>
          <t>Evergreen Assurance</t>
        </is>
      </c>
      <c r="C88" s="9" t="inlineStr">
        <is>
          <t>Property</t>
        </is>
      </c>
      <c r="D88" s="9" t="inlineStr">
        <is>
          <t>North America</t>
        </is>
      </c>
      <c r="E88" s="9" t="inlineStr">
        <is>
          <t>Carlos Ibarra</t>
        </is>
      </c>
      <c r="F88" s="9" t="inlineStr">
        <is>
          <t>Excess of Loss</t>
        </is>
      </c>
      <c r="G88" s="9" t="n">
        <v>2025</v>
      </c>
      <c r="H88" s="12" t="n">
        <v>22400000</v>
      </c>
      <c r="I88" s="12" t="n">
        <v>1627661.64</v>
      </c>
      <c r="J88" s="12" t="n">
        <v>122582.4</v>
      </c>
      <c r="K88" s="12" t="n">
        <v>1627661.64</v>
      </c>
      <c r="L88" s="12" t="n">
        <v>133384.08</v>
      </c>
      <c r="M88" s="9" t="n">
        <v>14</v>
      </c>
      <c r="N88" s="12" t="n">
        <v>2135034.21</v>
      </c>
      <c r="O88" s="12" t="n">
        <v>4185941.87</v>
      </c>
      <c r="P88" s="12" t="n">
        <v>22400000</v>
      </c>
      <c r="Q88" s="9" t="inlineStr">
        <is>
          <t>Low</t>
        </is>
      </c>
      <c r="R88" s="11">
        <f>IFERROR(O88/K88,0)</f>
        <v/>
      </c>
    </row>
    <row r="89">
      <c r="A89" s="9" t="inlineStr">
        <is>
          <t>T0088</t>
        </is>
      </c>
      <c r="B89" s="9" t="inlineStr">
        <is>
          <t>Pioneer Indemnity</t>
        </is>
      </c>
      <c r="C89" s="9" t="inlineStr">
        <is>
          <t>Property</t>
        </is>
      </c>
      <c r="D89" s="9" t="inlineStr">
        <is>
          <t>Latin America</t>
        </is>
      </c>
      <c r="E89" s="9" t="inlineStr">
        <is>
          <t>Kenji Sato</t>
        </is>
      </c>
      <c r="F89" s="9" t="inlineStr">
        <is>
          <t>Facultative</t>
        </is>
      </c>
      <c r="G89" s="9" t="n">
        <v>2021</v>
      </c>
      <c r="H89" s="12" t="n">
        <v>6800000</v>
      </c>
      <c r="I89" s="12" t="n">
        <v>707040.36</v>
      </c>
      <c r="J89" s="12" t="n">
        <v>46176.24</v>
      </c>
      <c r="K89" s="12" t="n">
        <v>707040.36</v>
      </c>
      <c r="L89" s="12" t="n">
        <v>111624.84</v>
      </c>
      <c r="M89" s="9" t="n">
        <v>6</v>
      </c>
      <c r="N89" s="12" t="n">
        <v>322850.89</v>
      </c>
      <c r="O89" s="12" t="n">
        <v>326115.91</v>
      </c>
      <c r="P89" s="12" t="n">
        <v>6800000</v>
      </c>
      <c r="Q89" s="9" t="inlineStr">
        <is>
          <t>Low</t>
        </is>
      </c>
      <c r="R89" s="11">
        <f>IFERROR(O89/K89,0)</f>
        <v/>
      </c>
    </row>
    <row r="90">
      <c r="A90" s="9" t="inlineStr">
        <is>
          <t>T0089</t>
        </is>
      </c>
      <c r="B90" s="9" t="inlineStr">
        <is>
          <t>Crown Insurance</t>
        </is>
      </c>
      <c r="C90" s="9" t="inlineStr">
        <is>
          <t>Financial Lines</t>
        </is>
      </c>
      <c r="D90" s="9" t="inlineStr">
        <is>
          <t>Asia Pacific</t>
        </is>
      </c>
      <c r="E90" s="9" t="inlineStr">
        <is>
          <t>Hannah Weber</t>
        </is>
      </c>
      <c r="F90" s="9" t="inlineStr">
        <is>
          <t>Proportional</t>
        </is>
      </c>
      <c r="G90" s="9" t="n">
        <v>2026</v>
      </c>
      <c r="H90" s="12" t="n">
        <v>5900000</v>
      </c>
      <c r="I90" s="12" t="n">
        <v>797242.0499999999</v>
      </c>
      <c r="J90" s="12" t="n">
        <v>51127.74</v>
      </c>
      <c r="K90" s="12" t="n">
        <v>767714.5699999999</v>
      </c>
      <c r="L90" s="12" t="n">
        <v>183877.2007983748</v>
      </c>
      <c r="M90" s="9" t="n">
        <v>7</v>
      </c>
      <c r="N90" s="12" t="n">
        <v>133385.27</v>
      </c>
      <c r="O90" s="12" t="n">
        <v>370293.9</v>
      </c>
      <c r="P90" s="12" t="n">
        <v>885000</v>
      </c>
      <c r="Q90" s="9" t="inlineStr">
        <is>
          <t>Low</t>
        </is>
      </c>
      <c r="R90" s="11">
        <f>IFERROR(O90/K90,0)</f>
        <v/>
      </c>
    </row>
    <row r="91">
      <c r="A91" s="9" t="inlineStr">
        <is>
          <t>T0090</t>
        </is>
      </c>
      <c r="B91" s="9" t="inlineStr">
        <is>
          <t>Orion Assurance</t>
        </is>
      </c>
      <c r="C91" s="9" t="inlineStr">
        <is>
          <t>Specialty</t>
        </is>
      </c>
      <c r="D91" s="9" t="inlineStr">
        <is>
          <t>North America</t>
        </is>
      </c>
      <c r="E91" s="9" t="inlineStr">
        <is>
          <t>Aarav Mehta</t>
        </is>
      </c>
      <c r="F91" s="9" t="inlineStr">
        <is>
          <t>Proportional</t>
        </is>
      </c>
      <c r="G91" s="9" t="n">
        <v>2025</v>
      </c>
      <c r="H91" s="12" t="n">
        <v>28800000</v>
      </c>
      <c r="I91" s="12" t="n">
        <v>4088871.24</v>
      </c>
      <c r="J91" s="12" t="n">
        <v>359139.36</v>
      </c>
      <c r="K91" s="12" t="n">
        <v>4088871.24</v>
      </c>
      <c r="L91" s="12" t="n">
        <v>1078579.44</v>
      </c>
      <c r="M91" s="9" t="n">
        <v>3</v>
      </c>
      <c r="N91" s="12" t="n">
        <v>24265.62</v>
      </c>
      <c r="O91" s="12" t="n">
        <v>1241372.66</v>
      </c>
      <c r="P91" s="12" t="n">
        <v>2880000</v>
      </c>
      <c r="Q91" s="9" t="inlineStr">
        <is>
          <t>Low</t>
        </is>
      </c>
      <c r="R91" s="11">
        <f>IFERROR(O91/K91,0)</f>
        <v/>
      </c>
    </row>
    <row r="92">
      <c r="A92" s="9" t="inlineStr">
        <is>
          <t>T0091</t>
        </is>
      </c>
      <c r="B92" s="9" t="inlineStr">
        <is>
          <t>Cobalt Indemnity</t>
        </is>
      </c>
      <c r="C92" s="9" t="inlineStr">
        <is>
          <t>Casualty</t>
        </is>
      </c>
      <c r="D92" s="9" t="inlineStr">
        <is>
          <t>North America</t>
        </is>
      </c>
      <c r="E92" s="9" t="inlineStr">
        <is>
          <t>Carlos Ibarra</t>
        </is>
      </c>
      <c r="F92" s="9" t="inlineStr">
        <is>
          <t>Proportional</t>
        </is>
      </c>
      <c r="G92" s="9" t="n">
        <v>2024</v>
      </c>
      <c r="H92" s="12" t="n">
        <v>32400000</v>
      </c>
      <c r="I92" s="12" t="n">
        <v>2821405.68</v>
      </c>
      <c r="J92" s="12" t="n">
        <v>243680.52</v>
      </c>
      <c r="K92" s="12" t="n">
        <v>2821405.68</v>
      </c>
      <c r="L92" s="12" t="n">
        <v>668355.24</v>
      </c>
      <c r="M92" s="9" t="n">
        <v>8</v>
      </c>
      <c r="N92" s="12" t="n">
        <v>2405034.15</v>
      </c>
      <c r="O92" s="12" t="n">
        <v>2405034.15</v>
      </c>
      <c r="P92" s="12" t="n">
        <v>9720000</v>
      </c>
      <c r="Q92" s="9" t="inlineStr">
        <is>
          <t>Low</t>
        </is>
      </c>
      <c r="R92" s="11">
        <f>IFERROR(O92/K92,0)</f>
        <v/>
      </c>
    </row>
    <row r="93">
      <c r="A93" s="9" t="inlineStr">
        <is>
          <t>T0092</t>
        </is>
      </c>
      <c r="B93" s="9" t="inlineStr">
        <is>
          <t>Sterling Indemnity</t>
        </is>
      </c>
      <c r="C93" s="9" t="inlineStr">
        <is>
          <t>Casualty</t>
        </is>
      </c>
      <c r="D93" s="9" t="inlineStr">
        <is>
          <t>Europe</t>
        </is>
      </c>
      <c r="E93" s="9" t="inlineStr">
        <is>
          <t>Carlos Ibarra</t>
        </is>
      </c>
      <c r="F93" s="9" t="inlineStr">
        <is>
          <t>Excess of Loss</t>
        </is>
      </c>
      <c r="G93" s="9" t="n">
        <v>2026</v>
      </c>
      <c r="H93" s="12" t="n">
        <v>4299999.9984</v>
      </c>
      <c r="I93" s="12" t="n">
        <v>202054.824</v>
      </c>
      <c r="J93" s="12" t="n">
        <v>23983.344</v>
      </c>
      <c r="K93" s="12" t="n">
        <v>200707.794</v>
      </c>
      <c r="L93" s="12" t="n">
        <v>13238.24486246885</v>
      </c>
      <c r="M93" s="9" t="n">
        <v>2</v>
      </c>
      <c r="N93" s="12" t="n">
        <v>48080.844</v>
      </c>
      <c r="O93" s="12" t="n">
        <v>142428.4884</v>
      </c>
      <c r="P93" s="12" t="n">
        <v>4299999.9984</v>
      </c>
      <c r="Q93" s="9" t="inlineStr">
        <is>
          <t>Low</t>
        </is>
      </c>
      <c r="R93" s="11">
        <f>IFERROR(O93/K93,0)</f>
        <v/>
      </c>
    </row>
    <row r="94">
      <c r="A94" s="9" t="inlineStr">
        <is>
          <t>T0093</t>
        </is>
      </c>
      <c r="B94" s="9" t="inlineStr">
        <is>
          <t>Summit General</t>
        </is>
      </c>
      <c r="C94" s="9" t="inlineStr">
        <is>
          <t>Financial Lines</t>
        </is>
      </c>
      <c r="D94" s="9" t="inlineStr">
        <is>
          <t>North America</t>
        </is>
      </c>
      <c r="E94" s="9" t="inlineStr">
        <is>
          <t>Kenji Sato</t>
        </is>
      </c>
      <c r="F94" s="9" t="inlineStr">
        <is>
          <t>Excess of Loss</t>
        </is>
      </c>
      <c r="G94" s="9" t="n">
        <v>2023</v>
      </c>
      <c r="H94" s="12" t="n">
        <v>11500000</v>
      </c>
      <c r="I94" s="12" t="n">
        <v>1061580.6</v>
      </c>
      <c r="J94" s="12" t="n">
        <v>78914.88</v>
      </c>
      <c r="K94" s="12" t="n">
        <v>1061580.6</v>
      </c>
      <c r="L94" s="12" t="n">
        <v>100484.52</v>
      </c>
      <c r="M94" s="9" t="n">
        <v>10</v>
      </c>
      <c r="N94" s="12" t="n">
        <v>483163.5</v>
      </c>
      <c r="O94" s="12" t="n">
        <v>485606.2</v>
      </c>
      <c r="P94" s="12" t="n">
        <v>11500000</v>
      </c>
      <c r="Q94" s="9" t="inlineStr">
        <is>
          <t>Low</t>
        </is>
      </c>
      <c r="R94" s="11">
        <f>IFERROR(O94/K94,0)</f>
        <v/>
      </c>
    </row>
    <row r="95">
      <c r="A95" s="9" t="inlineStr">
        <is>
          <t>T0094</t>
        </is>
      </c>
      <c r="B95" s="9" t="inlineStr">
        <is>
          <t>Cobalt Assurance</t>
        </is>
      </c>
      <c r="C95" s="9" t="inlineStr">
        <is>
          <t>Specialty</t>
        </is>
      </c>
      <c r="D95" s="9" t="inlineStr">
        <is>
          <t>Europe</t>
        </is>
      </c>
      <c r="E95" s="9" t="inlineStr">
        <is>
          <t>Carlos Ibarra</t>
        </is>
      </c>
      <c r="F95" s="9" t="inlineStr">
        <is>
          <t>Excess of Loss</t>
        </is>
      </c>
      <c r="G95" s="9" t="n">
        <v>2026</v>
      </c>
      <c r="H95" s="12" t="n">
        <v>8300000.005200001</v>
      </c>
      <c r="I95" s="12" t="n">
        <v>225861.0048</v>
      </c>
      <c r="J95" s="12" t="n">
        <v>13366.6416</v>
      </c>
      <c r="K95" s="12" t="n">
        <v>220214.484</v>
      </c>
      <c r="L95" s="12" t="n">
        <v>18097.15319501617</v>
      </c>
      <c r="M95" s="9" t="n">
        <v>3</v>
      </c>
      <c r="N95" s="12" t="n">
        <v>30369.006</v>
      </c>
      <c r="O95" s="12" t="n">
        <v>79813.09080000001</v>
      </c>
      <c r="P95" s="12" t="n">
        <v>8300000.005200001</v>
      </c>
      <c r="Q95" s="9" t="inlineStr">
        <is>
          <t>Low</t>
        </is>
      </c>
      <c r="R95" s="11">
        <f>IFERROR(O95/K95,0)</f>
        <v/>
      </c>
    </row>
    <row r="96">
      <c r="A96" s="9" t="inlineStr">
        <is>
          <t>T0095</t>
        </is>
      </c>
      <c r="B96" s="9" t="inlineStr">
        <is>
          <t>Cobalt Indemnity</t>
        </is>
      </c>
      <c r="C96" s="9" t="inlineStr">
        <is>
          <t>Specialty</t>
        </is>
      </c>
      <c r="D96" s="9" t="inlineStr">
        <is>
          <t>North America</t>
        </is>
      </c>
      <c r="E96" s="9" t="inlineStr">
        <is>
          <t>Aarav Mehta</t>
        </is>
      </c>
      <c r="F96" s="9" t="inlineStr">
        <is>
          <t>Proportional</t>
        </is>
      </c>
      <c r="G96" s="9" t="n">
        <v>2025</v>
      </c>
      <c r="H96" s="12" t="n">
        <v>16200000</v>
      </c>
      <c r="I96" s="12" t="n">
        <v>1190443.44</v>
      </c>
      <c r="J96" s="12" t="n">
        <v>133089</v>
      </c>
      <c r="K96" s="12" t="n">
        <v>1190443.44</v>
      </c>
      <c r="L96" s="12" t="n">
        <v>280280.76</v>
      </c>
      <c r="M96" s="9" t="n">
        <v>10</v>
      </c>
      <c r="N96" s="12" t="n">
        <v>296882.05</v>
      </c>
      <c r="O96" s="12" t="n">
        <v>432654.72</v>
      </c>
      <c r="P96" s="12" t="n">
        <v>4050000</v>
      </c>
      <c r="Q96" s="9" t="inlineStr">
        <is>
          <t>Low</t>
        </is>
      </c>
      <c r="R96" s="11">
        <f>IFERROR(O96/K96,0)</f>
        <v/>
      </c>
    </row>
    <row r="97">
      <c r="A97" s="9" t="inlineStr">
        <is>
          <t>T0096</t>
        </is>
      </c>
      <c r="B97" s="9" t="inlineStr">
        <is>
          <t>Vantage Assurance</t>
        </is>
      </c>
      <c r="C97" s="9" t="inlineStr">
        <is>
          <t>Professional</t>
        </is>
      </c>
      <c r="D97" s="9" t="inlineStr">
        <is>
          <t>Europe</t>
        </is>
      </c>
      <c r="E97" s="9" t="inlineStr">
        <is>
          <t>Sophie Laurent</t>
        </is>
      </c>
      <c r="F97" s="9" t="inlineStr">
        <is>
          <t>Proportional</t>
        </is>
      </c>
      <c r="G97" s="9" t="n">
        <v>2022</v>
      </c>
      <c r="H97" s="12" t="n">
        <v>3300000.0048</v>
      </c>
      <c r="I97" s="12" t="n">
        <v>435796.3296000001</v>
      </c>
      <c r="J97" s="12" t="n">
        <v>36466.84800000001</v>
      </c>
      <c r="K97" s="12" t="n">
        <v>435796.3296000001</v>
      </c>
      <c r="L97" s="12" t="n">
        <v>109312.2864</v>
      </c>
      <c r="M97" s="9" t="n">
        <v>14</v>
      </c>
      <c r="N97" s="12" t="n">
        <v>354046.8204</v>
      </c>
      <c r="O97" s="12" t="n">
        <v>446010.5376</v>
      </c>
      <c r="P97" s="12" t="n">
        <v>659999.9988000001</v>
      </c>
      <c r="Q97" s="9" t="inlineStr">
        <is>
          <t>Low</t>
        </is>
      </c>
      <c r="R97" s="11">
        <f>IFERROR(O97/K97,0)</f>
        <v/>
      </c>
    </row>
    <row r="98">
      <c r="A98" s="9" t="inlineStr">
        <is>
          <t>T0097</t>
        </is>
      </c>
      <c r="B98" s="9" t="inlineStr">
        <is>
          <t>Vantage Assurance</t>
        </is>
      </c>
      <c r="C98" s="9" t="inlineStr">
        <is>
          <t>Professional</t>
        </is>
      </c>
      <c r="D98" s="9" t="inlineStr">
        <is>
          <t>Europe</t>
        </is>
      </c>
      <c r="E98" s="9" t="inlineStr">
        <is>
          <t>Hannah Weber</t>
        </is>
      </c>
      <c r="F98" s="9" t="inlineStr">
        <is>
          <t>Excess of Loss</t>
        </is>
      </c>
      <c r="G98" s="9" t="n">
        <v>2025</v>
      </c>
      <c r="H98" s="12" t="n">
        <v>3700000.0044</v>
      </c>
      <c r="I98" s="12" t="n">
        <v>512843.2704</v>
      </c>
      <c r="J98" s="12" t="n">
        <v>52630.3008</v>
      </c>
      <c r="K98" s="12" t="n">
        <v>512843.2704</v>
      </c>
      <c r="L98" s="12" t="n">
        <v>42424.4304</v>
      </c>
      <c r="M98" s="9" t="n">
        <v>13</v>
      </c>
      <c r="N98" s="12" t="n">
        <v>151496.406</v>
      </c>
      <c r="O98" s="12" t="n">
        <v>318707.2872</v>
      </c>
      <c r="P98" s="12" t="n">
        <v>3700000.0044</v>
      </c>
      <c r="Q98" s="9" t="inlineStr">
        <is>
          <t>Low</t>
        </is>
      </c>
      <c r="R98" s="11">
        <f>IFERROR(O98/K98,0)</f>
        <v/>
      </c>
    </row>
    <row r="99">
      <c r="A99" s="9" t="inlineStr">
        <is>
          <t>T0098</t>
        </is>
      </c>
      <c r="B99" s="9" t="inlineStr">
        <is>
          <t>Granite Indemnity</t>
        </is>
      </c>
      <c r="C99" s="9" t="inlineStr">
        <is>
          <t>Property</t>
        </is>
      </c>
      <c r="D99" s="9" t="inlineStr">
        <is>
          <t>Europe</t>
        </is>
      </c>
      <c r="E99" s="9" t="inlineStr">
        <is>
          <t>James Whitfield</t>
        </is>
      </c>
      <c r="F99" s="9" t="inlineStr">
        <is>
          <t>Proportional</t>
        </is>
      </c>
      <c r="G99" s="9" t="n">
        <v>2022</v>
      </c>
      <c r="H99" s="12" t="n">
        <v>15899999.9976</v>
      </c>
      <c r="I99" s="12" t="n">
        <v>2230847.0496</v>
      </c>
      <c r="J99" s="12" t="n">
        <v>246959.4096</v>
      </c>
      <c r="K99" s="12" t="n">
        <v>2230847.0496</v>
      </c>
      <c r="L99" s="12" t="n">
        <v>661034.6496</v>
      </c>
      <c r="M99" s="9" t="n">
        <v>15</v>
      </c>
      <c r="N99" s="12" t="n">
        <v>1194621.0912</v>
      </c>
      <c r="O99" s="12" t="n">
        <v>1194621.0912</v>
      </c>
      <c r="P99" s="12" t="n">
        <v>7949999.998800001</v>
      </c>
      <c r="Q99" s="9" t="inlineStr">
        <is>
          <t>Low</t>
        </is>
      </c>
      <c r="R99" s="11">
        <f>IFERROR(O99/K99,0)</f>
        <v/>
      </c>
    </row>
    <row r="100">
      <c r="A100" s="9" t="inlineStr">
        <is>
          <t>T0099</t>
        </is>
      </c>
      <c r="B100" s="9" t="inlineStr">
        <is>
          <t>Meridian General</t>
        </is>
      </c>
      <c r="C100" s="9" t="inlineStr">
        <is>
          <t>Specialty</t>
        </is>
      </c>
      <c r="D100" s="9" t="inlineStr">
        <is>
          <t>North America</t>
        </is>
      </c>
      <c r="E100" s="9" t="inlineStr">
        <is>
          <t>Omar Haddad</t>
        </is>
      </c>
      <c r="F100" s="9" t="inlineStr">
        <is>
          <t>Excess of Loss</t>
        </is>
      </c>
      <c r="G100" s="9" t="n">
        <v>2025</v>
      </c>
      <c r="H100" s="12" t="n">
        <v>5600000</v>
      </c>
      <c r="I100" s="12" t="n">
        <v>975972.36</v>
      </c>
      <c r="J100" s="12" t="n">
        <v>87614.75999999999</v>
      </c>
      <c r="K100" s="12" t="n">
        <v>894641.33</v>
      </c>
      <c r="L100" s="12" t="n">
        <v>75688.47</v>
      </c>
      <c r="M100" s="9" t="n">
        <v>9</v>
      </c>
      <c r="N100" s="12" t="n">
        <v>198680.34</v>
      </c>
      <c r="O100" s="12" t="n">
        <v>684901.48</v>
      </c>
      <c r="P100" s="12" t="n">
        <v>5600000</v>
      </c>
      <c r="Q100" s="9" t="inlineStr">
        <is>
          <t>Low</t>
        </is>
      </c>
      <c r="R100" s="11">
        <f>IFERROR(O100/K100,0)</f>
        <v/>
      </c>
    </row>
    <row r="101">
      <c r="A101" s="9" t="inlineStr">
        <is>
          <t>T0100</t>
        </is>
      </c>
      <c r="B101" s="9" t="inlineStr">
        <is>
          <t>Northwind Assurance</t>
        </is>
      </c>
      <c r="C101" s="9" t="inlineStr">
        <is>
          <t>Professional</t>
        </is>
      </c>
      <c r="D101" s="9" t="inlineStr">
        <is>
          <t>North America</t>
        </is>
      </c>
      <c r="E101" s="9" t="inlineStr">
        <is>
          <t>Sophie Laurent</t>
        </is>
      </c>
      <c r="F101" s="9" t="inlineStr">
        <is>
          <t>Excess of Loss</t>
        </is>
      </c>
      <c r="G101" s="9" t="n">
        <v>2021</v>
      </c>
      <c r="H101" s="12" t="n">
        <v>36900000</v>
      </c>
      <c r="I101" s="12" t="n">
        <v>2646695.04</v>
      </c>
      <c r="J101" s="12" t="n">
        <v>182002.56</v>
      </c>
      <c r="K101" s="12" t="n">
        <v>2646695.04</v>
      </c>
      <c r="L101" s="12" t="n">
        <v>190573.56</v>
      </c>
      <c r="M101" s="9" t="n">
        <v>7</v>
      </c>
      <c r="N101" s="12" t="n">
        <v>1056078.69</v>
      </c>
      <c r="O101" s="12" t="n">
        <v>1221684.87</v>
      </c>
      <c r="P101" s="12" t="n">
        <v>36900000</v>
      </c>
      <c r="Q101" s="9" t="inlineStr">
        <is>
          <t>Low</t>
        </is>
      </c>
      <c r="R101" s="11">
        <f>IFERROR(O101/K101,0)</f>
        <v/>
      </c>
    </row>
    <row r="102">
      <c r="A102" s="9" t="inlineStr">
        <is>
          <t>T0101</t>
        </is>
      </c>
      <c r="B102" s="9" t="inlineStr">
        <is>
          <t>Northwind Indemnity</t>
        </is>
      </c>
      <c r="C102" s="9" t="inlineStr">
        <is>
          <t>Financial Lines</t>
        </is>
      </c>
      <c r="D102" s="9" t="inlineStr">
        <is>
          <t>North America</t>
        </is>
      </c>
      <c r="E102" s="9" t="inlineStr">
        <is>
          <t>Aarav Mehta</t>
        </is>
      </c>
      <c r="F102" s="9" t="inlineStr">
        <is>
          <t>Proportional</t>
        </is>
      </c>
      <c r="G102" s="9" t="n">
        <v>2023</v>
      </c>
      <c r="H102" s="12" t="n">
        <v>15100000</v>
      </c>
      <c r="I102" s="12" t="n">
        <v>2236663.44</v>
      </c>
      <c r="J102" s="12" t="n">
        <v>141881.64</v>
      </c>
      <c r="K102" s="12" t="n">
        <v>2236663.44</v>
      </c>
      <c r="L102" s="12" t="n">
        <v>505026.36</v>
      </c>
      <c r="M102" s="9" t="n">
        <v>8</v>
      </c>
      <c r="N102" s="12" t="n">
        <v>1541673.1</v>
      </c>
      <c r="O102" s="12" t="n">
        <v>1541673.1</v>
      </c>
      <c r="P102" s="12" t="n">
        <v>3775000</v>
      </c>
      <c r="Q102" s="9" t="inlineStr">
        <is>
          <t>Low</t>
        </is>
      </c>
      <c r="R102" s="11">
        <f>IFERROR(O102/K102,0)</f>
        <v/>
      </c>
    </row>
    <row r="103">
      <c r="A103" s="9" t="inlineStr">
        <is>
          <t>T0102</t>
        </is>
      </c>
      <c r="B103" s="9" t="inlineStr">
        <is>
          <t>Evergreen Indemnity</t>
        </is>
      </c>
      <c r="C103" s="9" t="inlineStr">
        <is>
          <t>Professional</t>
        </is>
      </c>
      <c r="D103" s="9" t="inlineStr">
        <is>
          <t>North America</t>
        </is>
      </c>
      <c r="E103" s="9" t="inlineStr">
        <is>
          <t>Hannah Weber</t>
        </is>
      </c>
      <c r="F103" s="9" t="inlineStr">
        <is>
          <t>Proportional</t>
        </is>
      </c>
      <c r="G103" s="9" t="n">
        <v>2022</v>
      </c>
      <c r="H103" s="12" t="n">
        <v>12400000</v>
      </c>
      <c r="I103" s="12" t="n">
        <v>1003243.68</v>
      </c>
      <c r="J103" s="12" t="n">
        <v>80356.79999999999</v>
      </c>
      <c r="K103" s="12" t="n">
        <v>1003243.68</v>
      </c>
      <c r="L103" s="12" t="n">
        <v>244315.56</v>
      </c>
      <c r="M103" s="9" t="n">
        <v>6</v>
      </c>
      <c r="N103" s="12" t="n">
        <v>503529.09</v>
      </c>
      <c r="O103" s="12" t="n">
        <v>503529.09</v>
      </c>
      <c r="P103" s="12" t="n">
        <v>2480000</v>
      </c>
      <c r="Q103" s="9" t="inlineStr">
        <is>
          <t>Low</t>
        </is>
      </c>
      <c r="R103" s="11">
        <f>IFERROR(O103/K103,0)</f>
        <v/>
      </c>
    </row>
    <row r="104">
      <c r="A104" s="9" t="inlineStr">
        <is>
          <t>T0103</t>
        </is>
      </c>
      <c r="B104" s="9" t="inlineStr">
        <is>
          <t>Pioneer Insurance</t>
        </is>
      </c>
      <c r="C104" s="9" t="inlineStr">
        <is>
          <t>Property</t>
        </is>
      </c>
      <c r="D104" s="9" t="inlineStr">
        <is>
          <t>Europe</t>
        </is>
      </c>
      <c r="E104" s="9" t="inlineStr">
        <is>
          <t>Kenji Sato</t>
        </is>
      </c>
      <c r="F104" s="9" t="inlineStr">
        <is>
          <t>Excess of Loss</t>
        </is>
      </c>
      <c r="G104" s="9" t="n">
        <v>2025</v>
      </c>
      <c r="H104" s="12" t="n">
        <v>9600000.001200002</v>
      </c>
      <c r="I104" s="12" t="n">
        <v>1384687.224</v>
      </c>
      <c r="J104" s="12" t="n">
        <v>89395.2288</v>
      </c>
      <c r="K104" s="12" t="n">
        <v>1384687.224</v>
      </c>
      <c r="L104" s="12" t="n">
        <v>165588.4944</v>
      </c>
      <c r="M104" s="9" t="n">
        <v>8</v>
      </c>
      <c r="N104" s="12" t="n">
        <v>699327.4212</v>
      </c>
      <c r="O104" s="12" t="n">
        <v>1472718.7368</v>
      </c>
      <c r="P104" s="12" t="n">
        <v>9600000.001200002</v>
      </c>
      <c r="Q104" s="9" t="inlineStr">
        <is>
          <t>Low</t>
        </is>
      </c>
      <c r="R104" s="11">
        <f>IFERROR(O104/K104,0)</f>
        <v/>
      </c>
    </row>
    <row r="105">
      <c r="A105" s="9" t="inlineStr">
        <is>
          <t>T0104</t>
        </is>
      </c>
      <c r="B105" s="9" t="inlineStr">
        <is>
          <t>Crown Insurance</t>
        </is>
      </c>
      <c r="C105" s="9" t="inlineStr">
        <is>
          <t>Professional</t>
        </is>
      </c>
      <c r="D105" s="9" t="inlineStr">
        <is>
          <t>Asia Pacific</t>
        </is>
      </c>
      <c r="E105" s="9" t="inlineStr">
        <is>
          <t>Carlos Ibarra</t>
        </is>
      </c>
      <c r="F105" s="9" t="inlineStr">
        <is>
          <t>Proportional</t>
        </is>
      </c>
      <c r="G105" s="9" t="n">
        <v>2021</v>
      </c>
      <c r="H105" s="12" t="n">
        <v>2400000</v>
      </c>
      <c r="I105" s="12" t="n">
        <v>352994.04</v>
      </c>
      <c r="J105" s="12" t="n">
        <v>34709.28</v>
      </c>
      <c r="K105" s="12" t="n">
        <v>352994.04</v>
      </c>
      <c r="L105" s="12" t="n">
        <v>84559.56</v>
      </c>
      <c r="M105" s="9" t="n">
        <v>8</v>
      </c>
      <c r="N105" s="12" t="n">
        <v>228415.93</v>
      </c>
      <c r="O105" s="12" t="n">
        <v>231481.99</v>
      </c>
      <c r="P105" s="12" t="n">
        <v>480000</v>
      </c>
      <c r="Q105" s="9" t="inlineStr">
        <is>
          <t>Low</t>
        </is>
      </c>
      <c r="R105" s="11">
        <f>IFERROR(O105/K105,0)</f>
        <v/>
      </c>
    </row>
    <row r="106">
      <c r="A106" s="9" t="inlineStr">
        <is>
          <t>T0105</t>
        </is>
      </c>
      <c r="B106" s="9" t="inlineStr">
        <is>
          <t>Evergreen Insurance</t>
        </is>
      </c>
      <c r="C106" s="9" t="inlineStr">
        <is>
          <t>Casualty</t>
        </is>
      </c>
      <c r="D106" s="9" t="inlineStr">
        <is>
          <t>North America</t>
        </is>
      </c>
      <c r="E106" s="9" t="inlineStr">
        <is>
          <t>Hannah Weber</t>
        </is>
      </c>
      <c r="F106" s="9" t="inlineStr">
        <is>
          <t>Proportional</t>
        </is>
      </c>
      <c r="G106" s="9" t="n">
        <v>2023</v>
      </c>
      <c r="H106" s="12" t="n">
        <v>20200000</v>
      </c>
      <c r="I106" s="12" t="n">
        <v>1714776.72</v>
      </c>
      <c r="J106" s="12" t="n">
        <v>141414.12</v>
      </c>
      <c r="K106" s="12" t="n">
        <v>1714776.72</v>
      </c>
      <c r="L106" s="12" t="n">
        <v>394019.28</v>
      </c>
      <c r="M106" s="9" t="n">
        <v>9</v>
      </c>
      <c r="N106" s="12" t="n">
        <v>1125580.85</v>
      </c>
      <c r="O106" s="12" t="n">
        <v>1180716.49</v>
      </c>
      <c r="P106" s="12" t="n">
        <v>10100000</v>
      </c>
      <c r="Q106" s="9" t="inlineStr">
        <is>
          <t>Low</t>
        </is>
      </c>
      <c r="R106" s="11">
        <f>IFERROR(O106/K106,0)</f>
        <v/>
      </c>
    </row>
    <row r="107">
      <c r="A107" s="9" t="inlineStr">
        <is>
          <t>T0106</t>
        </is>
      </c>
      <c r="B107" s="9" t="inlineStr">
        <is>
          <t>Orion General</t>
        </is>
      </c>
      <c r="C107" s="9" t="inlineStr">
        <is>
          <t>Professional</t>
        </is>
      </c>
      <c r="D107" s="9" t="inlineStr">
        <is>
          <t>North America</t>
        </is>
      </c>
      <c r="E107" s="9" t="inlineStr">
        <is>
          <t>Priya Nair</t>
        </is>
      </c>
      <c r="F107" s="9" t="inlineStr">
        <is>
          <t>Proportional</t>
        </is>
      </c>
      <c r="G107" s="9" t="n">
        <v>2026</v>
      </c>
      <c r="H107" s="12" t="n">
        <v>13000000</v>
      </c>
      <c r="I107" s="12" t="n">
        <v>745268.8</v>
      </c>
      <c r="J107" s="12" t="n">
        <v>58089</v>
      </c>
      <c r="K107" s="12" t="n">
        <v>690615.75</v>
      </c>
      <c r="L107" s="12" t="n">
        <v>161261.4049103156</v>
      </c>
      <c r="M107" s="9" t="n">
        <v>3</v>
      </c>
      <c r="N107" s="12" t="n">
        <v>254170.71</v>
      </c>
      <c r="O107" s="12" t="n">
        <v>299405.65</v>
      </c>
      <c r="P107" s="12" t="n">
        <v>5200000</v>
      </c>
      <c r="Q107" s="9" t="inlineStr">
        <is>
          <t>Low</t>
        </is>
      </c>
      <c r="R107" s="11">
        <f>IFERROR(O107/K107,0)</f>
        <v/>
      </c>
    </row>
    <row r="108">
      <c r="A108" s="9" t="inlineStr">
        <is>
          <t>T0107</t>
        </is>
      </c>
      <c r="B108" s="9" t="inlineStr">
        <is>
          <t>Summit Indemnity</t>
        </is>
      </c>
      <c r="C108" s="9" t="inlineStr">
        <is>
          <t>Property</t>
        </is>
      </c>
      <c r="D108" s="9" t="inlineStr">
        <is>
          <t>Asia Pacific</t>
        </is>
      </c>
      <c r="E108" s="9" t="inlineStr">
        <is>
          <t>Omar Haddad</t>
        </is>
      </c>
      <c r="F108" s="9" t="inlineStr">
        <is>
          <t>Proportional</t>
        </is>
      </c>
      <c r="G108" s="9" t="n">
        <v>2024</v>
      </c>
      <c r="H108" s="12" t="n">
        <v>33900000</v>
      </c>
      <c r="I108" s="12" t="n">
        <v>2675265.96</v>
      </c>
      <c r="J108" s="12" t="n">
        <v>191030.04</v>
      </c>
      <c r="K108" s="12" t="n">
        <v>2675265.96</v>
      </c>
      <c r="L108" s="12" t="n">
        <v>815522.8800000001</v>
      </c>
      <c r="M108" s="9" t="n">
        <v>7</v>
      </c>
      <c r="N108" s="12" t="n">
        <v>1086351.88</v>
      </c>
      <c r="O108" s="12" t="n">
        <v>1180499.09</v>
      </c>
      <c r="P108" s="12" t="n">
        <v>6780000</v>
      </c>
      <c r="Q108" s="9" t="inlineStr">
        <is>
          <t>Low</t>
        </is>
      </c>
      <c r="R108" s="11">
        <f>IFERROR(O108/K108,0)</f>
        <v/>
      </c>
    </row>
    <row r="109">
      <c r="A109" s="9" t="inlineStr">
        <is>
          <t>T0108</t>
        </is>
      </c>
      <c r="B109" s="9" t="inlineStr">
        <is>
          <t>Northwind Indemnity</t>
        </is>
      </c>
      <c r="C109" s="9" t="inlineStr">
        <is>
          <t>Professional</t>
        </is>
      </c>
      <c r="D109" s="9" t="inlineStr">
        <is>
          <t>North America</t>
        </is>
      </c>
      <c r="E109" s="9" t="inlineStr">
        <is>
          <t>Kenji Sato</t>
        </is>
      </c>
      <c r="F109" s="9" t="inlineStr">
        <is>
          <t>Excess of Loss</t>
        </is>
      </c>
      <c r="G109" s="9" t="n">
        <v>2022</v>
      </c>
      <c r="H109" s="12" t="n">
        <v>31600000</v>
      </c>
      <c r="I109" s="12" t="n">
        <v>3519468.96</v>
      </c>
      <c r="J109" s="12" t="n">
        <v>360586.08</v>
      </c>
      <c r="K109" s="12" t="n">
        <v>3519468.96</v>
      </c>
      <c r="L109" s="12" t="n">
        <v>359457.36</v>
      </c>
      <c r="M109" s="9" t="n">
        <v>13</v>
      </c>
      <c r="N109" s="12" t="n">
        <v>3409106.46</v>
      </c>
      <c r="O109" s="12" t="n">
        <v>4070601.66</v>
      </c>
      <c r="P109" s="12" t="n">
        <v>31600000</v>
      </c>
      <c r="Q109" s="9" t="inlineStr">
        <is>
          <t>Low</t>
        </is>
      </c>
      <c r="R109" s="11">
        <f>IFERROR(O109/K109,0)</f>
        <v/>
      </c>
    </row>
    <row r="110">
      <c r="A110" s="9" t="inlineStr">
        <is>
          <t>T0109</t>
        </is>
      </c>
      <c r="B110" s="9" t="inlineStr">
        <is>
          <t>Orion General</t>
        </is>
      </c>
      <c r="C110" s="9" t="inlineStr">
        <is>
          <t>Property</t>
        </is>
      </c>
      <c r="D110" s="9" t="inlineStr">
        <is>
          <t>North America</t>
        </is>
      </c>
      <c r="E110" s="9" t="inlineStr">
        <is>
          <t>Carlos Ibarra</t>
        </is>
      </c>
      <c r="F110" s="9" t="inlineStr">
        <is>
          <t>Excess of Loss</t>
        </is>
      </c>
      <c r="G110" s="9" t="n">
        <v>2022</v>
      </c>
      <c r="H110" s="12" t="n">
        <v>10800000</v>
      </c>
      <c r="I110" s="12" t="n">
        <v>1159707.01</v>
      </c>
      <c r="J110" s="12" t="n">
        <v>113022.8</v>
      </c>
      <c r="K110" s="12" t="n">
        <v>1159707.01</v>
      </c>
      <c r="L110" s="12" t="n">
        <v>78014.31</v>
      </c>
      <c r="M110" s="9" t="n">
        <v>10</v>
      </c>
      <c r="N110" s="12" t="n">
        <v>831714.79</v>
      </c>
      <c r="O110" s="12" t="n">
        <v>933799.63</v>
      </c>
      <c r="P110" s="12" t="n">
        <v>10800000</v>
      </c>
      <c r="Q110" s="9" t="inlineStr">
        <is>
          <t>Low</t>
        </is>
      </c>
      <c r="R110" s="11">
        <f>IFERROR(O110/K110,0)</f>
        <v/>
      </c>
    </row>
    <row r="111">
      <c r="A111" s="9" t="inlineStr">
        <is>
          <t>T0110</t>
        </is>
      </c>
      <c r="B111" s="9" t="inlineStr">
        <is>
          <t>Crown Insurance</t>
        </is>
      </c>
      <c r="C111" s="9" t="inlineStr">
        <is>
          <t>Property</t>
        </is>
      </c>
      <c r="D111" s="9" t="inlineStr">
        <is>
          <t>Asia Pacific</t>
        </is>
      </c>
      <c r="E111" s="9" t="inlineStr">
        <is>
          <t>Omar Haddad</t>
        </is>
      </c>
      <c r="F111" s="9" t="inlineStr">
        <is>
          <t>Facultative</t>
        </is>
      </c>
      <c r="G111" s="9" t="n">
        <v>2025</v>
      </c>
      <c r="H111" s="12" t="n">
        <v>36800000</v>
      </c>
      <c r="I111" s="12" t="n">
        <v>2652491.04</v>
      </c>
      <c r="J111" s="12" t="n">
        <v>150042.24</v>
      </c>
      <c r="K111" s="12" t="n">
        <v>2652491.04</v>
      </c>
      <c r="L111" s="12" t="n">
        <v>482517.72</v>
      </c>
      <c r="M111" s="9" t="n">
        <v>11</v>
      </c>
      <c r="N111" s="12" t="n">
        <v>970333.86</v>
      </c>
      <c r="O111" s="12" t="n">
        <v>1456138.98</v>
      </c>
      <c r="P111" s="12" t="n">
        <v>36800000</v>
      </c>
      <c r="Q111" s="9" t="inlineStr">
        <is>
          <t>Low</t>
        </is>
      </c>
      <c r="R111" s="11">
        <f>IFERROR(O111/K111,0)</f>
        <v/>
      </c>
    </row>
    <row r="112">
      <c r="A112" s="9" t="inlineStr">
        <is>
          <t>T0111</t>
        </is>
      </c>
      <c r="B112" s="9" t="inlineStr">
        <is>
          <t>Pioneer Insurance</t>
        </is>
      </c>
      <c r="C112" s="9" t="inlineStr">
        <is>
          <t>Financial Lines</t>
        </is>
      </c>
      <c r="D112" s="9" t="inlineStr">
        <is>
          <t>Europe</t>
        </is>
      </c>
      <c r="E112" s="9" t="inlineStr">
        <is>
          <t>Kenji Sato</t>
        </is>
      </c>
      <c r="F112" s="9" t="inlineStr">
        <is>
          <t>Facultative</t>
        </is>
      </c>
      <c r="G112" s="9" t="n">
        <v>2022</v>
      </c>
      <c r="H112" s="12" t="n">
        <v>16800000.0048</v>
      </c>
      <c r="I112" s="12" t="n">
        <v>1297643.4576</v>
      </c>
      <c r="J112" s="12" t="n">
        <v>124695.288</v>
      </c>
      <c r="K112" s="12" t="n">
        <v>1297643.4576</v>
      </c>
      <c r="L112" s="12" t="n">
        <v>244618.3152</v>
      </c>
      <c r="M112" s="9" t="n">
        <v>5</v>
      </c>
      <c r="N112" s="12" t="n">
        <v>319748.4072</v>
      </c>
      <c r="O112" s="12" t="n">
        <v>350036.8668</v>
      </c>
      <c r="P112" s="12" t="n">
        <v>16800000.0048</v>
      </c>
      <c r="Q112" s="9" t="inlineStr">
        <is>
          <t>Low</t>
        </is>
      </c>
      <c r="R112" s="11">
        <f>IFERROR(O112/K112,0)</f>
        <v/>
      </c>
    </row>
    <row r="113">
      <c r="A113" s="9" t="inlineStr">
        <is>
          <t>T0112</t>
        </is>
      </c>
      <c r="B113" s="9" t="inlineStr">
        <is>
          <t>Atlas Insurance</t>
        </is>
      </c>
      <c r="C113" s="9" t="inlineStr">
        <is>
          <t>Property</t>
        </is>
      </c>
      <c r="D113" s="9" t="inlineStr">
        <is>
          <t>Asia Pacific</t>
        </is>
      </c>
      <c r="E113" s="9" t="inlineStr">
        <is>
          <t>Hannah Weber</t>
        </is>
      </c>
      <c r="F113" s="9" t="inlineStr">
        <is>
          <t>Excess of Loss</t>
        </is>
      </c>
      <c r="G113" s="9" t="n">
        <v>2022</v>
      </c>
      <c r="H113" s="12" t="n">
        <v>4900000</v>
      </c>
      <c r="I113" s="12" t="n">
        <v>886328.64</v>
      </c>
      <c r="J113" s="12" t="n">
        <v>102956.28</v>
      </c>
      <c r="K113" s="12" t="n">
        <v>886328.64</v>
      </c>
      <c r="L113" s="12" t="n">
        <v>46233.12000000001</v>
      </c>
      <c r="M113" s="9" t="n">
        <v>9</v>
      </c>
      <c r="N113" s="12" t="n">
        <v>402245.16</v>
      </c>
      <c r="O113" s="12" t="n">
        <v>476759.5</v>
      </c>
      <c r="P113" s="12" t="n">
        <v>4900000</v>
      </c>
      <c r="Q113" s="9" t="inlineStr">
        <is>
          <t>Low</t>
        </is>
      </c>
      <c r="R113" s="11">
        <f>IFERROR(O113/K113,0)</f>
        <v/>
      </c>
    </row>
    <row r="114">
      <c r="A114" s="9" t="inlineStr">
        <is>
          <t>T0113</t>
        </is>
      </c>
      <c r="B114" s="9" t="inlineStr">
        <is>
          <t>Northwind Mutual</t>
        </is>
      </c>
      <c r="C114" s="9" t="inlineStr">
        <is>
          <t>Professional</t>
        </is>
      </c>
      <c r="D114" s="9" t="inlineStr">
        <is>
          <t>Asia Pacific</t>
        </is>
      </c>
      <c r="E114" s="9" t="inlineStr">
        <is>
          <t>James Whitfield</t>
        </is>
      </c>
      <c r="F114" s="9" t="inlineStr">
        <is>
          <t>Proportional</t>
        </is>
      </c>
      <c r="G114" s="9" t="n">
        <v>2022</v>
      </c>
      <c r="H114" s="12" t="n">
        <v>8700000</v>
      </c>
      <c r="I114" s="12" t="n">
        <v>890810.4312</v>
      </c>
      <c r="J114" s="12" t="n">
        <v>88814.85264000001</v>
      </c>
      <c r="K114" s="12" t="n">
        <v>890810.4312</v>
      </c>
      <c r="L114" s="12" t="n">
        <v>265396.47408</v>
      </c>
      <c r="M114" s="9" t="n">
        <v>11</v>
      </c>
      <c r="N114" s="12" t="n">
        <v>496787.4601200001</v>
      </c>
      <c r="O114" s="12" t="n">
        <v>496787.4601200001</v>
      </c>
      <c r="P114" s="12" t="n">
        <v>4350000</v>
      </c>
      <c r="Q114" s="9" t="inlineStr">
        <is>
          <t>Low</t>
        </is>
      </c>
      <c r="R114" s="11">
        <f>IFERROR(O114/K114,0)</f>
        <v/>
      </c>
    </row>
    <row r="115">
      <c r="A115" s="9" t="inlineStr">
        <is>
          <t>T0114</t>
        </is>
      </c>
      <c r="B115" s="9" t="inlineStr">
        <is>
          <t>Harbor Insurance</t>
        </is>
      </c>
      <c r="C115" s="9" t="inlineStr">
        <is>
          <t>Professional</t>
        </is>
      </c>
      <c r="D115" s="9" t="inlineStr">
        <is>
          <t>North America</t>
        </is>
      </c>
      <c r="E115" s="9" t="inlineStr">
        <is>
          <t>Omar Haddad</t>
        </is>
      </c>
      <c r="F115" s="9" t="inlineStr">
        <is>
          <t>Excess of Loss</t>
        </is>
      </c>
      <c r="G115" s="9" t="n">
        <v>2024</v>
      </c>
      <c r="H115" s="12" t="n">
        <v>76000000</v>
      </c>
      <c r="I115" s="12" t="n">
        <v>7056460.560000001</v>
      </c>
      <c r="J115" s="12" t="n">
        <v>422483.76</v>
      </c>
      <c r="K115" s="12" t="n">
        <v>7056460.560000001</v>
      </c>
      <c r="L115" s="12" t="n">
        <v>753789.9600000001</v>
      </c>
      <c r="M115" s="9" t="n">
        <v>10</v>
      </c>
      <c r="N115" s="12" t="n">
        <v>998281.21</v>
      </c>
      <c r="O115" s="12" t="n">
        <v>2213054.05</v>
      </c>
      <c r="P115" s="12" t="n">
        <v>76000000</v>
      </c>
      <c r="Q115" s="9" t="inlineStr">
        <is>
          <t>Low</t>
        </is>
      </c>
      <c r="R115" s="11">
        <f>IFERROR(O115/K115,0)</f>
        <v/>
      </c>
    </row>
    <row r="116">
      <c r="A116" s="9" t="inlineStr">
        <is>
          <t>T0115</t>
        </is>
      </c>
      <c r="B116" s="9" t="inlineStr">
        <is>
          <t>Sterling Assurance</t>
        </is>
      </c>
      <c r="C116" s="9" t="inlineStr">
        <is>
          <t>Financial Lines</t>
        </is>
      </c>
      <c r="D116" s="9" t="inlineStr">
        <is>
          <t>Unassigned</t>
        </is>
      </c>
      <c r="E116" s="9" t="inlineStr">
        <is>
          <t>Sophie Laurent</t>
        </is>
      </c>
      <c r="F116" s="9" t="inlineStr">
        <is>
          <t>Proportional</t>
        </is>
      </c>
      <c r="G116" s="9" t="n">
        <v>2026</v>
      </c>
      <c r="H116" s="12" t="n">
        <v>5200000</v>
      </c>
      <c r="I116" s="12" t="n">
        <v>372261.5</v>
      </c>
      <c r="J116" s="12" t="n">
        <v>22066.9</v>
      </c>
      <c r="K116" s="12" t="n">
        <v>320144.89</v>
      </c>
      <c r="L116" s="12" t="n">
        <v>74277.16799999999</v>
      </c>
      <c r="M116" s="9" t="n">
        <v>3</v>
      </c>
      <c r="N116" s="12" t="n">
        <v>15517.6</v>
      </c>
      <c r="O116" s="12" t="n">
        <v>177410.69</v>
      </c>
      <c r="P116" s="12" t="n">
        <v>1040000</v>
      </c>
      <c r="Q116" s="9" t="inlineStr">
        <is>
          <t>Low</t>
        </is>
      </c>
      <c r="R116" s="11">
        <f>IFERROR(O116/K116,0)</f>
        <v/>
      </c>
    </row>
    <row r="117">
      <c r="A117" s="9" t="inlineStr">
        <is>
          <t>T0116</t>
        </is>
      </c>
      <c r="B117" s="9" t="inlineStr">
        <is>
          <t>Sterling Insurance</t>
        </is>
      </c>
      <c r="C117" s="9" t="inlineStr">
        <is>
          <t>Specialty</t>
        </is>
      </c>
      <c r="D117" s="9" t="inlineStr">
        <is>
          <t>Asia Pacific</t>
        </is>
      </c>
      <c r="E117" s="9" t="inlineStr">
        <is>
          <t>Hannah Weber</t>
        </is>
      </c>
      <c r="F117" s="9" t="inlineStr">
        <is>
          <t>Excess of Loss</t>
        </is>
      </c>
      <c r="G117" s="9" t="n">
        <v>2025</v>
      </c>
      <c r="H117" s="12" t="n">
        <v>12600000</v>
      </c>
      <c r="I117" s="12" t="n">
        <v>1295934.3576</v>
      </c>
      <c r="J117" s="12" t="n">
        <v>80192.40192</v>
      </c>
      <c r="K117" s="12" t="n">
        <v>1295934.3576</v>
      </c>
      <c r="L117" s="12" t="n">
        <v>96190.03728</v>
      </c>
      <c r="M117" s="9" t="n">
        <v>9</v>
      </c>
      <c r="N117" s="12" t="n">
        <v>609687.93348</v>
      </c>
      <c r="O117" s="12" t="n">
        <v>757246.28928</v>
      </c>
      <c r="P117" s="12" t="n">
        <v>12600000</v>
      </c>
      <c r="Q117" s="9" t="inlineStr">
        <is>
          <t>Low</t>
        </is>
      </c>
      <c r="R117" s="11">
        <f>IFERROR(O117/K117,0)</f>
        <v/>
      </c>
    </row>
    <row r="118">
      <c r="A118" s="9" t="inlineStr">
        <is>
          <t>T0117</t>
        </is>
      </c>
      <c r="B118" s="9" t="inlineStr">
        <is>
          <t>Orion Assurance</t>
        </is>
      </c>
      <c r="C118" s="9" t="inlineStr">
        <is>
          <t>Property</t>
        </is>
      </c>
      <c r="D118" s="9" t="inlineStr">
        <is>
          <t>North America</t>
        </is>
      </c>
      <c r="E118" s="9" t="inlineStr">
        <is>
          <t>Kenji Sato</t>
        </is>
      </c>
      <c r="F118" s="9" t="inlineStr">
        <is>
          <t>Proportional</t>
        </is>
      </c>
      <c r="G118" s="9" t="n">
        <v>2022</v>
      </c>
      <c r="H118" s="12" t="n">
        <v>24100000</v>
      </c>
      <c r="I118" s="12" t="n">
        <v>2153442.96</v>
      </c>
      <c r="J118" s="12" t="n">
        <v>211517.88</v>
      </c>
      <c r="K118" s="12" t="n">
        <v>2153442.96</v>
      </c>
      <c r="L118" s="12" t="n">
        <v>658180.4400000001</v>
      </c>
      <c r="M118" s="9" t="n">
        <v>4</v>
      </c>
      <c r="N118" s="12" t="n">
        <v>955016.09</v>
      </c>
      <c r="O118" s="12" t="n">
        <v>955016.09</v>
      </c>
      <c r="P118" s="12" t="n">
        <v>3615000</v>
      </c>
      <c r="Q118" s="9" t="inlineStr">
        <is>
          <t>Low</t>
        </is>
      </c>
      <c r="R118" s="11">
        <f>IFERROR(O118/K118,0)</f>
        <v/>
      </c>
    </row>
    <row r="119">
      <c r="A119" s="9" t="inlineStr">
        <is>
          <t>T0118</t>
        </is>
      </c>
      <c r="B119" s="9" t="inlineStr">
        <is>
          <t>Vantage General</t>
        </is>
      </c>
      <c r="C119" s="9" t="inlineStr">
        <is>
          <t>Property</t>
        </is>
      </c>
      <c r="D119" s="9" t="inlineStr">
        <is>
          <t>North America</t>
        </is>
      </c>
      <c r="E119" s="9" t="inlineStr">
        <is>
          <t>Carlos Ibarra</t>
        </is>
      </c>
      <c r="F119" s="9" t="inlineStr">
        <is>
          <t>Excess of Loss</t>
        </is>
      </c>
      <c r="G119" s="9" t="n">
        <v>2024</v>
      </c>
      <c r="H119" s="12" t="n">
        <v>37800000</v>
      </c>
      <c r="I119" s="12" t="n">
        <v>3563649.12</v>
      </c>
      <c r="J119" s="12" t="n">
        <v>348457.8</v>
      </c>
      <c r="K119" s="12" t="n">
        <v>3563649.12</v>
      </c>
      <c r="L119" s="12" t="n">
        <v>211878.84</v>
      </c>
      <c r="M119" s="9" t="n">
        <v>7</v>
      </c>
      <c r="N119" s="12" t="n">
        <v>1173500.75</v>
      </c>
      <c r="O119" s="12" t="n">
        <v>2140510.52</v>
      </c>
      <c r="P119" s="12" t="n">
        <v>37800000</v>
      </c>
      <c r="Q119" s="9" t="inlineStr">
        <is>
          <t>Low</t>
        </is>
      </c>
      <c r="R119" s="11">
        <f>IFERROR(O119/K119,0)</f>
        <v/>
      </c>
    </row>
    <row r="120">
      <c r="A120" s="9" t="inlineStr">
        <is>
          <t>T0119</t>
        </is>
      </c>
      <c r="B120" s="9" t="inlineStr">
        <is>
          <t>Atlas Indemnity</t>
        </is>
      </c>
      <c r="C120" s="9" t="inlineStr">
        <is>
          <t>Casualty</t>
        </is>
      </c>
      <c r="D120" s="9" t="inlineStr">
        <is>
          <t>North America</t>
        </is>
      </c>
      <c r="E120" s="9" t="inlineStr">
        <is>
          <t>Priya Nair</t>
        </is>
      </c>
      <c r="F120" s="9" t="inlineStr">
        <is>
          <t>Proportional</t>
        </is>
      </c>
      <c r="G120" s="9" t="n">
        <v>2023</v>
      </c>
      <c r="H120" s="12" t="n">
        <v>5800000</v>
      </c>
      <c r="I120" s="12" t="n">
        <v>497709.6</v>
      </c>
      <c r="J120" s="12" t="n">
        <v>41349.12</v>
      </c>
      <c r="K120" s="12" t="n">
        <v>497709.6</v>
      </c>
      <c r="L120" s="12" t="n">
        <v>121294.92</v>
      </c>
      <c r="M120" s="9" t="n">
        <v>12</v>
      </c>
      <c r="N120" s="12" t="n">
        <v>151150.94</v>
      </c>
      <c r="O120" s="12" t="n">
        <v>160285.67</v>
      </c>
      <c r="P120" s="12" t="n">
        <v>1160000</v>
      </c>
      <c r="Q120" s="9" t="inlineStr">
        <is>
          <t>Low</t>
        </is>
      </c>
      <c r="R120" s="11">
        <f>IFERROR(O120/K120,0)</f>
        <v/>
      </c>
    </row>
    <row r="121">
      <c r="A121" s="9" t="inlineStr">
        <is>
          <t>T0120</t>
        </is>
      </c>
      <c r="B121" s="9" t="inlineStr">
        <is>
          <t>Sterling Indemnity</t>
        </is>
      </c>
      <c r="C121" s="9" t="inlineStr">
        <is>
          <t>Specialty</t>
        </is>
      </c>
      <c r="D121" s="9" t="inlineStr">
        <is>
          <t>Europe</t>
        </is>
      </c>
      <c r="E121" s="9" t="inlineStr">
        <is>
          <t>Priya Nair</t>
        </is>
      </c>
      <c r="F121" s="9" t="inlineStr">
        <is>
          <t>Excess of Loss</t>
        </is>
      </c>
      <c r="G121" s="9" t="n">
        <v>2026</v>
      </c>
      <c r="H121" s="12" t="n">
        <v>19500000.0048</v>
      </c>
      <c r="I121" s="12" t="n">
        <v>279090.1656</v>
      </c>
      <c r="J121" s="12" t="n">
        <v>23595.7968</v>
      </c>
      <c r="K121" s="12" t="n">
        <v>213969.1248</v>
      </c>
      <c r="L121" s="12" t="n">
        <v>17911.66013918332</v>
      </c>
      <c r="M121" s="9" t="n">
        <v>4</v>
      </c>
      <c r="N121" s="12" t="n">
        <v>49208.78520000001</v>
      </c>
      <c r="O121" s="12" t="n">
        <v>137587.9716</v>
      </c>
      <c r="P121" s="12" t="n">
        <v>19500000.0048</v>
      </c>
      <c r="Q121" s="9" t="inlineStr">
        <is>
          <t>Low</t>
        </is>
      </c>
      <c r="R121" s="11">
        <f>IFERROR(O121/K121,0)</f>
        <v/>
      </c>
    </row>
    <row r="122">
      <c r="A122" s="9" t="inlineStr">
        <is>
          <t>T0121</t>
        </is>
      </c>
      <c r="B122" s="9" t="inlineStr">
        <is>
          <t>Summit General</t>
        </is>
      </c>
      <c r="C122" s="9" t="inlineStr">
        <is>
          <t>Financial Lines</t>
        </is>
      </c>
      <c r="D122" s="9" t="inlineStr">
        <is>
          <t>North America</t>
        </is>
      </c>
      <c r="E122" s="9" t="inlineStr">
        <is>
          <t>Sophie Laurent</t>
        </is>
      </c>
      <c r="F122" s="9" t="inlineStr">
        <is>
          <t>Proportional</t>
        </is>
      </c>
      <c r="G122" s="9" t="n">
        <v>2023</v>
      </c>
      <c r="H122" s="12" t="n">
        <v>16600000</v>
      </c>
      <c r="I122" s="12" t="n">
        <v>3318988.8</v>
      </c>
      <c r="J122" s="12" t="n">
        <v>201793.92</v>
      </c>
      <c r="K122" s="12" t="n">
        <v>3318988.8</v>
      </c>
      <c r="L122" s="12" t="n">
        <v>873539.76</v>
      </c>
      <c r="M122" s="9" t="n">
        <v>7</v>
      </c>
      <c r="N122" s="12" t="n">
        <v>1626168.13</v>
      </c>
      <c r="O122" s="12" t="n">
        <v>2093977.27</v>
      </c>
      <c r="P122" s="12" t="n">
        <v>2490000</v>
      </c>
      <c r="Q122" s="9" t="inlineStr">
        <is>
          <t>Low</t>
        </is>
      </c>
      <c r="R122" s="11">
        <f>IFERROR(O122/K122,0)</f>
        <v/>
      </c>
    </row>
    <row r="123">
      <c r="A123" s="9" t="inlineStr">
        <is>
          <t>T0122</t>
        </is>
      </c>
      <c r="B123" s="9" t="inlineStr">
        <is>
          <t>Evergreen Assurance</t>
        </is>
      </c>
      <c r="C123" s="9" t="inlineStr">
        <is>
          <t>Property</t>
        </is>
      </c>
      <c r="D123" s="9" t="inlineStr">
        <is>
          <t>North America</t>
        </is>
      </c>
      <c r="E123" s="9" t="inlineStr">
        <is>
          <t>Sophie Laurent</t>
        </is>
      </c>
      <c r="F123" s="9" t="inlineStr">
        <is>
          <t>Excess of Loss</t>
        </is>
      </c>
      <c r="G123" s="9" t="n">
        <v>2024</v>
      </c>
      <c r="H123" s="12" t="n">
        <v>17800000</v>
      </c>
      <c r="I123" s="12" t="n">
        <v>2039202.24</v>
      </c>
      <c r="J123" s="12" t="n">
        <v>223254.12</v>
      </c>
      <c r="K123" s="12" t="n">
        <v>2039202.24</v>
      </c>
      <c r="L123" s="12" t="n">
        <v>231256.56</v>
      </c>
      <c r="M123" s="9" t="n">
        <v>8</v>
      </c>
      <c r="N123" s="12" t="n">
        <v>1948460.78</v>
      </c>
      <c r="O123" s="12" t="n">
        <v>2058056.48</v>
      </c>
      <c r="P123" s="12" t="n">
        <v>17800000</v>
      </c>
      <c r="Q123" s="9" t="inlineStr">
        <is>
          <t>Low</t>
        </is>
      </c>
      <c r="R123" s="11">
        <f>IFERROR(O123/K123,0)</f>
        <v/>
      </c>
    </row>
    <row r="124">
      <c r="A124" s="9" t="inlineStr">
        <is>
          <t>T0123</t>
        </is>
      </c>
      <c r="B124" s="9" t="inlineStr">
        <is>
          <t>Meridian General</t>
        </is>
      </c>
      <c r="C124" s="9" t="inlineStr">
        <is>
          <t>Property</t>
        </is>
      </c>
      <c r="D124" s="9" t="inlineStr">
        <is>
          <t>North America</t>
        </is>
      </c>
      <c r="E124" s="9" t="inlineStr">
        <is>
          <t>Carlos Ibarra</t>
        </is>
      </c>
      <c r="F124" s="9" t="inlineStr">
        <is>
          <t>Proportional</t>
        </is>
      </c>
      <c r="G124" s="9" t="n">
        <v>2022</v>
      </c>
      <c r="H124" s="12" t="n">
        <v>19400000</v>
      </c>
      <c r="I124" s="12" t="n">
        <v>1391556.48</v>
      </c>
      <c r="J124" s="12" t="n">
        <v>160453.92</v>
      </c>
      <c r="K124" s="12" t="n">
        <v>1391556.48</v>
      </c>
      <c r="L124" s="12" t="n">
        <v>443945.16</v>
      </c>
      <c r="M124" s="9" t="n">
        <v>7</v>
      </c>
      <c r="N124" s="12" t="n">
        <v>1416007.98</v>
      </c>
      <c r="O124" s="12" t="n">
        <v>1416007.98</v>
      </c>
      <c r="P124" s="12" t="n">
        <v>5820000</v>
      </c>
      <c r="Q124" s="9" t="inlineStr">
        <is>
          <t>Low</t>
        </is>
      </c>
      <c r="R124" s="11">
        <f>IFERROR(O124/K124,0)</f>
        <v/>
      </c>
    </row>
    <row r="125">
      <c r="A125" s="9" t="inlineStr">
        <is>
          <t>T0124</t>
        </is>
      </c>
      <c r="B125" s="9" t="inlineStr">
        <is>
          <t>Cobalt Indemnity</t>
        </is>
      </c>
      <c r="C125" s="9" t="inlineStr">
        <is>
          <t>Casualty</t>
        </is>
      </c>
      <c r="D125" s="9" t="inlineStr">
        <is>
          <t>North America</t>
        </is>
      </c>
      <c r="E125" s="9" t="inlineStr">
        <is>
          <t>James Whitfield</t>
        </is>
      </c>
      <c r="F125" s="9" t="inlineStr">
        <is>
          <t>Facultative</t>
        </is>
      </c>
      <c r="G125" s="9" t="n">
        <v>2025</v>
      </c>
      <c r="H125" s="12" t="n">
        <v>40300000</v>
      </c>
      <c r="I125" s="12" t="n">
        <v>2909329.08</v>
      </c>
      <c r="J125" s="12" t="n">
        <v>256922.28</v>
      </c>
      <c r="K125" s="12" t="n">
        <v>2909329.08</v>
      </c>
      <c r="L125" s="12" t="n">
        <v>552546.84</v>
      </c>
      <c r="M125" s="9" t="n">
        <v>17</v>
      </c>
      <c r="N125" s="12" t="n">
        <v>1542116.22</v>
      </c>
      <c r="O125" s="12" t="n">
        <v>1746446.07</v>
      </c>
      <c r="P125" s="12" t="n">
        <v>40300000</v>
      </c>
      <c r="Q125" s="9" t="inlineStr">
        <is>
          <t>Low</t>
        </is>
      </c>
      <c r="R125" s="11">
        <f>IFERROR(O125/K125,0)</f>
        <v/>
      </c>
    </row>
    <row r="126">
      <c r="A126" s="9" t="inlineStr">
        <is>
          <t>T0125</t>
        </is>
      </c>
      <c r="B126" s="9" t="inlineStr">
        <is>
          <t>Lumen Assurance</t>
        </is>
      </c>
      <c r="C126" s="9" t="inlineStr">
        <is>
          <t>Casualty</t>
        </is>
      </c>
      <c r="D126" s="9" t="inlineStr">
        <is>
          <t>Latin America</t>
        </is>
      </c>
      <c r="E126" s="9" t="inlineStr">
        <is>
          <t>Aarav Mehta</t>
        </is>
      </c>
      <c r="F126" s="9" t="inlineStr">
        <is>
          <t>Proportional</t>
        </is>
      </c>
      <c r="G126" s="9" t="n">
        <v>2024</v>
      </c>
      <c r="H126" s="12" t="n">
        <v>39200000</v>
      </c>
      <c r="I126" s="12" t="n">
        <v>4918528.199999999</v>
      </c>
      <c r="J126" s="12" t="n">
        <v>507365.28</v>
      </c>
      <c r="K126" s="12" t="n">
        <v>4918528.199999999</v>
      </c>
      <c r="L126" s="12" t="n">
        <v>1144652.64</v>
      </c>
      <c r="M126" s="9" t="n">
        <v>11</v>
      </c>
      <c r="N126" s="12" t="n">
        <v>2003502.53</v>
      </c>
      <c r="O126" s="12" t="n">
        <v>3469318.84</v>
      </c>
      <c r="P126" s="12" t="n">
        <v>7840000</v>
      </c>
      <c r="Q126" s="9" t="inlineStr">
        <is>
          <t>Low</t>
        </is>
      </c>
      <c r="R126" s="11">
        <f>IFERROR(O126/K126,0)</f>
        <v/>
      </c>
    </row>
    <row r="127">
      <c r="A127" s="9" t="inlineStr">
        <is>
          <t>T0126</t>
        </is>
      </c>
      <c r="B127" s="9" t="inlineStr">
        <is>
          <t>Northwind Assurance</t>
        </is>
      </c>
      <c r="C127" s="9" t="inlineStr">
        <is>
          <t>Property</t>
        </is>
      </c>
      <c r="D127" s="9" t="inlineStr">
        <is>
          <t>North America</t>
        </is>
      </c>
      <c r="E127" s="9" t="inlineStr">
        <is>
          <t>Aarav Mehta</t>
        </is>
      </c>
      <c r="F127" s="9" t="inlineStr">
        <is>
          <t>Excess of Loss</t>
        </is>
      </c>
      <c r="G127" s="9" t="n">
        <v>2023</v>
      </c>
      <c r="H127" s="12" t="n">
        <v>6100000</v>
      </c>
      <c r="I127" s="12" t="n">
        <v>811525.7999999999</v>
      </c>
      <c r="J127" s="12" t="n">
        <v>49403.88</v>
      </c>
      <c r="K127" s="12" t="n">
        <v>811525.7999999999</v>
      </c>
      <c r="L127" s="12" t="n">
        <v>73622.39999999999</v>
      </c>
      <c r="M127" s="9" t="n">
        <v>10</v>
      </c>
      <c r="N127" s="12" t="n">
        <v>516863.24</v>
      </c>
      <c r="O127" s="12" t="n">
        <v>516863.24</v>
      </c>
      <c r="P127" s="12" t="n">
        <v>6100000</v>
      </c>
      <c r="Q127" s="9" t="inlineStr">
        <is>
          <t>Low</t>
        </is>
      </c>
      <c r="R127" s="11">
        <f>IFERROR(O127/K127,0)</f>
        <v/>
      </c>
    </row>
    <row r="128">
      <c r="A128" s="9" t="inlineStr">
        <is>
          <t>T0127</t>
        </is>
      </c>
      <c r="B128" s="9" t="inlineStr">
        <is>
          <t>Northwind Indemnity</t>
        </is>
      </c>
      <c r="C128" s="9" t="inlineStr">
        <is>
          <t>Casualty</t>
        </is>
      </c>
      <c r="D128" s="9" t="inlineStr">
        <is>
          <t>North America</t>
        </is>
      </c>
      <c r="E128" s="9" t="inlineStr">
        <is>
          <t>Hannah Weber</t>
        </is>
      </c>
      <c r="F128" s="9" t="inlineStr">
        <is>
          <t>Excess of Loss</t>
        </is>
      </c>
      <c r="G128" s="9" t="n">
        <v>2023</v>
      </c>
      <c r="H128" s="12" t="n">
        <v>60600000</v>
      </c>
      <c r="I128" s="12" t="n">
        <v>4651121.4</v>
      </c>
      <c r="J128" s="12" t="n">
        <v>298580.28</v>
      </c>
      <c r="K128" s="12" t="n">
        <v>4651121.4</v>
      </c>
      <c r="L128" s="12" t="n">
        <v>526847.88</v>
      </c>
      <c r="M128" s="9" t="n">
        <v>6</v>
      </c>
      <c r="N128" s="12" t="n">
        <v>1625578.56</v>
      </c>
      <c r="O128" s="12" t="n">
        <v>1625578.56</v>
      </c>
      <c r="P128" s="12" t="n">
        <v>60600000</v>
      </c>
      <c r="Q128" s="9" t="inlineStr">
        <is>
          <t>Low</t>
        </is>
      </c>
      <c r="R128" s="11">
        <f>IFERROR(O128/K128,0)</f>
        <v/>
      </c>
    </row>
    <row r="129">
      <c r="A129" s="9" t="inlineStr">
        <is>
          <t>T0128</t>
        </is>
      </c>
      <c r="B129" s="9" t="inlineStr">
        <is>
          <t>Cobalt Assurance</t>
        </is>
      </c>
      <c r="C129" s="9" t="inlineStr">
        <is>
          <t>Professional</t>
        </is>
      </c>
      <c r="D129" s="9" t="inlineStr">
        <is>
          <t>Europe</t>
        </is>
      </c>
      <c r="E129" s="9" t="inlineStr">
        <is>
          <t>Aarav Mehta</t>
        </is>
      </c>
      <c r="F129" s="9" t="inlineStr">
        <is>
          <t>Excess of Loss</t>
        </is>
      </c>
      <c r="G129" s="9" t="n">
        <v>2024</v>
      </c>
      <c r="H129" s="12" t="n">
        <v>4399999.9956</v>
      </c>
      <c r="I129" s="12" t="n">
        <v>566470.8432</v>
      </c>
      <c r="J129" s="12" t="n">
        <v>56533.07520000001</v>
      </c>
      <c r="K129" s="12" t="n">
        <v>566470.8432</v>
      </c>
      <c r="L129" s="12" t="n">
        <v>37222.2864</v>
      </c>
      <c r="M129" s="9" t="n">
        <v>10</v>
      </c>
      <c r="N129" s="12" t="n">
        <v>264040.5708</v>
      </c>
      <c r="O129" s="12" t="n">
        <v>264040.5708</v>
      </c>
      <c r="P129" s="12" t="n">
        <v>4399999.9956</v>
      </c>
      <c r="Q129" s="9" t="inlineStr">
        <is>
          <t>Low</t>
        </is>
      </c>
      <c r="R129" s="11">
        <f>IFERROR(O129/K129,0)</f>
        <v/>
      </c>
    </row>
    <row r="130">
      <c r="A130" s="9" t="inlineStr">
        <is>
          <t>T0129</t>
        </is>
      </c>
      <c r="B130" s="9" t="inlineStr">
        <is>
          <t>Granite General</t>
        </is>
      </c>
      <c r="C130" s="9" t="inlineStr">
        <is>
          <t>Casualty</t>
        </is>
      </c>
      <c r="D130" s="9" t="inlineStr">
        <is>
          <t>Asia Pacific</t>
        </is>
      </c>
      <c r="E130" s="9" t="inlineStr">
        <is>
          <t>Hannah Weber</t>
        </is>
      </c>
      <c r="F130" s="9" t="inlineStr">
        <is>
          <t>Excess of Loss</t>
        </is>
      </c>
      <c r="G130" s="9" t="n">
        <v>2024</v>
      </c>
      <c r="H130" s="12" t="n">
        <v>7000000</v>
      </c>
      <c r="I130" s="12" t="n">
        <v>566910.72</v>
      </c>
      <c r="J130" s="12" t="n">
        <v>30034.2</v>
      </c>
      <c r="K130" s="12" t="n">
        <v>566910.72</v>
      </c>
      <c r="L130" s="12" t="n">
        <v>47196.24000000001</v>
      </c>
      <c r="M130" s="9" t="n">
        <v>12</v>
      </c>
      <c r="N130" s="12" t="n">
        <v>197308.09</v>
      </c>
      <c r="O130" s="12" t="n">
        <v>198863.4</v>
      </c>
      <c r="P130" s="12" t="n">
        <v>7000000</v>
      </c>
      <c r="Q130" s="9" t="inlineStr">
        <is>
          <t>Low</t>
        </is>
      </c>
      <c r="R130" s="11">
        <f>IFERROR(O130/K130,0)</f>
        <v/>
      </c>
    </row>
    <row r="131">
      <c r="A131" s="9" t="inlineStr">
        <is>
          <t>T0130</t>
        </is>
      </c>
      <c r="B131" s="9" t="inlineStr">
        <is>
          <t>Meridian Insurance</t>
        </is>
      </c>
      <c r="C131" s="9" t="inlineStr">
        <is>
          <t>Casualty</t>
        </is>
      </c>
      <c r="D131" s="9" t="inlineStr">
        <is>
          <t>Asia Pacific</t>
        </is>
      </c>
      <c r="E131" s="9" t="inlineStr">
        <is>
          <t>Carlos Ibarra</t>
        </is>
      </c>
      <c r="F131" s="9" t="inlineStr">
        <is>
          <t>Excess of Loss</t>
        </is>
      </c>
      <c r="G131" s="9" t="n">
        <v>2023</v>
      </c>
      <c r="H131" s="12" t="n">
        <v>12700000</v>
      </c>
      <c r="I131" s="12" t="n">
        <v>955039.4399999999</v>
      </c>
      <c r="J131" s="12" t="n">
        <v>48557.64</v>
      </c>
      <c r="K131" s="12" t="n">
        <v>955039.4399999999</v>
      </c>
      <c r="L131" s="12" t="n">
        <v>48946.08000000001</v>
      </c>
      <c r="M131" s="9" t="n">
        <v>11</v>
      </c>
      <c r="N131" s="12" t="n">
        <v>1418796.89</v>
      </c>
      <c r="O131" s="12" t="n">
        <v>1505551.03</v>
      </c>
      <c r="P131" s="12" t="n">
        <v>12700000</v>
      </c>
      <c r="Q131" s="9" t="inlineStr">
        <is>
          <t>Low</t>
        </is>
      </c>
      <c r="R131" s="11">
        <f>IFERROR(O131/K131,0)</f>
        <v/>
      </c>
    </row>
    <row r="132">
      <c r="A132" s="9" t="inlineStr">
        <is>
          <t>T0131</t>
        </is>
      </c>
      <c r="B132" s="9" t="inlineStr">
        <is>
          <t>Vantage Assurance</t>
        </is>
      </c>
      <c r="C132" s="9" t="inlineStr">
        <is>
          <t>Financial Lines</t>
        </is>
      </c>
      <c r="D132" s="9" t="inlineStr">
        <is>
          <t>Europe</t>
        </is>
      </c>
      <c r="E132" s="9" t="inlineStr">
        <is>
          <t>Hannah Weber</t>
        </is>
      </c>
      <c r="F132" s="9" t="inlineStr">
        <is>
          <t>Excess of Loss</t>
        </is>
      </c>
      <c r="G132" s="9" t="n">
        <v>2026</v>
      </c>
      <c r="H132" s="12" t="n">
        <v>4100000.004</v>
      </c>
      <c r="I132" s="12" t="n">
        <v>120193.092</v>
      </c>
      <c r="J132" s="12" t="n">
        <v>7301.793600000001</v>
      </c>
      <c r="K132" s="12" t="n">
        <v>80128.7316</v>
      </c>
      <c r="L132" s="12" t="n">
        <v>7454.505934913844</v>
      </c>
      <c r="M132" s="9" t="n">
        <v>1</v>
      </c>
      <c r="N132" s="12" t="n">
        <v>14175.162</v>
      </c>
      <c r="O132" s="12" t="n">
        <v>36539.748</v>
      </c>
      <c r="P132" s="12" t="n">
        <v>4100000.004</v>
      </c>
      <c r="Q132" s="9" t="inlineStr">
        <is>
          <t>Low</t>
        </is>
      </c>
      <c r="R132" s="11">
        <f>IFERROR(O132/K132,0)</f>
        <v/>
      </c>
    </row>
    <row r="133">
      <c r="A133" s="9" t="inlineStr">
        <is>
          <t>T0132</t>
        </is>
      </c>
      <c r="B133" s="9" t="inlineStr">
        <is>
          <t>Cobalt General</t>
        </is>
      </c>
      <c r="C133" s="9" t="inlineStr">
        <is>
          <t>Property</t>
        </is>
      </c>
      <c r="D133" s="9" t="inlineStr">
        <is>
          <t>North America</t>
        </is>
      </c>
      <c r="E133" s="9" t="inlineStr">
        <is>
          <t>Omar Haddad</t>
        </is>
      </c>
      <c r="F133" s="9" t="inlineStr">
        <is>
          <t>Excess of Loss</t>
        </is>
      </c>
      <c r="G133" s="9" t="n">
        <v>2025</v>
      </c>
      <c r="H133" s="12" t="n">
        <v>2600000</v>
      </c>
      <c r="I133" s="12" t="n">
        <v>273403.44</v>
      </c>
      <c r="J133" s="12" t="n">
        <v>17872.56</v>
      </c>
      <c r="K133" s="12" t="n">
        <v>273403.44</v>
      </c>
      <c r="L133" s="12" t="n">
        <v>27700.92</v>
      </c>
      <c r="M133" s="9" t="n">
        <v>7</v>
      </c>
      <c r="N133" s="12" t="n">
        <v>648765.01</v>
      </c>
      <c r="O133" s="12" t="n">
        <v>3165653.25</v>
      </c>
      <c r="P133" s="12" t="n">
        <v>2600000</v>
      </c>
      <c r="Q133" s="9" t="inlineStr">
        <is>
          <t>Critical</t>
        </is>
      </c>
      <c r="R133" s="11">
        <f>IFERROR(O133/K133,0)</f>
        <v/>
      </c>
    </row>
    <row r="134">
      <c r="A134" s="9" t="inlineStr">
        <is>
          <t>T0133</t>
        </is>
      </c>
      <c r="B134" s="9" t="inlineStr">
        <is>
          <t>Northwind General</t>
        </is>
      </c>
      <c r="C134" s="9" t="inlineStr">
        <is>
          <t>Financial Lines</t>
        </is>
      </c>
      <c r="D134" s="9" t="inlineStr">
        <is>
          <t>Asia Pacific</t>
        </is>
      </c>
      <c r="E134" s="9" t="inlineStr">
        <is>
          <t>Aarav Mehta</t>
        </is>
      </c>
      <c r="F134" s="9" t="inlineStr">
        <is>
          <t>Excess of Loss</t>
        </is>
      </c>
      <c r="G134" s="9" t="n">
        <v>2025</v>
      </c>
      <c r="H134" s="12" t="n">
        <v>3699999.99996</v>
      </c>
      <c r="I134" s="12" t="n">
        <v>444363.6528</v>
      </c>
      <c r="J134" s="12" t="n">
        <v>43771.97952</v>
      </c>
      <c r="K134" s="12" t="n">
        <v>444363.6528</v>
      </c>
      <c r="L134" s="12" t="n">
        <v>41461.90272000001</v>
      </c>
      <c r="M134" s="9" t="n">
        <v>12</v>
      </c>
      <c r="N134" s="12" t="n">
        <v>133777.22832</v>
      </c>
      <c r="O134" s="12" t="n">
        <v>217057.61892</v>
      </c>
      <c r="P134" s="12" t="n">
        <v>3699999.99996</v>
      </c>
      <c r="Q134" s="9" t="inlineStr">
        <is>
          <t>Low</t>
        </is>
      </c>
      <c r="R134" s="11">
        <f>IFERROR(O134/K134,0)</f>
        <v/>
      </c>
    </row>
    <row r="135">
      <c r="A135" s="9" t="inlineStr">
        <is>
          <t>T0134</t>
        </is>
      </c>
      <c r="B135" s="9" t="inlineStr">
        <is>
          <t>Meridian General</t>
        </is>
      </c>
      <c r="C135" s="9" t="inlineStr">
        <is>
          <t>Property</t>
        </is>
      </c>
      <c r="D135" s="9" t="inlineStr">
        <is>
          <t>North America</t>
        </is>
      </c>
      <c r="E135" s="9" t="inlineStr">
        <is>
          <t>Aarav Mehta</t>
        </is>
      </c>
      <c r="F135" s="9" t="inlineStr">
        <is>
          <t>Proportional</t>
        </is>
      </c>
      <c r="G135" s="9" t="n">
        <v>2021</v>
      </c>
      <c r="H135" s="12" t="n">
        <v>6900000</v>
      </c>
      <c r="I135" s="12" t="n">
        <v>738699.24</v>
      </c>
      <c r="J135" s="12" t="n">
        <v>63827.28</v>
      </c>
      <c r="K135" s="12" t="n">
        <v>738699.24</v>
      </c>
      <c r="L135" s="12" t="n">
        <v>218194.8</v>
      </c>
      <c r="M135" s="9" t="n">
        <v>8</v>
      </c>
      <c r="N135" s="12" t="n">
        <v>385206.19</v>
      </c>
      <c r="O135" s="12" t="n">
        <v>404976.79</v>
      </c>
      <c r="P135" s="12" t="n">
        <v>1380000</v>
      </c>
      <c r="Q135" s="9" t="inlineStr">
        <is>
          <t>Low</t>
        </is>
      </c>
      <c r="R135" s="11">
        <f>IFERROR(O135/K135,0)</f>
        <v/>
      </c>
    </row>
    <row r="136">
      <c r="A136" s="9" t="inlineStr">
        <is>
          <t>T0135</t>
        </is>
      </c>
      <c r="B136" s="9" t="inlineStr">
        <is>
          <t>Orion Mutual</t>
        </is>
      </c>
      <c r="C136" s="9" t="inlineStr">
        <is>
          <t>Casualty</t>
        </is>
      </c>
      <c r="D136" s="9" t="inlineStr">
        <is>
          <t>Europe</t>
        </is>
      </c>
      <c r="E136" s="9" t="inlineStr">
        <is>
          <t>Hannah Weber</t>
        </is>
      </c>
      <c r="F136" s="9" t="inlineStr">
        <is>
          <t>Excess of Loss</t>
        </is>
      </c>
      <c r="G136" s="9" t="n">
        <v>2026</v>
      </c>
      <c r="H136" s="12" t="n">
        <v>8000000.002800001</v>
      </c>
      <c r="I136" s="12" t="n">
        <v>496253.5956</v>
      </c>
      <c r="J136" s="12" t="n">
        <v>34768.2888</v>
      </c>
      <c r="K136" s="12" t="n">
        <v>489164.2596</v>
      </c>
      <c r="L136" s="12" t="n">
        <v>48000.4186659776</v>
      </c>
      <c r="M136" s="9" t="n">
        <v>5</v>
      </c>
      <c r="N136" s="12" t="n">
        <v>201993.2424</v>
      </c>
      <c r="O136" s="12" t="n">
        <v>282254.2524</v>
      </c>
      <c r="P136" s="12" t="n">
        <v>8000000.002800001</v>
      </c>
      <c r="Q136" s="9" t="inlineStr">
        <is>
          <t>Low</t>
        </is>
      </c>
      <c r="R136" s="11">
        <f>IFERROR(O136/K136,0)</f>
        <v/>
      </c>
    </row>
    <row r="137">
      <c r="A137" s="9" t="inlineStr">
        <is>
          <t>T0136</t>
        </is>
      </c>
      <c r="B137" s="9" t="inlineStr">
        <is>
          <t>Granite Assurance</t>
        </is>
      </c>
      <c r="C137" s="9" t="inlineStr">
        <is>
          <t>Casualty</t>
        </is>
      </c>
      <c r="D137" s="9" t="inlineStr">
        <is>
          <t>Asia Pacific</t>
        </is>
      </c>
      <c r="E137" s="9" t="inlineStr">
        <is>
          <t>Priya Nair</t>
        </is>
      </c>
      <c r="F137" s="9" t="inlineStr">
        <is>
          <t>Proportional</t>
        </is>
      </c>
      <c r="G137" s="9" t="n">
        <v>2023</v>
      </c>
      <c r="H137" s="12" t="n">
        <v>11400000</v>
      </c>
      <c r="I137" s="12" t="n">
        <v>1078724.76</v>
      </c>
      <c r="J137" s="12" t="n">
        <v>88410.48</v>
      </c>
      <c r="K137" s="12" t="n">
        <v>1078724.76</v>
      </c>
      <c r="L137" s="12" t="n">
        <v>277633.32</v>
      </c>
      <c r="M137" s="9" t="n">
        <v>10</v>
      </c>
      <c r="N137" s="12" t="n">
        <v>586125.71</v>
      </c>
      <c r="O137" s="12" t="n">
        <v>589435.27</v>
      </c>
      <c r="P137" s="12" t="n">
        <v>2850000</v>
      </c>
      <c r="Q137" s="9" t="inlineStr">
        <is>
          <t>Low</t>
        </is>
      </c>
      <c r="R137" s="11">
        <f>IFERROR(O137/K137,0)</f>
        <v/>
      </c>
    </row>
    <row r="138">
      <c r="A138" s="9" t="inlineStr">
        <is>
          <t>T0137</t>
        </is>
      </c>
      <c r="B138" s="9" t="inlineStr">
        <is>
          <t>Pioneer Indemnity</t>
        </is>
      </c>
      <c r="C138" s="9" t="inlineStr">
        <is>
          <t>Professional</t>
        </is>
      </c>
      <c r="D138" s="9" t="inlineStr">
        <is>
          <t>Latin America</t>
        </is>
      </c>
      <c r="E138" s="9" t="inlineStr">
        <is>
          <t>Aarav Mehta</t>
        </is>
      </c>
      <c r="F138" s="9" t="inlineStr">
        <is>
          <t>Excess of Loss</t>
        </is>
      </c>
      <c r="G138" s="9" t="n">
        <v>2023</v>
      </c>
      <c r="H138" s="12" t="n">
        <v>5900000</v>
      </c>
      <c r="I138" s="12" t="n">
        <v>1130001.36</v>
      </c>
      <c r="J138" s="12" t="n">
        <v>131044.32</v>
      </c>
      <c r="K138" s="12" t="n">
        <v>1130001.36</v>
      </c>
      <c r="L138" s="12" t="n">
        <v>89823.36</v>
      </c>
      <c r="M138" s="9" t="n">
        <v>13</v>
      </c>
      <c r="N138" s="12" t="n">
        <v>604521.61</v>
      </c>
      <c r="O138" s="12" t="n">
        <v>615725.5</v>
      </c>
      <c r="P138" s="12" t="n">
        <v>5900000</v>
      </c>
      <c r="Q138" s="9" t="inlineStr">
        <is>
          <t>Low</t>
        </is>
      </c>
      <c r="R138" s="11">
        <f>IFERROR(O138/K138,0)</f>
        <v/>
      </c>
    </row>
    <row r="139">
      <c r="A139" s="9" t="inlineStr">
        <is>
          <t>T0138</t>
        </is>
      </c>
      <c r="B139" s="9" t="inlineStr">
        <is>
          <t>Granite General</t>
        </is>
      </c>
      <c r="C139" s="9" t="inlineStr">
        <is>
          <t>Specialty</t>
        </is>
      </c>
      <c r="D139" s="9" t="inlineStr">
        <is>
          <t>Asia Pacific</t>
        </is>
      </c>
      <c r="E139" s="9" t="inlineStr">
        <is>
          <t>Omar Haddad</t>
        </is>
      </c>
      <c r="F139" s="9" t="inlineStr">
        <is>
          <t>Excess of Loss</t>
        </is>
      </c>
      <c r="G139" s="9" t="n">
        <v>2025</v>
      </c>
      <c r="H139" s="12" t="n">
        <v>20900000</v>
      </c>
      <c r="I139" s="12" t="n">
        <v>1953615.12</v>
      </c>
      <c r="J139" s="12" t="n">
        <v>117748.32</v>
      </c>
      <c r="K139" s="12" t="n">
        <v>1888494.62</v>
      </c>
      <c r="L139" s="12" t="n">
        <v>100022.6242118568</v>
      </c>
      <c r="M139" s="9" t="n">
        <v>9</v>
      </c>
      <c r="N139" s="12" t="n">
        <v>924843.7000000001</v>
      </c>
      <c r="O139" s="12" t="n">
        <v>1116577.38</v>
      </c>
      <c r="P139" s="12" t="n">
        <v>20900000</v>
      </c>
      <c r="Q139" s="9" t="inlineStr">
        <is>
          <t>Low</t>
        </is>
      </c>
      <c r="R139" s="11">
        <f>IFERROR(O139/K139,0)</f>
        <v/>
      </c>
    </row>
    <row r="140">
      <c r="A140" s="9" t="inlineStr">
        <is>
          <t>T0139</t>
        </is>
      </c>
      <c r="B140" s="9" t="inlineStr">
        <is>
          <t>Summit Insurance</t>
        </is>
      </c>
      <c r="C140" s="9" t="inlineStr">
        <is>
          <t>Financial Lines</t>
        </is>
      </c>
      <c r="D140" s="9" t="inlineStr">
        <is>
          <t>Europe</t>
        </is>
      </c>
      <c r="E140" s="9" t="inlineStr">
        <is>
          <t>Sophie Laurent</t>
        </is>
      </c>
      <c r="F140" s="9" t="inlineStr">
        <is>
          <t>Excess of Loss</t>
        </is>
      </c>
      <c r="G140" s="9" t="n">
        <v>2021</v>
      </c>
      <c r="H140" s="12" t="n">
        <v>4299999.9984</v>
      </c>
      <c r="I140" s="12" t="n">
        <v>544537.0800000001</v>
      </c>
      <c r="J140" s="12" t="n">
        <v>63263.8512</v>
      </c>
      <c r="K140" s="12" t="n">
        <v>544537.0800000001</v>
      </c>
      <c r="L140" s="12" t="n">
        <v>45327.9888</v>
      </c>
      <c r="M140" s="9" t="n">
        <v>13</v>
      </c>
      <c r="N140" s="12" t="n">
        <v>156209.1372</v>
      </c>
      <c r="O140" s="12" t="n">
        <v>157752.2088</v>
      </c>
      <c r="P140" s="12" t="n">
        <v>4299999.9984</v>
      </c>
      <c r="Q140" s="9" t="inlineStr">
        <is>
          <t>Low</t>
        </is>
      </c>
      <c r="R140" s="11">
        <f>IFERROR(O140/K140,0)</f>
        <v/>
      </c>
    </row>
    <row r="141">
      <c r="A141" s="9" t="inlineStr">
        <is>
          <t>T0140</t>
        </is>
      </c>
      <c r="B141" s="9" t="inlineStr">
        <is>
          <t>Pioneer General</t>
        </is>
      </c>
      <c r="C141" s="9" t="inlineStr">
        <is>
          <t>Casualty</t>
        </is>
      </c>
      <c r="D141" s="9" t="inlineStr">
        <is>
          <t>Europe</t>
        </is>
      </c>
      <c r="E141" s="9" t="inlineStr">
        <is>
          <t>Sophie Laurent</t>
        </is>
      </c>
      <c r="F141" s="9" t="inlineStr">
        <is>
          <t>Facultative</t>
        </is>
      </c>
      <c r="G141" s="9" t="n">
        <v>2021</v>
      </c>
      <c r="H141" s="12" t="n">
        <v>21900000.0024</v>
      </c>
      <c r="I141" s="12" t="n">
        <v>2295716.7744</v>
      </c>
      <c r="J141" s="12" t="n">
        <v>159699.4704</v>
      </c>
      <c r="K141" s="12" t="n">
        <v>2295716.7744</v>
      </c>
      <c r="L141" s="12" t="n">
        <v>374068.2384</v>
      </c>
      <c r="M141" s="9" t="n">
        <v>6</v>
      </c>
      <c r="N141" s="12" t="n">
        <v>663876.2376000001</v>
      </c>
      <c r="O141" s="12" t="n">
        <v>1775829.69</v>
      </c>
      <c r="P141" s="12" t="n">
        <v>21900000.0024</v>
      </c>
      <c r="Q141" s="9" t="inlineStr">
        <is>
          <t>Low</t>
        </is>
      </c>
      <c r="R141" s="11">
        <f>IFERROR(O141/K141,0)</f>
        <v/>
      </c>
    </row>
    <row r="142">
      <c r="A142" s="9" t="inlineStr">
        <is>
          <t>T0141</t>
        </is>
      </c>
      <c r="B142" s="9" t="inlineStr">
        <is>
          <t>Orion Indemnity</t>
        </is>
      </c>
      <c r="C142" s="9" t="inlineStr">
        <is>
          <t>Casualty</t>
        </is>
      </c>
      <c r="D142" s="9" t="inlineStr">
        <is>
          <t>Latin America</t>
        </is>
      </c>
      <c r="E142" s="9" t="inlineStr">
        <is>
          <t>James Whitfield</t>
        </is>
      </c>
      <c r="F142" s="9" t="inlineStr">
        <is>
          <t>Proportional</t>
        </is>
      </c>
      <c r="G142" s="9" t="n">
        <v>2024</v>
      </c>
      <c r="H142" s="12" t="n">
        <v>22500000</v>
      </c>
      <c r="I142" s="12" t="n">
        <v>4256647.439999999</v>
      </c>
      <c r="J142" s="12" t="n">
        <v>413903.16</v>
      </c>
      <c r="K142" s="12" t="n">
        <v>4256647.439999999</v>
      </c>
      <c r="L142" s="12" t="n">
        <v>1103253.96</v>
      </c>
      <c r="M142" s="9" t="n">
        <v>8</v>
      </c>
      <c r="N142" s="12" t="n">
        <v>2586249.49</v>
      </c>
      <c r="O142" s="12" t="n">
        <v>2649016.42</v>
      </c>
      <c r="P142" s="12" t="n">
        <v>6750000</v>
      </c>
      <c r="Q142" s="9" t="inlineStr">
        <is>
          <t>Low</t>
        </is>
      </c>
      <c r="R142" s="11">
        <f>IFERROR(O142/K142,0)</f>
        <v/>
      </c>
    </row>
    <row r="143">
      <c r="A143" s="9" t="inlineStr">
        <is>
          <t>T0142</t>
        </is>
      </c>
      <c r="B143" s="9" t="inlineStr">
        <is>
          <t>Pioneer General</t>
        </is>
      </c>
      <c r="C143" s="9" t="inlineStr">
        <is>
          <t>Casualty</t>
        </is>
      </c>
      <c r="D143" s="9" t="inlineStr">
        <is>
          <t>Europe</t>
        </is>
      </c>
      <c r="E143" s="9" t="inlineStr">
        <is>
          <t>Hannah Weber</t>
        </is>
      </c>
      <c r="F143" s="9" t="inlineStr">
        <is>
          <t>Proportional</t>
        </is>
      </c>
      <c r="G143" s="9" t="n">
        <v>2023</v>
      </c>
      <c r="H143" s="12" t="n">
        <v>9299999.9988</v>
      </c>
      <c r="I143" s="12" t="n">
        <v>731651.3568000001</v>
      </c>
      <c r="J143" s="12" t="n">
        <v>61913.808</v>
      </c>
      <c r="K143" s="12" t="n">
        <v>731651.3568000001</v>
      </c>
      <c r="L143" s="12" t="n">
        <v>202810.1328</v>
      </c>
      <c r="M143" s="9" t="n">
        <v>9</v>
      </c>
      <c r="N143" s="12" t="n">
        <v>401828.526</v>
      </c>
      <c r="O143" s="12" t="n">
        <v>443886.6852000001</v>
      </c>
      <c r="P143" s="12" t="n">
        <v>3719999.9952</v>
      </c>
      <c r="Q143" s="9" t="inlineStr">
        <is>
          <t>Low</t>
        </is>
      </c>
      <c r="R143" s="11">
        <f>IFERROR(O143/K143,0)</f>
        <v/>
      </c>
    </row>
    <row r="144">
      <c r="A144" s="9" t="inlineStr">
        <is>
          <t>T0143</t>
        </is>
      </c>
      <c r="B144" s="9" t="inlineStr">
        <is>
          <t>Meridian Mutual</t>
        </is>
      </c>
      <c r="C144" s="9" t="inlineStr">
        <is>
          <t>Property</t>
        </is>
      </c>
      <c r="D144" s="9" t="inlineStr">
        <is>
          <t>North America</t>
        </is>
      </c>
      <c r="E144" s="9" t="inlineStr">
        <is>
          <t>Priya Nair</t>
        </is>
      </c>
      <c r="F144" s="9" t="inlineStr">
        <is>
          <t>Excess of Loss</t>
        </is>
      </c>
      <c r="G144" s="9" t="n">
        <v>2025</v>
      </c>
      <c r="H144" s="12" t="n">
        <v>19700000</v>
      </c>
      <c r="I144" s="12" t="n">
        <v>1465490.28</v>
      </c>
      <c r="J144" s="12" t="n">
        <v>89981.04000000001</v>
      </c>
      <c r="K144" s="12" t="n">
        <v>1465490.28</v>
      </c>
      <c r="L144" s="12" t="n">
        <v>146477.28</v>
      </c>
      <c r="M144" s="9" t="n">
        <v>9</v>
      </c>
      <c r="N144" s="12" t="n">
        <v>890316.72</v>
      </c>
      <c r="O144" s="12" t="n">
        <v>1099436.31</v>
      </c>
      <c r="P144" s="12" t="n">
        <v>19700000</v>
      </c>
      <c r="Q144" s="9" t="inlineStr">
        <is>
          <t>Low</t>
        </is>
      </c>
      <c r="R144" s="11">
        <f>IFERROR(O144/K144,0)</f>
        <v/>
      </c>
    </row>
    <row r="145">
      <c r="A145" s="9" t="inlineStr">
        <is>
          <t>T0144</t>
        </is>
      </c>
      <c r="B145" s="9" t="inlineStr">
        <is>
          <t>Crown Insurance</t>
        </is>
      </c>
      <c r="C145" s="9" t="inlineStr">
        <is>
          <t>Casualty</t>
        </is>
      </c>
      <c r="D145" s="9" t="inlineStr">
        <is>
          <t>Asia Pacific</t>
        </is>
      </c>
      <c r="E145" s="9" t="inlineStr">
        <is>
          <t>Omar Haddad</t>
        </is>
      </c>
      <c r="F145" s="9" t="inlineStr">
        <is>
          <t>Proportional</t>
        </is>
      </c>
      <c r="G145" s="9" t="n">
        <v>2022</v>
      </c>
      <c r="H145" s="12" t="n">
        <v>23500000</v>
      </c>
      <c r="I145" s="12" t="n">
        <v>3178280.52</v>
      </c>
      <c r="J145" s="12" t="n">
        <v>166213.56</v>
      </c>
      <c r="K145" s="12" t="n">
        <v>3178280.52</v>
      </c>
      <c r="L145" s="12" t="n">
        <v>711795</v>
      </c>
      <c r="M145" s="9" t="n">
        <v>18</v>
      </c>
      <c r="N145" s="12" t="n">
        <v>1582109.56</v>
      </c>
      <c r="O145" s="12" t="n">
        <v>1638096.95</v>
      </c>
      <c r="P145" s="12" t="n">
        <v>2350000</v>
      </c>
      <c r="Q145" s="9" t="inlineStr">
        <is>
          <t>Low</t>
        </is>
      </c>
      <c r="R145" s="11">
        <f>IFERROR(O145/K145,0)</f>
        <v/>
      </c>
    </row>
    <row r="146">
      <c r="A146" s="9" t="inlineStr">
        <is>
          <t>T0145</t>
        </is>
      </c>
      <c r="B146" s="9" t="inlineStr">
        <is>
          <t>Orion General</t>
        </is>
      </c>
      <c r="C146" s="9" t="inlineStr">
        <is>
          <t>Property</t>
        </is>
      </c>
      <c r="D146" s="9" t="inlineStr">
        <is>
          <t>North America</t>
        </is>
      </c>
      <c r="E146" s="9" t="inlineStr">
        <is>
          <t>James Whitfield</t>
        </is>
      </c>
      <c r="F146" s="9" t="inlineStr">
        <is>
          <t>Proportional</t>
        </is>
      </c>
      <c r="G146" s="9" t="n">
        <v>2023</v>
      </c>
      <c r="H146" s="12" t="n">
        <v>1300000</v>
      </c>
      <c r="I146" s="12" t="n">
        <v>223994.28</v>
      </c>
      <c r="J146" s="12" t="n">
        <v>19105.68</v>
      </c>
      <c r="K146" s="12" t="n">
        <v>223994.28</v>
      </c>
      <c r="L146" s="12" t="n">
        <v>49843.31999999999</v>
      </c>
      <c r="M146" s="9" t="n">
        <v>12</v>
      </c>
      <c r="N146" s="12" t="n">
        <v>145796.15</v>
      </c>
      <c r="O146" s="12" t="n">
        <v>172422.74</v>
      </c>
      <c r="P146" s="12" t="n">
        <v>260000</v>
      </c>
      <c r="Q146" s="9" t="inlineStr">
        <is>
          <t>Low</t>
        </is>
      </c>
      <c r="R146" s="11">
        <f>IFERROR(O146/K146,0)</f>
        <v/>
      </c>
    </row>
    <row r="147">
      <c r="A147" s="9" t="inlineStr">
        <is>
          <t>T0146</t>
        </is>
      </c>
      <c r="B147" s="9" t="inlineStr">
        <is>
          <t>Meridian Indemnity</t>
        </is>
      </c>
      <c r="C147" s="9" t="inlineStr">
        <is>
          <t>Property</t>
        </is>
      </c>
      <c r="D147" s="9" t="inlineStr">
        <is>
          <t>Europe</t>
        </is>
      </c>
      <c r="E147" s="9" t="inlineStr">
        <is>
          <t>Aarav Mehta</t>
        </is>
      </c>
      <c r="F147" s="9" t="inlineStr">
        <is>
          <t>Excess of Loss</t>
        </is>
      </c>
      <c r="G147" s="9" t="n">
        <v>2025</v>
      </c>
      <c r="H147" s="12" t="n">
        <v>21600000</v>
      </c>
      <c r="I147" s="12" t="n">
        <v>1377112.644</v>
      </c>
      <c r="J147" s="12" t="n">
        <v>77949.97200000001</v>
      </c>
      <c r="K147" s="12" t="n">
        <v>1358751.1428</v>
      </c>
      <c r="L147" s="12" t="n">
        <v>144636.2323966425</v>
      </c>
      <c r="M147" s="9" t="n">
        <v>6</v>
      </c>
      <c r="N147" s="12" t="n">
        <v>315926.1144</v>
      </c>
      <c r="O147" s="12" t="n">
        <v>751292.0532000001</v>
      </c>
      <c r="P147" s="12" t="n">
        <v>21600000</v>
      </c>
      <c r="Q147" s="9" t="inlineStr">
        <is>
          <t>Low</t>
        </is>
      </c>
      <c r="R147" s="11">
        <f>IFERROR(O147/K147,0)</f>
        <v/>
      </c>
    </row>
    <row r="148">
      <c r="A148" s="9" t="inlineStr">
        <is>
          <t>T0147</t>
        </is>
      </c>
      <c r="B148" s="9" t="inlineStr">
        <is>
          <t>Meridian General</t>
        </is>
      </c>
      <c r="C148" s="9" t="inlineStr">
        <is>
          <t>Professional</t>
        </is>
      </c>
      <c r="D148" s="9" t="inlineStr">
        <is>
          <t>North America</t>
        </is>
      </c>
      <c r="E148" s="9" t="inlineStr">
        <is>
          <t>Kenji Sato</t>
        </is>
      </c>
      <c r="F148" s="9" t="inlineStr">
        <is>
          <t>Proportional</t>
        </is>
      </c>
      <c r="G148" s="9" t="n">
        <v>2021</v>
      </c>
      <c r="H148" s="12" t="n">
        <v>9300000</v>
      </c>
      <c r="I148" s="12" t="n">
        <v>763170.12</v>
      </c>
      <c r="J148" s="12" t="n">
        <v>60284.64</v>
      </c>
      <c r="K148" s="12" t="n">
        <v>763170.12</v>
      </c>
      <c r="L148" s="12" t="n">
        <v>213871.56</v>
      </c>
      <c r="M148" s="9" t="n">
        <v>4</v>
      </c>
      <c r="N148" s="12" t="n">
        <v>283661.55</v>
      </c>
      <c r="O148" s="12" t="n">
        <v>352954.1</v>
      </c>
      <c r="P148" s="12" t="n">
        <v>2790000</v>
      </c>
      <c r="Q148" s="9" t="inlineStr">
        <is>
          <t>Low</t>
        </is>
      </c>
      <c r="R148" s="11">
        <f>IFERROR(O148/K148,0)</f>
        <v/>
      </c>
    </row>
    <row r="149">
      <c r="A149" s="9" t="inlineStr">
        <is>
          <t>T0148</t>
        </is>
      </c>
      <c r="B149" s="9" t="inlineStr">
        <is>
          <t>Northwind Mutual</t>
        </is>
      </c>
      <c r="C149" s="9" t="inlineStr">
        <is>
          <t>Casualty</t>
        </is>
      </c>
      <c r="D149" s="9" t="inlineStr">
        <is>
          <t>Asia Pacific</t>
        </is>
      </c>
      <c r="E149" s="9" t="inlineStr">
        <is>
          <t>Priya Nair</t>
        </is>
      </c>
      <c r="F149" s="9" t="inlineStr">
        <is>
          <t>Excess of Loss</t>
        </is>
      </c>
      <c r="G149" s="9" t="n">
        <v>2022</v>
      </c>
      <c r="H149" s="12" t="n">
        <v>8300000.000039999</v>
      </c>
      <c r="I149" s="12" t="n">
        <v>1123158.00672</v>
      </c>
      <c r="J149" s="12" t="n">
        <v>89001.32111999999</v>
      </c>
      <c r="K149" s="12" t="n">
        <v>1123158.00672</v>
      </c>
      <c r="L149" s="12" t="n">
        <v>81930.49056000001</v>
      </c>
      <c r="M149" s="9" t="n">
        <v>13</v>
      </c>
      <c r="N149" s="12" t="n">
        <v>754086.19956</v>
      </c>
      <c r="O149" s="12" t="n">
        <v>968207.0113199999</v>
      </c>
      <c r="P149" s="12" t="n">
        <v>8300000.000039999</v>
      </c>
      <c r="Q149" s="9" t="inlineStr">
        <is>
          <t>Low</t>
        </is>
      </c>
      <c r="R149" s="11">
        <f>IFERROR(O149/K149,0)</f>
        <v/>
      </c>
    </row>
    <row r="150">
      <c r="A150" s="9" t="inlineStr">
        <is>
          <t>T0149</t>
        </is>
      </c>
      <c r="B150" s="9" t="inlineStr">
        <is>
          <t>Evergreen Mutual</t>
        </is>
      </c>
      <c r="C150" s="9" t="inlineStr">
        <is>
          <t>Casualty</t>
        </is>
      </c>
      <c r="D150" s="9" t="inlineStr">
        <is>
          <t>Latin America</t>
        </is>
      </c>
      <c r="E150" s="9" t="inlineStr">
        <is>
          <t>James Whitfield</t>
        </is>
      </c>
      <c r="F150" s="9" t="inlineStr">
        <is>
          <t>Excess of Loss</t>
        </is>
      </c>
      <c r="G150" s="9" t="n">
        <v>2022</v>
      </c>
      <c r="H150" s="12" t="n">
        <v>11100000</v>
      </c>
      <c r="I150" s="12" t="n">
        <v>896968.4399999999</v>
      </c>
      <c r="J150" s="12" t="n">
        <v>97473.12</v>
      </c>
      <c r="K150" s="12" t="n">
        <v>896968.4399999999</v>
      </c>
      <c r="L150" s="12" t="n">
        <v>94119.36</v>
      </c>
      <c r="M150" s="9" t="n">
        <v>9</v>
      </c>
      <c r="N150" s="12" t="n">
        <v>489545.63</v>
      </c>
      <c r="O150" s="12" t="n">
        <v>823124.7000000001</v>
      </c>
      <c r="P150" s="12" t="n">
        <v>11100000</v>
      </c>
      <c r="Q150" s="9" t="inlineStr">
        <is>
          <t>Low</t>
        </is>
      </c>
      <c r="R150" s="11">
        <f>IFERROR(O150/K150,0)</f>
        <v/>
      </c>
    </row>
    <row r="151">
      <c r="A151" s="9" t="inlineStr">
        <is>
          <t>T0150</t>
        </is>
      </c>
      <c r="B151" s="9" t="inlineStr">
        <is>
          <t>Granite Assurance</t>
        </is>
      </c>
      <c r="C151" s="9" t="inlineStr">
        <is>
          <t>Casualty</t>
        </is>
      </c>
      <c r="D151" s="9" t="inlineStr">
        <is>
          <t>Asia Pacific</t>
        </is>
      </c>
      <c r="E151" s="9" t="inlineStr">
        <is>
          <t>James Whitfield</t>
        </is>
      </c>
      <c r="F151" s="9" t="inlineStr">
        <is>
          <t>Proportional</t>
        </is>
      </c>
      <c r="G151" s="9" t="n">
        <v>2022</v>
      </c>
      <c r="H151" s="12" t="n">
        <v>54600000</v>
      </c>
      <c r="I151" s="12" t="n">
        <v>4082542.08</v>
      </c>
      <c r="J151" s="12" t="n">
        <v>437293.68</v>
      </c>
      <c r="K151" s="12" t="n">
        <v>4082542.08</v>
      </c>
      <c r="L151" s="12" t="n">
        <v>945184.4399999999</v>
      </c>
      <c r="M151" s="9" t="n">
        <v>13</v>
      </c>
      <c r="N151" s="12" t="n">
        <v>1376753.13</v>
      </c>
      <c r="O151" s="12" t="n">
        <v>1455123.8</v>
      </c>
      <c r="P151" s="12" t="n">
        <v>21840000</v>
      </c>
      <c r="Q151" s="9" t="inlineStr">
        <is>
          <t>Low</t>
        </is>
      </c>
      <c r="R151" s="11">
        <f>IFERROR(O151/K151,0)</f>
        <v/>
      </c>
    </row>
    <row r="152">
      <c r="A152" s="9" t="inlineStr">
        <is>
          <t>T0151</t>
        </is>
      </c>
      <c r="B152" s="9" t="inlineStr">
        <is>
          <t>Atlas Indemnity</t>
        </is>
      </c>
      <c r="C152" s="9" t="inlineStr">
        <is>
          <t>Casualty</t>
        </is>
      </c>
      <c r="D152" s="9" t="inlineStr">
        <is>
          <t>North America</t>
        </is>
      </c>
      <c r="E152" s="9" t="inlineStr">
        <is>
          <t>Omar Haddad</t>
        </is>
      </c>
      <c r="F152" s="9" t="inlineStr">
        <is>
          <t>Proportional</t>
        </is>
      </c>
      <c r="G152" s="9" t="n">
        <v>2022</v>
      </c>
      <c r="H152" s="12" t="n">
        <v>34000000</v>
      </c>
      <c r="I152" s="12" t="n">
        <v>2607105.96</v>
      </c>
      <c r="J152" s="12" t="n">
        <v>211138.92</v>
      </c>
      <c r="K152" s="12" t="n">
        <v>2607105.96</v>
      </c>
      <c r="L152" s="12" t="n">
        <v>622048.8</v>
      </c>
      <c r="M152" s="9" t="n">
        <v>12</v>
      </c>
      <c r="N152" s="12" t="n">
        <v>1783298.01</v>
      </c>
      <c r="O152" s="12" t="n">
        <v>1783298.01</v>
      </c>
      <c r="P152" s="12" t="n">
        <v>6800000</v>
      </c>
      <c r="Q152" s="9" t="inlineStr">
        <is>
          <t>Low</t>
        </is>
      </c>
      <c r="R152" s="11">
        <f>IFERROR(O152/K152,0)</f>
        <v/>
      </c>
    </row>
    <row r="153">
      <c r="A153" s="9" t="inlineStr">
        <is>
          <t>T0152</t>
        </is>
      </c>
      <c r="B153" s="9" t="inlineStr">
        <is>
          <t>Sterling Mutual</t>
        </is>
      </c>
      <c r="C153" s="9" t="inlineStr">
        <is>
          <t>Property</t>
        </is>
      </c>
      <c r="D153" s="9" t="inlineStr">
        <is>
          <t>Europe</t>
        </is>
      </c>
      <c r="E153" s="9" t="inlineStr">
        <is>
          <t>Priya Nair</t>
        </is>
      </c>
      <c r="F153" s="9" t="inlineStr">
        <is>
          <t>Excess of Loss</t>
        </is>
      </c>
      <c r="G153" s="9" t="n">
        <v>2026</v>
      </c>
      <c r="H153" s="12" t="n">
        <v>56299999.9982</v>
      </c>
      <c r="I153" s="12" t="n">
        <v>1057769.538</v>
      </c>
      <c r="J153" s="12" t="n">
        <v>76191.38940000001</v>
      </c>
      <c r="K153" s="12" t="n">
        <v>999004.5678999999</v>
      </c>
      <c r="L153" s="12" t="n">
        <v>114959.6977538143</v>
      </c>
      <c r="M153" s="9" t="n">
        <v>4</v>
      </c>
      <c r="N153" s="12" t="n">
        <v>216862.1774</v>
      </c>
      <c r="O153" s="12" t="n">
        <v>1156824.5596</v>
      </c>
      <c r="P153" s="12" t="n">
        <v>56299999.9982</v>
      </c>
      <c r="Q153" s="9" t="inlineStr">
        <is>
          <t>Low</t>
        </is>
      </c>
      <c r="R153" s="11">
        <f>IFERROR(O153/K153,0)</f>
        <v/>
      </c>
    </row>
    <row r="154">
      <c r="A154" s="9" t="inlineStr">
        <is>
          <t>T0153</t>
        </is>
      </c>
      <c r="B154" s="9" t="inlineStr">
        <is>
          <t>Lumen Insurance</t>
        </is>
      </c>
      <c r="C154" s="9" t="inlineStr">
        <is>
          <t>Casualty</t>
        </is>
      </c>
      <c r="D154" s="9" t="inlineStr">
        <is>
          <t>North America</t>
        </is>
      </c>
      <c r="E154" s="9" t="inlineStr">
        <is>
          <t>Carlos Ibarra</t>
        </is>
      </c>
      <c r="F154" s="9" t="inlineStr">
        <is>
          <t>Proportional</t>
        </is>
      </c>
      <c r="G154" s="9" t="n">
        <v>2023</v>
      </c>
      <c r="H154" s="12" t="n">
        <v>21100000</v>
      </c>
      <c r="I154" s="12" t="n">
        <v>1861268.52</v>
      </c>
      <c r="J154" s="12" t="n">
        <v>105313.32</v>
      </c>
      <c r="K154" s="12" t="n">
        <v>1861268.52</v>
      </c>
      <c r="L154" s="12" t="n">
        <v>421978.5599999999</v>
      </c>
      <c r="M154" s="9" t="n">
        <v>8</v>
      </c>
      <c r="N154" s="12" t="n">
        <v>788295.39</v>
      </c>
      <c r="O154" s="12" t="n">
        <v>794267.4</v>
      </c>
      <c r="P154" s="12" t="n">
        <v>3165000</v>
      </c>
      <c r="Q154" s="9" t="inlineStr">
        <is>
          <t>Low</t>
        </is>
      </c>
      <c r="R154" s="11">
        <f>IFERROR(O154/K154,0)</f>
        <v/>
      </c>
    </row>
    <row r="155">
      <c r="A155" s="9" t="inlineStr">
        <is>
          <t>T0154</t>
        </is>
      </c>
      <c r="B155" s="9" t="inlineStr">
        <is>
          <t>Evergreen Assurance</t>
        </is>
      </c>
      <c r="C155" s="9" t="inlineStr">
        <is>
          <t>Professional</t>
        </is>
      </c>
      <c r="D155" s="9" t="inlineStr">
        <is>
          <t>North America</t>
        </is>
      </c>
      <c r="E155" s="9" t="inlineStr">
        <is>
          <t>James Whitfield</t>
        </is>
      </c>
      <c r="F155" s="9" t="inlineStr">
        <is>
          <t>Proportional</t>
        </is>
      </c>
      <c r="G155" s="9" t="n">
        <v>2025</v>
      </c>
      <c r="H155" s="12" t="n">
        <v>12400000</v>
      </c>
      <c r="I155" s="12" t="n">
        <v>1262302.92</v>
      </c>
      <c r="J155" s="12" t="n">
        <v>97215.60000000001</v>
      </c>
      <c r="K155" s="12" t="n">
        <v>1262302.92</v>
      </c>
      <c r="L155" s="12" t="n">
        <v>315180.48</v>
      </c>
      <c r="M155" s="9" t="n">
        <v>9</v>
      </c>
      <c r="N155" s="12" t="n">
        <v>297581.58</v>
      </c>
      <c r="O155" s="12" t="n">
        <v>724831.01</v>
      </c>
      <c r="P155" s="12" t="n">
        <v>6200000</v>
      </c>
      <c r="Q155" s="9" t="inlineStr">
        <is>
          <t>Low</t>
        </is>
      </c>
      <c r="R155" s="11">
        <f>IFERROR(O155/K155,0)</f>
        <v/>
      </c>
    </row>
    <row r="156">
      <c r="A156" s="9" t="inlineStr">
        <is>
          <t>T0155</t>
        </is>
      </c>
      <c r="B156" s="9" t="inlineStr">
        <is>
          <t>Cobalt Indemnity</t>
        </is>
      </c>
      <c r="C156" s="9" t="inlineStr">
        <is>
          <t>Property</t>
        </is>
      </c>
      <c r="D156" s="9" t="inlineStr">
        <is>
          <t>North America</t>
        </is>
      </c>
      <c r="E156" s="9" t="inlineStr">
        <is>
          <t>Priya Nair</t>
        </is>
      </c>
      <c r="F156" s="9" t="inlineStr">
        <is>
          <t>Excess of Loss</t>
        </is>
      </c>
      <c r="G156" s="9" t="n">
        <v>2024</v>
      </c>
      <c r="H156" s="12" t="n">
        <v>8400000</v>
      </c>
      <c r="I156" s="12" t="n">
        <v>701236.8</v>
      </c>
      <c r="J156" s="12" t="n">
        <v>79720.68000000001</v>
      </c>
      <c r="K156" s="12" t="n">
        <v>701236.8</v>
      </c>
      <c r="L156" s="12" t="n">
        <v>82489.44</v>
      </c>
      <c r="M156" s="9" t="n">
        <v>10</v>
      </c>
      <c r="N156" s="12" t="n">
        <v>292549.43</v>
      </c>
      <c r="O156" s="12" t="n">
        <v>375621.46</v>
      </c>
      <c r="P156" s="12" t="n">
        <v>8400000</v>
      </c>
      <c r="Q156" s="9" t="inlineStr">
        <is>
          <t>Low</t>
        </is>
      </c>
      <c r="R156" s="11">
        <f>IFERROR(O156/K156,0)</f>
        <v/>
      </c>
    </row>
    <row r="157">
      <c r="A157" s="9" t="inlineStr">
        <is>
          <t>T0156</t>
        </is>
      </c>
      <c r="B157" s="9" t="inlineStr">
        <is>
          <t>Orion Assurance</t>
        </is>
      </c>
      <c r="C157" s="9" t="inlineStr">
        <is>
          <t>Property</t>
        </is>
      </c>
      <c r="D157" s="9" t="inlineStr">
        <is>
          <t>North America</t>
        </is>
      </c>
      <c r="E157" s="9" t="inlineStr">
        <is>
          <t>Hannah Weber</t>
        </is>
      </c>
      <c r="F157" s="9" t="inlineStr">
        <is>
          <t>Excess of Loss</t>
        </is>
      </c>
      <c r="G157" s="9" t="n">
        <v>2023</v>
      </c>
      <c r="H157" s="12" t="n">
        <v>18800000</v>
      </c>
      <c r="I157" s="12" t="n">
        <v>3219157.8</v>
      </c>
      <c r="J157" s="12" t="n">
        <v>323976.72</v>
      </c>
      <c r="K157" s="12" t="n">
        <v>3219157.8</v>
      </c>
      <c r="L157" s="12" t="n">
        <v>330306.12</v>
      </c>
      <c r="M157" s="9" t="n">
        <v>13</v>
      </c>
      <c r="N157" s="12" t="n">
        <v>1208321.03</v>
      </c>
      <c r="O157" s="12" t="n">
        <v>1208321.03</v>
      </c>
      <c r="P157" s="12" t="n">
        <v>18800000</v>
      </c>
      <c r="Q157" s="9" t="inlineStr">
        <is>
          <t>Low</t>
        </is>
      </c>
      <c r="R157" s="11">
        <f>IFERROR(O157/K157,0)</f>
        <v/>
      </c>
    </row>
    <row r="158">
      <c r="A158" s="9" t="inlineStr">
        <is>
          <t>T0157</t>
        </is>
      </c>
      <c r="B158" s="9" t="inlineStr">
        <is>
          <t>Orion Insurance</t>
        </is>
      </c>
      <c r="C158" s="9" t="inlineStr">
        <is>
          <t>Specialty</t>
        </is>
      </c>
      <c r="D158" s="9" t="inlineStr">
        <is>
          <t>Asia Pacific</t>
        </is>
      </c>
      <c r="E158" s="9" t="inlineStr">
        <is>
          <t>Kenji Sato</t>
        </is>
      </c>
      <c r="F158" s="9" t="inlineStr">
        <is>
          <t>Excess of Loss</t>
        </is>
      </c>
      <c r="G158" s="9" t="n">
        <v>2024</v>
      </c>
      <c r="H158" s="12" t="n">
        <v>3800000</v>
      </c>
      <c r="I158" s="12" t="n">
        <v>712863.84</v>
      </c>
      <c r="J158" s="12" t="n">
        <v>56612.52</v>
      </c>
      <c r="K158" s="12" t="n">
        <v>712863.84</v>
      </c>
      <c r="L158" s="12" t="n">
        <v>78574.79999999999</v>
      </c>
      <c r="M158" s="9" t="n">
        <v>12</v>
      </c>
      <c r="N158" s="12" t="n">
        <v>1723294.12</v>
      </c>
      <c r="O158" s="12" t="n">
        <v>5577575.12</v>
      </c>
      <c r="P158" s="12" t="n">
        <v>3800000</v>
      </c>
      <c r="Q158" s="9" t="inlineStr">
        <is>
          <t>Critical</t>
        </is>
      </c>
      <c r="R158" s="11">
        <f>IFERROR(O158/K158,0)</f>
        <v/>
      </c>
    </row>
    <row r="159">
      <c r="A159" s="9" t="inlineStr">
        <is>
          <t>T0158</t>
        </is>
      </c>
      <c r="B159" s="9" t="inlineStr">
        <is>
          <t>Cobalt Indemnity</t>
        </is>
      </c>
      <c r="C159" s="9" t="inlineStr">
        <is>
          <t>Unmapped</t>
        </is>
      </c>
      <c r="D159" s="9" t="inlineStr">
        <is>
          <t>North America</t>
        </is>
      </c>
      <c r="E159" s="9" t="inlineStr">
        <is>
          <t>Sophie Laurent</t>
        </is>
      </c>
      <c r="F159" s="9" t="inlineStr">
        <is>
          <t>Excess of Loss</t>
        </is>
      </c>
      <c r="G159" s="9" t="n">
        <v>2025</v>
      </c>
      <c r="H159" s="12" t="n">
        <v>6800000</v>
      </c>
      <c r="I159" s="12" t="n">
        <v>576442.2</v>
      </c>
      <c r="J159" s="12" t="n">
        <v>53457.24000000001</v>
      </c>
      <c r="K159" s="12" t="n">
        <v>576442.2</v>
      </c>
      <c r="L159" s="12" t="n">
        <v>68046.12</v>
      </c>
      <c r="M159" s="9" t="n">
        <v>7</v>
      </c>
      <c r="N159" s="12" t="n">
        <v>156462.32</v>
      </c>
      <c r="O159" s="12" t="n">
        <v>318273.63</v>
      </c>
      <c r="P159" s="12" t="n">
        <v>6800000</v>
      </c>
      <c r="Q159" s="9" t="inlineStr">
        <is>
          <t>Low</t>
        </is>
      </c>
      <c r="R159" s="11">
        <f>IFERROR(O159/K159,0)</f>
        <v/>
      </c>
    </row>
    <row r="160">
      <c r="A160" s="9" t="inlineStr">
        <is>
          <t>T0159</t>
        </is>
      </c>
      <c r="B160" s="9" t="inlineStr">
        <is>
          <t>Pioneer Mutual</t>
        </is>
      </c>
      <c r="C160" s="9" t="inlineStr">
        <is>
          <t>Property</t>
        </is>
      </c>
      <c r="D160" s="9" t="inlineStr">
        <is>
          <t>Europe</t>
        </is>
      </c>
      <c r="E160" s="9" t="inlineStr">
        <is>
          <t>Kenji Sato</t>
        </is>
      </c>
      <c r="F160" s="9" t="inlineStr">
        <is>
          <t>Proportional</t>
        </is>
      </c>
      <c r="G160" s="9" t="n">
        <v>2021</v>
      </c>
      <c r="H160" s="12" t="n">
        <v>8599999.9968</v>
      </c>
      <c r="I160" s="12" t="n">
        <v>743447.1600000001</v>
      </c>
      <c r="J160" s="12" t="n">
        <v>54067.17600000001</v>
      </c>
      <c r="K160" s="12" t="n">
        <v>743447.1600000001</v>
      </c>
      <c r="L160" s="12" t="n">
        <v>234102.1824</v>
      </c>
      <c r="M160" s="9" t="n">
        <v>8</v>
      </c>
      <c r="N160" s="12" t="n">
        <v>426991.2084</v>
      </c>
      <c r="O160" s="12" t="n">
        <v>426991.2084</v>
      </c>
      <c r="P160" s="12" t="n">
        <v>3440000.0052</v>
      </c>
      <c r="Q160" s="9" t="inlineStr">
        <is>
          <t>Low</t>
        </is>
      </c>
      <c r="R160" s="11">
        <f>IFERROR(O160/K160,0)</f>
        <v/>
      </c>
    </row>
    <row r="161">
      <c r="A161" s="9" t="inlineStr">
        <is>
          <t>T0160</t>
        </is>
      </c>
      <c r="B161" s="9" t="inlineStr">
        <is>
          <t>Crown Insurance</t>
        </is>
      </c>
      <c r="C161" s="9" t="inlineStr">
        <is>
          <t>Casualty</t>
        </is>
      </c>
      <c r="D161" s="9" t="inlineStr">
        <is>
          <t>Asia Pacific</t>
        </is>
      </c>
      <c r="E161" s="9" t="inlineStr">
        <is>
          <t>James Whitfield</t>
        </is>
      </c>
      <c r="F161" s="9" t="inlineStr">
        <is>
          <t>Facultative</t>
        </is>
      </c>
      <c r="G161" s="9" t="n">
        <v>2024</v>
      </c>
      <c r="H161" s="12" t="n">
        <v>12800000</v>
      </c>
      <c r="I161" s="12" t="n">
        <v>2236155.24</v>
      </c>
      <c r="J161" s="12" t="n">
        <v>231409.2</v>
      </c>
      <c r="K161" s="12" t="n">
        <v>2236155.24</v>
      </c>
      <c r="L161" s="12" t="n">
        <v>355627.68</v>
      </c>
      <c r="M161" s="9" t="n">
        <v>5</v>
      </c>
      <c r="N161" s="12" t="n">
        <v>1577461.37</v>
      </c>
      <c r="O161" s="12" t="n">
        <v>1609298.79</v>
      </c>
      <c r="P161" s="12" t="n">
        <v>12800000</v>
      </c>
      <c r="Q161" s="9" t="inlineStr">
        <is>
          <t>Low</t>
        </is>
      </c>
      <c r="R161" s="11">
        <f>IFERROR(O161/K161,0)</f>
        <v/>
      </c>
    </row>
    <row r="162">
      <c r="A162" s="9" t="inlineStr">
        <is>
          <t>T0161</t>
        </is>
      </c>
      <c r="B162" s="9" t="inlineStr">
        <is>
          <t>Sterling Indemnity</t>
        </is>
      </c>
      <c r="C162" s="9" t="inlineStr">
        <is>
          <t>Financial Lines</t>
        </is>
      </c>
      <c r="D162" s="9" t="inlineStr">
        <is>
          <t>Europe</t>
        </is>
      </c>
      <c r="E162" s="9" t="inlineStr">
        <is>
          <t>Sophie Laurent</t>
        </is>
      </c>
      <c r="F162" s="9" t="inlineStr">
        <is>
          <t>Excess of Loss</t>
        </is>
      </c>
      <c r="G162" s="9" t="n">
        <v>2021</v>
      </c>
      <c r="H162" s="12" t="n">
        <v>3199999.9968</v>
      </c>
      <c r="I162" s="12" t="n">
        <v>554101.1712</v>
      </c>
      <c r="J162" s="12" t="n">
        <v>47020.9536</v>
      </c>
      <c r="K162" s="12" t="n">
        <v>554101.1712</v>
      </c>
      <c r="L162" s="12" t="n">
        <v>35810.0352</v>
      </c>
      <c r="M162" s="9" t="n">
        <v>7</v>
      </c>
      <c r="N162" s="12" t="n">
        <v>118064.466</v>
      </c>
      <c r="O162" s="12" t="n">
        <v>181643.1804</v>
      </c>
      <c r="P162" s="12" t="n">
        <v>3199999.9968</v>
      </c>
      <c r="Q162" s="9" t="inlineStr">
        <is>
          <t>Low</t>
        </is>
      </c>
      <c r="R162" s="11">
        <f>IFERROR(O162/K162,0)</f>
        <v/>
      </c>
    </row>
    <row r="163">
      <c r="A163" s="9" t="inlineStr">
        <is>
          <t>T0162</t>
        </is>
      </c>
      <c r="B163" s="9" t="inlineStr">
        <is>
          <t>Granite Insurance</t>
        </is>
      </c>
      <c r="C163" s="9" t="inlineStr">
        <is>
          <t>Casualty</t>
        </is>
      </c>
      <c r="D163" s="9" t="inlineStr">
        <is>
          <t>Asia Pacific</t>
        </is>
      </c>
      <c r="E163" s="9" t="inlineStr">
        <is>
          <t>James Whitfield</t>
        </is>
      </c>
      <c r="F163" s="9" t="inlineStr">
        <is>
          <t>Excess of Loss</t>
        </is>
      </c>
      <c r="G163" s="9" t="n">
        <v>2025</v>
      </c>
      <c r="H163" s="12" t="n">
        <v>19900000</v>
      </c>
      <c r="I163" s="12" t="n">
        <v>1771607.16</v>
      </c>
      <c r="J163" s="12" t="n">
        <v>97154.39999999999</v>
      </c>
      <c r="K163" s="12" t="n">
        <v>1771607.16</v>
      </c>
      <c r="L163" s="12" t="n">
        <v>158987.88</v>
      </c>
      <c r="M163" s="9" t="n">
        <v>13</v>
      </c>
      <c r="N163" s="12" t="n">
        <v>812459.54</v>
      </c>
      <c r="O163" s="12" t="n">
        <v>1225238.37</v>
      </c>
      <c r="P163" s="12" t="n">
        <v>19900000</v>
      </c>
      <c r="Q163" s="9" t="inlineStr">
        <is>
          <t>Low</t>
        </is>
      </c>
      <c r="R163" s="11">
        <f>IFERROR(O163/K163,0)</f>
        <v/>
      </c>
    </row>
    <row r="164">
      <c r="A164" s="9" t="inlineStr">
        <is>
          <t>T0163</t>
        </is>
      </c>
      <c r="B164" s="9" t="inlineStr">
        <is>
          <t>Sterling General</t>
        </is>
      </c>
      <c r="C164" s="9" t="inlineStr">
        <is>
          <t>Property</t>
        </is>
      </c>
      <c r="D164" s="9" t="inlineStr">
        <is>
          <t>Asia Pacific</t>
        </is>
      </c>
      <c r="E164" s="9" t="inlineStr">
        <is>
          <t>Hannah Weber</t>
        </is>
      </c>
      <c r="F164" s="9" t="inlineStr">
        <is>
          <t>Excess of Loss</t>
        </is>
      </c>
      <c r="G164" s="9" t="n">
        <v>2025</v>
      </c>
      <c r="H164" s="12" t="n">
        <v>38600000</v>
      </c>
      <c r="I164" s="12" t="n">
        <v>3080380.92</v>
      </c>
      <c r="J164" s="12" t="n">
        <v>272241.36</v>
      </c>
      <c r="K164" s="12" t="n">
        <v>3080380.92</v>
      </c>
      <c r="L164" s="12" t="n">
        <v>166156.44</v>
      </c>
      <c r="M164" s="9" t="n">
        <v>8</v>
      </c>
      <c r="N164" s="12" t="n">
        <v>1137148.59</v>
      </c>
      <c r="O164" s="12" t="n">
        <v>1614027.75</v>
      </c>
      <c r="P164" s="12" t="n">
        <v>38600000</v>
      </c>
      <c r="Q164" s="9" t="inlineStr">
        <is>
          <t>Low</t>
        </is>
      </c>
      <c r="R164" s="11">
        <f>IFERROR(O164/K164,0)</f>
        <v/>
      </c>
    </row>
    <row r="165">
      <c r="A165" s="9" t="inlineStr">
        <is>
          <t>T0164</t>
        </is>
      </c>
      <c r="B165" s="9" t="inlineStr">
        <is>
          <t>Pioneer Insurance</t>
        </is>
      </c>
      <c r="C165" s="9" t="inlineStr">
        <is>
          <t>Professional</t>
        </is>
      </c>
      <c r="D165" s="9" t="inlineStr">
        <is>
          <t>Europe</t>
        </is>
      </c>
      <c r="E165" s="9" t="inlineStr">
        <is>
          <t>Aarav Mehta</t>
        </is>
      </c>
      <c r="F165" s="9" t="inlineStr">
        <is>
          <t>Facultative</t>
        </is>
      </c>
      <c r="G165" s="9" t="n">
        <v>2024</v>
      </c>
      <c r="H165" s="12" t="n">
        <v>8999999.996400001</v>
      </c>
      <c r="I165" s="12" t="n">
        <v>1416008.0448</v>
      </c>
      <c r="J165" s="12" t="n">
        <v>138719.304</v>
      </c>
      <c r="K165" s="12" t="n">
        <v>1416008.0448</v>
      </c>
      <c r="L165" s="12" t="n">
        <v>216065.1024</v>
      </c>
      <c r="M165" s="9" t="n">
        <v>6</v>
      </c>
      <c r="N165" s="12" t="n">
        <v>499698.1908</v>
      </c>
      <c r="O165" s="12" t="n">
        <v>768656.8116</v>
      </c>
      <c r="P165" s="12" t="n">
        <v>8999999.996400001</v>
      </c>
      <c r="Q165" s="9" t="inlineStr">
        <is>
          <t>Low</t>
        </is>
      </c>
      <c r="R165" s="11">
        <f>IFERROR(O165/K165,0)</f>
        <v/>
      </c>
    </row>
    <row r="166">
      <c r="A166" s="9" t="inlineStr">
        <is>
          <t>T0165</t>
        </is>
      </c>
      <c r="B166" s="9" t="inlineStr">
        <is>
          <t>Pioneer General</t>
        </is>
      </c>
      <c r="C166" s="9" t="inlineStr">
        <is>
          <t>Casualty</t>
        </is>
      </c>
      <c r="D166" s="9" t="inlineStr">
        <is>
          <t>Europe</t>
        </is>
      </c>
      <c r="E166" s="9" t="inlineStr">
        <is>
          <t>Kenji Sato</t>
        </is>
      </c>
      <c r="F166" s="9" t="inlineStr">
        <is>
          <t>Excess of Loss</t>
        </is>
      </c>
      <c r="G166" s="9" t="n">
        <v>2023</v>
      </c>
      <c r="H166" s="12" t="n">
        <v>8800000.002</v>
      </c>
      <c r="I166" s="12" t="n">
        <v>1112527.872</v>
      </c>
      <c r="J166" s="12" t="n">
        <v>102517.6176</v>
      </c>
      <c r="K166" s="12" t="n">
        <v>1112527.872</v>
      </c>
      <c r="L166" s="12" t="n">
        <v>84055.19040000001</v>
      </c>
      <c r="M166" s="9" t="n">
        <v>9</v>
      </c>
      <c r="N166" s="12" t="n">
        <v>962077.0464000001</v>
      </c>
      <c r="O166" s="12" t="n">
        <v>962077.0464000001</v>
      </c>
      <c r="P166" s="12" t="n">
        <v>8800000.002</v>
      </c>
      <c r="Q166" s="9" t="inlineStr">
        <is>
          <t>Low</t>
        </is>
      </c>
      <c r="R166" s="11">
        <f>IFERROR(O166/K166,0)</f>
        <v/>
      </c>
    </row>
    <row r="167">
      <c r="A167" s="9" t="inlineStr">
        <is>
          <t>T0166</t>
        </is>
      </c>
      <c r="B167" s="9" t="inlineStr">
        <is>
          <t>Granite Assurance</t>
        </is>
      </c>
      <c r="C167" s="9" t="inlineStr">
        <is>
          <t>Specialty</t>
        </is>
      </c>
      <c r="D167" s="9" t="inlineStr">
        <is>
          <t>Asia Pacific</t>
        </is>
      </c>
      <c r="E167" s="9" t="inlineStr">
        <is>
          <t>Aarav Mehta</t>
        </is>
      </c>
      <c r="F167" s="9" t="inlineStr">
        <is>
          <t>Proportional</t>
        </is>
      </c>
      <c r="G167" s="9" t="n">
        <v>2025</v>
      </c>
      <c r="H167" s="12" t="n">
        <v>2000000</v>
      </c>
      <c r="I167" s="12" t="n">
        <v>342950.08</v>
      </c>
      <c r="J167" s="12" t="n">
        <v>18872.7</v>
      </c>
      <c r="K167" s="12" t="n">
        <v>328400.68</v>
      </c>
      <c r="L167" s="12" t="n">
        <v>97280.49387673331</v>
      </c>
      <c r="M167" s="9" t="n">
        <v>7</v>
      </c>
      <c r="N167" s="12" t="n">
        <v>53491.60000000001</v>
      </c>
      <c r="O167" s="12" t="n">
        <v>172997.62</v>
      </c>
      <c r="P167" s="12" t="n">
        <v>500000</v>
      </c>
      <c r="Q167" s="9" t="inlineStr">
        <is>
          <t>Low</t>
        </is>
      </c>
      <c r="R167" s="11">
        <f>IFERROR(O167/K167,0)</f>
        <v/>
      </c>
    </row>
    <row r="168">
      <c r="A168" s="9" t="inlineStr">
        <is>
          <t>T0167</t>
        </is>
      </c>
      <c r="B168" s="9" t="inlineStr">
        <is>
          <t>Granite Insurance</t>
        </is>
      </c>
      <c r="C168" s="9" t="inlineStr">
        <is>
          <t>Professional</t>
        </is>
      </c>
      <c r="D168" s="9" t="inlineStr">
        <is>
          <t>Asia Pacific</t>
        </is>
      </c>
      <c r="E168" s="9" t="inlineStr">
        <is>
          <t>Aarav Mehta</t>
        </is>
      </c>
      <c r="F168" s="9" t="inlineStr">
        <is>
          <t>Facultative</t>
        </is>
      </c>
      <c r="G168" s="9" t="n">
        <v>2023</v>
      </c>
      <c r="H168" s="12" t="n">
        <v>20400000</v>
      </c>
      <c r="I168" s="12" t="n">
        <v>2558538.51</v>
      </c>
      <c r="J168" s="12" t="n">
        <v>269820.76</v>
      </c>
      <c r="K168" s="12" t="n">
        <v>2558538.51</v>
      </c>
      <c r="L168" s="12" t="n">
        <v>399634.18</v>
      </c>
      <c r="M168" s="9" t="n">
        <v>12</v>
      </c>
      <c r="N168" s="12" t="n">
        <v>985200.23</v>
      </c>
      <c r="O168" s="12" t="n">
        <v>985200.23</v>
      </c>
      <c r="P168" s="12" t="n">
        <v>20400000</v>
      </c>
      <c r="Q168" s="9" t="inlineStr">
        <is>
          <t>Low</t>
        </is>
      </c>
      <c r="R168" s="11">
        <f>IFERROR(O168/K168,0)</f>
        <v/>
      </c>
    </row>
    <row r="169">
      <c r="A169" s="9" t="inlineStr">
        <is>
          <t>T0168</t>
        </is>
      </c>
      <c r="B169" s="9" t="inlineStr">
        <is>
          <t>Lumen Mutual</t>
        </is>
      </c>
      <c r="C169" s="9" t="inlineStr">
        <is>
          <t>Financial Lines</t>
        </is>
      </c>
      <c r="D169" s="9" t="inlineStr">
        <is>
          <t>Middle East &amp; Africa</t>
        </is>
      </c>
      <c r="E169" s="9" t="inlineStr">
        <is>
          <t>Sophie Laurent</t>
        </is>
      </c>
      <c r="F169" s="9" t="inlineStr">
        <is>
          <t>Proportional</t>
        </is>
      </c>
      <c r="G169" s="9" t="n">
        <v>2025</v>
      </c>
      <c r="H169" s="12" t="n">
        <v>12700000</v>
      </c>
      <c r="I169" s="12" t="n">
        <v>1590488.52</v>
      </c>
      <c r="J169" s="12" t="n">
        <v>133757.04</v>
      </c>
      <c r="K169" s="12" t="n">
        <v>1590488.52</v>
      </c>
      <c r="L169" s="12" t="n">
        <v>498132.12</v>
      </c>
      <c r="M169" s="9" t="n">
        <v>13</v>
      </c>
      <c r="N169" s="12" t="n">
        <v>827111.51</v>
      </c>
      <c r="O169" s="12" t="n">
        <v>907753.02</v>
      </c>
      <c r="P169" s="12" t="n">
        <v>1905000</v>
      </c>
      <c r="Q169" s="9" t="inlineStr">
        <is>
          <t>Low</t>
        </is>
      </c>
      <c r="R169" s="11">
        <f>IFERROR(O169/K169,0)</f>
        <v/>
      </c>
    </row>
    <row r="170">
      <c r="A170" s="9" t="inlineStr">
        <is>
          <t>T0169</t>
        </is>
      </c>
      <c r="B170" s="9" t="inlineStr">
        <is>
          <t>Pioneer Assurance</t>
        </is>
      </c>
      <c r="C170" s="9" t="inlineStr">
        <is>
          <t>Property</t>
        </is>
      </c>
      <c r="D170" s="9" t="inlineStr">
        <is>
          <t>Europe</t>
        </is>
      </c>
      <c r="E170" s="9" t="inlineStr">
        <is>
          <t>Omar Haddad</t>
        </is>
      </c>
      <c r="F170" s="9" t="inlineStr">
        <is>
          <t>Facultative</t>
        </is>
      </c>
      <c r="G170" s="9" t="n">
        <v>2024</v>
      </c>
      <c r="H170" s="12" t="n">
        <v>3999999.996</v>
      </c>
      <c r="I170" s="12" t="n">
        <v>660837.3984000001</v>
      </c>
      <c r="J170" s="12" t="n">
        <v>36216.2016</v>
      </c>
      <c r="K170" s="12" t="n">
        <v>660837.3984000001</v>
      </c>
      <c r="L170" s="12" t="n">
        <v>124413.2784</v>
      </c>
      <c r="M170" s="9" t="n">
        <v>13</v>
      </c>
      <c r="N170" s="12" t="n">
        <v>339607.8252</v>
      </c>
      <c r="O170" s="12" t="n">
        <v>441645.2532</v>
      </c>
      <c r="P170" s="12" t="n">
        <v>3999999.996</v>
      </c>
      <c r="Q170" s="9" t="inlineStr">
        <is>
          <t>Low</t>
        </is>
      </c>
      <c r="R170" s="11">
        <f>IFERROR(O170/K170,0)</f>
        <v/>
      </c>
    </row>
    <row r="171">
      <c r="A171" s="9" t="inlineStr">
        <is>
          <t>T0170</t>
        </is>
      </c>
      <c r="B171" s="9" t="inlineStr">
        <is>
          <t>Evergreen General</t>
        </is>
      </c>
      <c r="C171" s="9" t="inlineStr">
        <is>
          <t>Specialty</t>
        </is>
      </c>
      <c r="D171" s="9" t="inlineStr">
        <is>
          <t>North America</t>
        </is>
      </c>
      <c r="E171" s="9" t="inlineStr">
        <is>
          <t>Sophie Laurent</t>
        </is>
      </c>
      <c r="F171" s="9" t="inlineStr">
        <is>
          <t>Excess of Loss</t>
        </is>
      </c>
      <c r="G171" s="9" t="n">
        <v>2025</v>
      </c>
      <c r="H171" s="12" t="n">
        <v>11400000</v>
      </c>
      <c r="I171" s="12" t="n">
        <v>1109405.04</v>
      </c>
      <c r="J171" s="12" t="n">
        <v>89416.92</v>
      </c>
      <c r="K171" s="12" t="n">
        <v>1109405.04</v>
      </c>
      <c r="L171" s="12" t="n">
        <v>129787.08</v>
      </c>
      <c r="M171" s="9" t="n">
        <v>8</v>
      </c>
      <c r="N171" s="12" t="n">
        <v>238302.1</v>
      </c>
      <c r="O171" s="12" t="n">
        <v>554458.86</v>
      </c>
      <c r="P171" s="12" t="n">
        <v>11400000</v>
      </c>
      <c r="Q171" s="9" t="inlineStr">
        <is>
          <t>Low</t>
        </is>
      </c>
      <c r="R171" s="11">
        <f>IFERROR(O171/K171,0)</f>
        <v/>
      </c>
    </row>
    <row r="172">
      <c r="A172" s="9" t="inlineStr">
        <is>
          <t>T0171</t>
        </is>
      </c>
      <c r="B172" s="9" t="inlineStr">
        <is>
          <t>Lumen Mutual</t>
        </is>
      </c>
      <c r="C172" s="9" t="inlineStr">
        <is>
          <t>Financial Lines</t>
        </is>
      </c>
      <c r="D172" s="9" t="inlineStr">
        <is>
          <t>Middle East &amp; Africa</t>
        </is>
      </c>
      <c r="E172" s="9" t="inlineStr">
        <is>
          <t>Kenji Sato</t>
        </is>
      </c>
      <c r="F172" s="9" t="inlineStr">
        <is>
          <t>Excess of Loss</t>
        </is>
      </c>
      <c r="G172" s="9" t="n">
        <v>2022</v>
      </c>
      <c r="H172" s="12" t="n">
        <v>3200000</v>
      </c>
      <c r="I172" s="12" t="n">
        <v>341491.56</v>
      </c>
      <c r="J172" s="12" t="n">
        <v>32787.72</v>
      </c>
      <c r="K172" s="12" t="n">
        <v>341491.56</v>
      </c>
      <c r="L172" s="12" t="n">
        <v>26738.52</v>
      </c>
      <c r="M172" s="9" t="n">
        <v>9</v>
      </c>
      <c r="N172" s="12" t="n">
        <v>844123.5699999999</v>
      </c>
      <c r="O172" s="12" t="n">
        <v>3993789.58</v>
      </c>
      <c r="P172" s="12" t="n">
        <v>3200000</v>
      </c>
      <c r="Q172" s="9" t="inlineStr">
        <is>
          <t>Critical</t>
        </is>
      </c>
      <c r="R172" s="11">
        <f>IFERROR(O172/K172,0)</f>
        <v/>
      </c>
    </row>
    <row r="173">
      <c r="A173" s="9" t="inlineStr">
        <is>
          <t>T0172</t>
        </is>
      </c>
      <c r="B173" s="9" t="inlineStr">
        <is>
          <t>Meridian Assurance</t>
        </is>
      </c>
      <c r="C173" s="9" t="inlineStr">
        <is>
          <t>Specialty</t>
        </is>
      </c>
      <c r="D173" s="9" t="inlineStr">
        <is>
          <t>Europe</t>
        </is>
      </c>
      <c r="E173" s="9" t="inlineStr">
        <is>
          <t>James Whitfield</t>
        </is>
      </c>
      <c r="F173" s="9" t="inlineStr">
        <is>
          <t>Proportional</t>
        </is>
      </c>
      <c r="G173" s="9" t="n">
        <v>2025</v>
      </c>
      <c r="H173" s="12" t="n">
        <v>6500000.0016</v>
      </c>
      <c r="I173" s="12" t="n">
        <v>670603.9248</v>
      </c>
      <c r="J173" s="12" t="n">
        <v>43939.0656</v>
      </c>
      <c r="K173" s="12" t="n">
        <v>670603.9248</v>
      </c>
      <c r="L173" s="12" t="n">
        <v>206075.664</v>
      </c>
      <c r="M173" s="9" t="n">
        <v>7</v>
      </c>
      <c r="N173" s="12" t="n">
        <v>426868.1964</v>
      </c>
      <c r="O173" s="12" t="n">
        <v>589517.5248</v>
      </c>
      <c r="P173" s="12" t="n">
        <v>649999.998</v>
      </c>
      <c r="Q173" s="9" t="inlineStr">
        <is>
          <t>Low</t>
        </is>
      </c>
      <c r="R173" s="11">
        <f>IFERROR(O173/K173,0)</f>
        <v/>
      </c>
    </row>
    <row r="174">
      <c r="A174" s="9" t="inlineStr">
        <is>
          <t>T0173</t>
        </is>
      </c>
      <c r="B174" s="9" t="inlineStr">
        <is>
          <t>Cobalt General</t>
        </is>
      </c>
      <c r="C174" s="9" t="inlineStr">
        <is>
          <t>Professional</t>
        </is>
      </c>
      <c r="D174" s="9" t="inlineStr">
        <is>
          <t>North America</t>
        </is>
      </c>
      <c r="E174" s="9" t="inlineStr">
        <is>
          <t>Carlos Ibarra</t>
        </is>
      </c>
      <c r="F174" s="9" t="inlineStr">
        <is>
          <t>Excess of Loss</t>
        </is>
      </c>
      <c r="G174" s="9" t="n">
        <v>2024</v>
      </c>
      <c r="H174" s="12" t="n">
        <v>10500000</v>
      </c>
      <c r="I174" s="12" t="n">
        <v>818075.3999999999</v>
      </c>
      <c r="J174" s="12" t="n">
        <v>49093.08</v>
      </c>
      <c r="K174" s="12" t="n">
        <v>818075.3999999999</v>
      </c>
      <c r="L174" s="12" t="n">
        <v>61990.68000000001</v>
      </c>
      <c r="M174" s="9" t="n">
        <v>3</v>
      </c>
      <c r="N174" s="12" t="n">
        <v>312834.2</v>
      </c>
      <c r="O174" s="12" t="n">
        <v>332892.11</v>
      </c>
      <c r="P174" s="12" t="n">
        <v>10500000</v>
      </c>
      <c r="Q174" s="9" t="inlineStr">
        <is>
          <t>Low</t>
        </is>
      </c>
      <c r="R174" s="11">
        <f>IFERROR(O174/K174,0)</f>
        <v/>
      </c>
    </row>
    <row r="175">
      <c r="A175" s="9" t="inlineStr">
        <is>
          <t>T0174</t>
        </is>
      </c>
      <c r="B175" s="9" t="inlineStr">
        <is>
          <t>Cobalt Indemnity</t>
        </is>
      </c>
      <c r="C175" s="9" t="inlineStr">
        <is>
          <t>Casualty</t>
        </is>
      </c>
      <c r="D175" s="9" t="inlineStr">
        <is>
          <t>North America</t>
        </is>
      </c>
      <c r="E175" s="9" t="inlineStr">
        <is>
          <t>Carlos Ibarra</t>
        </is>
      </c>
      <c r="F175" s="9" t="inlineStr">
        <is>
          <t>Proportional</t>
        </is>
      </c>
      <c r="G175" s="9" t="n">
        <v>2026</v>
      </c>
      <c r="H175" s="12" t="n">
        <v>53000000</v>
      </c>
      <c r="I175" s="12" t="n">
        <v>3293899.08</v>
      </c>
      <c r="J175" s="12" t="n">
        <v>305035.44</v>
      </c>
      <c r="K175" s="12" t="n">
        <v>3239000.76</v>
      </c>
      <c r="L175" s="12" t="n">
        <v>976795.3853968539</v>
      </c>
      <c r="M175" s="9" t="n">
        <v>3</v>
      </c>
      <c r="N175" s="12" t="n">
        <v>774555.15</v>
      </c>
      <c r="O175" s="12" t="n">
        <v>2697316.28</v>
      </c>
      <c r="P175" s="12" t="n">
        <v>13250000</v>
      </c>
      <c r="Q175" s="9" t="inlineStr">
        <is>
          <t>Low</t>
        </is>
      </c>
      <c r="R175" s="11">
        <f>IFERROR(O175/K175,0)</f>
        <v/>
      </c>
    </row>
    <row r="176">
      <c r="A176" s="9" t="inlineStr">
        <is>
          <t>T0175</t>
        </is>
      </c>
      <c r="B176" s="9" t="inlineStr">
        <is>
          <t>Evergreen Assurance</t>
        </is>
      </c>
      <c r="C176" s="9" t="inlineStr">
        <is>
          <t>Casualty</t>
        </is>
      </c>
      <c r="D176" s="9" t="inlineStr">
        <is>
          <t>North America</t>
        </is>
      </c>
      <c r="E176" s="9" t="inlineStr">
        <is>
          <t>Sophie Laurent</t>
        </is>
      </c>
      <c r="F176" s="9" t="inlineStr">
        <is>
          <t>Excess of Loss</t>
        </is>
      </c>
      <c r="G176" s="9" t="n">
        <v>2021</v>
      </c>
      <c r="H176" s="12" t="n">
        <v>12200000</v>
      </c>
      <c r="I176" s="12" t="n">
        <v>1253821.92</v>
      </c>
      <c r="J176" s="12" t="n">
        <v>122637.6</v>
      </c>
      <c r="K176" s="12" t="n">
        <v>1253821.92</v>
      </c>
      <c r="L176" s="12" t="n">
        <v>134612.28</v>
      </c>
      <c r="M176" s="9" t="n">
        <v>12</v>
      </c>
      <c r="N176" s="12" t="n">
        <v>963924.01</v>
      </c>
      <c r="O176" s="12" t="n">
        <v>963924.01</v>
      </c>
      <c r="P176" s="12" t="n">
        <v>12200000</v>
      </c>
      <c r="Q176" s="9" t="inlineStr">
        <is>
          <t>Low</t>
        </is>
      </c>
      <c r="R176" s="11">
        <f>IFERROR(O176/K176,0)</f>
        <v/>
      </c>
    </row>
    <row r="177">
      <c r="A177" s="9" t="inlineStr">
        <is>
          <t>T0176</t>
        </is>
      </c>
      <c r="B177" s="9" t="inlineStr">
        <is>
          <t>Evergreen Assurance</t>
        </is>
      </c>
      <c r="C177" s="9" t="inlineStr">
        <is>
          <t>Professional</t>
        </is>
      </c>
      <c r="D177" s="9" t="inlineStr">
        <is>
          <t>North America</t>
        </is>
      </c>
      <c r="E177" s="9" t="inlineStr">
        <is>
          <t>Kenji Sato</t>
        </is>
      </c>
      <c r="F177" s="9" t="inlineStr">
        <is>
          <t>Facultative</t>
        </is>
      </c>
      <c r="G177" s="9" t="n">
        <v>2022</v>
      </c>
      <c r="H177" s="12" t="n">
        <v>13400000</v>
      </c>
      <c r="I177" s="12" t="n">
        <v>993803.28</v>
      </c>
      <c r="J177" s="12" t="n">
        <v>56420.88</v>
      </c>
      <c r="K177" s="12" t="n">
        <v>993803.28</v>
      </c>
      <c r="L177" s="12" t="n">
        <v>180987.36</v>
      </c>
      <c r="M177" s="9" t="n">
        <v>5</v>
      </c>
      <c r="N177" s="12" t="n">
        <v>965832.35</v>
      </c>
      <c r="O177" s="12" t="n">
        <v>965832.35</v>
      </c>
      <c r="P177" s="12" t="n">
        <v>13400000</v>
      </c>
      <c r="Q177" s="9" t="inlineStr">
        <is>
          <t>Low</t>
        </is>
      </c>
      <c r="R177" s="11">
        <f>IFERROR(O177/K177,0)</f>
        <v/>
      </c>
    </row>
    <row r="178">
      <c r="A178" s="9" t="inlineStr">
        <is>
          <t>T0177</t>
        </is>
      </c>
      <c r="B178" s="9" t="inlineStr">
        <is>
          <t>Atlas Assurance</t>
        </is>
      </c>
      <c r="C178" s="9" t="inlineStr">
        <is>
          <t>Professional</t>
        </is>
      </c>
      <c r="D178" s="9" t="inlineStr">
        <is>
          <t>North America</t>
        </is>
      </c>
      <c r="E178" s="9" t="inlineStr">
        <is>
          <t>James Whitfield</t>
        </is>
      </c>
      <c r="F178" s="9" t="inlineStr">
        <is>
          <t>Excess of Loss</t>
        </is>
      </c>
      <c r="G178" s="9" t="n">
        <v>2022</v>
      </c>
      <c r="H178" s="12" t="n">
        <v>3500000</v>
      </c>
      <c r="I178" s="12" t="n">
        <v>509627.16</v>
      </c>
      <c r="J178" s="12" t="n">
        <v>30867.84</v>
      </c>
      <c r="K178" s="12" t="n">
        <v>509627.16</v>
      </c>
      <c r="L178" s="12" t="n">
        <v>38612.64</v>
      </c>
      <c r="M178" s="9" t="n">
        <v>12</v>
      </c>
      <c r="N178" s="12" t="n">
        <v>152264.51</v>
      </c>
      <c r="O178" s="12" t="n">
        <v>152264.51</v>
      </c>
      <c r="P178" s="12" t="n">
        <v>3500000</v>
      </c>
      <c r="Q178" s="9" t="inlineStr">
        <is>
          <t>Low</t>
        </is>
      </c>
      <c r="R178" s="11">
        <f>IFERROR(O178/K178,0)</f>
        <v/>
      </c>
    </row>
    <row r="179">
      <c r="A179" s="9" t="inlineStr">
        <is>
          <t>T0178</t>
        </is>
      </c>
      <c r="B179" s="9" t="inlineStr">
        <is>
          <t>Vantage General</t>
        </is>
      </c>
      <c r="C179" s="9" t="inlineStr">
        <is>
          <t>Financial Lines</t>
        </is>
      </c>
      <c r="D179" s="9" t="inlineStr">
        <is>
          <t>North America</t>
        </is>
      </c>
      <c r="E179" s="9" t="inlineStr">
        <is>
          <t>Sophie Laurent</t>
        </is>
      </c>
      <c r="F179" s="9" t="inlineStr">
        <is>
          <t>Excess of Loss</t>
        </is>
      </c>
      <c r="G179" s="9" t="n">
        <v>2025</v>
      </c>
      <c r="H179" s="12" t="n">
        <v>15500000</v>
      </c>
      <c r="I179" s="12" t="n">
        <v>1323751.22</v>
      </c>
      <c r="J179" s="12" t="n">
        <v>101147.42</v>
      </c>
      <c r="K179" s="12" t="n">
        <v>1207421.57</v>
      </c>
      <c r="L179" s="12" t="n">
        <v>141348.5969788439</v>
      </c>
      <c r="M179" s="9" t="n">
        <v>8</v>
      </c>
      <c r="N179" s="12" t="n">
        <v>248954.74</v>
      </c>
      <c r="O179" s="12" t="n">
        <v>642545.6</v>
      </c>
      <c r="P179" s="12" t="n">
        <v>15500000</v>
      </c>
      <c r="Q179" s="9" t="inlineStr">
        <is>
          <t>Low</t>
        </is>
      </c>
      <c r="R179" s="11">
        <f>IFERROR(O179/K179,0)</f>
        <v/>
      </c>
    </row>
    <row r="180">
      <c r="A180" s="9" t="inlineStr">
        <is>
          <t>T0179</t>
        </is>
      </c>
      <c r="B180" s="9" t="inlineStr">
        <is>
          <t>Granite General</t>
        </is>
      </c>
      <c r="C180" s="9" t="inlineStr">
        <is>
          <t>Casualty</t>
        </is>
      </c>
      <c r="D180" s="9" t="inlineStr">
        <is>
          <t>Asia Pacific</t>
        </is>
      </c>
      <c r="E180" s="9" t="inlineStr">
        <is>
          <t>Sophie Laurent</t>
        </is>
      </c>
      <c r="F180" s="9" t="inlineStr">
        <is>
          <t>Proportional</t>
        </is>
      </c>
      <c r="G180" s="9" t="n">
        <v>2024</v>
      </c>
      <c r="H180" s="12" t="n">
        <v>28100000</v>
      </c>
      <c r="I180" s="12" t="n">
        <v>2878407.48</v>
      </c>
      <c r="J180" s="12" t="n">
        <v>203150.04</v>
      </c>
      <c r="K180" s="12" t="n">
        <v>2878407.48</v>
      </c>
      <c r="L180" s="12" t="n">
        <v>741269.9999999999</v>
      </c>
      <c r="M180" s="9" t="n">
        <v>6</v>
      </c>
      <c r="N180" s="12" t="n">
        <v>1098183.15</v>
      </c>
      <c r="O180" s="12" t="n">
        <v>1306866.25</v>
      </c>
      <c r="P180" s="12" t="n">
        <v>11240000</v>
      </c>
      <c r="Q180" s="9" t="inlineStr">
        <is>
          <t>Low</t>
        </is>
      </c>
      <c r="R180" s="11">
        <f>IFERROR(O180/K180,0)</f>
        <v/>
      </c>
    </row>
    <row r="181">
      <c r="A181" s="9" t="inlineStr">
        <is>
          <t>T0180</t>
        </is>
      </c>
      <c r="B181" s="9" t="inlineStr">
        <is>
          <t>Meridian Indemnity</t>
        </is>
      </c>
      <c r="C181" s="9" t="inlineStr">
        <is>
          <t>Casualty</t>
        </is>
      </c>
      <c r="D181" s="9" t="inlineStr">
        <is>
          <t>Europe</t>
        </is>
      </c>
      <c r="E181" s="9" t="inlineStr">
        <is>
          <t>Unassigned</t>
        </is>
      </c>
      <c r="F181" s="9" t="inlineStr">
        <is>
          <t>Excess of Loss</t>
        </is>
      </c>
      <c r="G181" s="9" t="n">
        <v>2024</v>
      </c>
      <c r="H181" s="12" t="n">
        <v>4600000.000800001</v>
      </c>
      <c r="I181" s="12" t="n">
        <v>878631.4944000001</v>
      </c>
      <c r="J181" s="12" t="n">
        <v>85650.56640000001</v>
      </c>
      <c r="K181" s="12" t="n">
        <v>878631.4944000001</v>
      </c>
      <c r="L181" s="12" t="n">
        <v>45837.8352</v>
      </c>
      <c r="M181" s="9" t="n">
        <v>10</v>
      </c>
      <c r="N181" s="12" t="n">
        <v>1044074.934</v>
      </c>
      <c r="O181" s="12" t="n">
        <v>1119547.3536</v>
      </c>
      <c r="P181" s="12" t="n">
        <v>4600000.000800001</v>
      </c>
      <c r="Q181" s="9" t="inlineStr">
        <is>
          <t>Medium</t>
        </is>
      </c>
      <c r="R181" s="11">
        <f>IFERROR(O181/K181,0)</f>
        <v/>
      </c>
    </row>
    <row r="182">
      <c r="A182" s="9" t="inlineStr">
        <is>
          <t>T0181</t>
        </is>
      </c>
      <c r="B182" s="9" t="inlineStr">
        <is>
          <t>Harbor Assurance</t>
        </is>
      </c>
      <c r="C182" s="9" t="inlineStr">
        <is>
          <t>Casualty</t>
        </is>
      </c>
      <c r="D182" s="9" t="inlineStr">
        <is>
          <t>North America</t>
        </is>
      </c>
      <c r="E182" s="9" t="inlineStr">
        <is>
          <t>Priya Nair</t>
        </is>
      </c>
      <c r="F182" s="9" t="inlineStr">
        <is>
          <t>Proportional</t>
        </is>
      </c>
      <c r="G182" s="9" t="n">
        <v>2024</v>
      </c>
      <c r="H182" s="12" t="n">
        <v>9100000</v>
      </c>
      <c r="I182" s="12" t="n">
        <v>839650.5600000001</v>
      </c>
      <c r="J182" s="12" t="n">
        <v>74027.28</v>
      </c>
      <c r="K182" s="12" t="n">
        <v>839650.5600000001</v>
      </c>
      <c r="L182" s="12" t="n">
        <v>268314.96</v>
      </c>
      <c r="M182" s="9" t="n">
        <v>11</v>
      </c>
      <c r="N182" s="12" t="n">
        <v>759350.97</v>
      </c>
      <c r="O182" s="12" t="n">
        <v>760181.78</v>
      </c>
      <c r="P182" s="12" t="n">
        <v>1820000</v>
      </c>
      <c r="Q182" s="9" t="inlineStr">
        <is>
          <t>Low</t>
        </is>
      </c>
      <c r="R182" s="11">
        <f>IFERROR(O182/K182,0)</f>
        <v/>
      </c>
    </row>
    <row r="183">
      <c r="A183" s="9" t="inlineStr">
        <is>
          <t>T0182</t>
        </is>
      </c>
      <c r="B183" s="9" t="inlineStr">
        <is>
          <t>Northwind Indemnity</t>
        </is>
      </c>
      <c r="C183" s="9" t="inlineStr">
        <is>
          <t>Specialty</t>
        </is>
      </c>
      <c r="D183" s="9" t="inlineStr">
        <is>
          <t>North America</t>
        </is>
      </c>
      <c r="E183" s="9" t="inlineStr">
        <is>
          <t>Sophie Laurent</t>
        </is>
      </c>
      <c r="F183" s="9" t="inlineStr">
        <is>
          <t>Excess of Loss</t>
        </is>
      </c>
      <c r="G183" s="9" t="n">
        <v>2025</v>
      </c>
      <c r="H183" s="12" t="n">
        <v>6600000</v>
      </c>
      <c r="I183" s="12" t="n">
        <v>1070080.11</v>
      </c>
      <c r="J183" s="12" t="n">
        <v>87293.14</v>
      </c>
      <c r="K183" s="12" t="n">
        <v>979285.4299999999</v>
      </c>
      <c r="L183" s="12" t="n">
        <v>79486.6010086615</v>
      </c>
      <c r="M183" s="9" t="n">
        <v>8</v>
      </c>
      <c r="N183" s="12" t="n">
        <v>526343.63</v>
      </c>
      <c r="O183" s="12" t="n">
        <v>805737.7999999999</v>
      </c>
      <c r="P183" s="12" t="n">
        <v>6600000</v>
      </c>
      <c r="Q183" s="9" t="inlineStr">
        <is>
          <t>Low</t>
        </is>
      </c>
      <c r="R183" s="11">
        <f>IFERROR(O183/K183,0)</f>
        <v/>
      </c>
    </row>
    <row r="184">
      <c r="A184" s="9" t="inlineStr">
        <is>
          <t>T0183</t>
        </is>
      </c>
      <c r="B184" s="9" t="inlineStr">
        <is>
          <t>Pioneer Indemnity</t>
        </is>
      </c>
      <c r="C184" s="9" t="inlineStr">
        <is>
          <t>Professional</t>
        </is>
      </c>
      <c r="D184" s="9" t="inlineStr">
        <is>
          <t>Latin America</t>
        </is>
      </c>
      <c r="E184" s="9" t="inlineStr">
        <is>
          <t>James Whitfield</t>
        </is>
      </c>
      <c r="F184" s="9" t="inlineStr">
        <is>
          <t>Proportional</t>
        </is>
      </c>
      <c r="G184" s="9" t="n">
        <v>2025</v>
      </c>
      <c r="H184" s="12" t="n">
        <v>16000000</v>
      </c>
      <c r="I184" s="12" t="n">
        <v>1206531.12</v>
      </c>
      <c r="J184" s="12" t="n">
        <v>95055.60000000001</v>
      </c>
      <c r="K184" s="12" t="n">
        <v>1206531.12</v>
      </c>
      <c r="L184" s="12" t="n">
        <v>276142.92</v>
      </c>
      <c r="M184" s="9" t="n">
        <v>6</v>
      </c>
      <c r="N184" s="12" t="n">
        <v>1226960.41</v>
      </c>
      <c r="O184" s="12" t="n">
        <v>1299625.94</v>
      </c>
      <c r="P184" s="12" t="n">
        <v>6400000</v>
      </c>
      <c r="Q184" s="9" t="inlineStr">
        <is>
          <t>Low</t>
        </is>
      </c>
      <c r="R184" s="11">
        <f>IFERROR(O184/K184,0)</f>
        <v/>
      </c>
    </row>
    <row r="185">
      <c r="A185" s="9" t="inlineStr">
        <is>
          <t>T0184</t>
        </is>
      </c>
      <c r="B185" s="9" t="inlineStr">
        <is>
          <t>Cobalt Assurance</t>
        </is>
      </c>
      <c r="C185" s="9" t="inlineStr">
        <is>
          <t>Casualty</t>
        </is>
      </c>
      <c r="D185" s="9" t="inlineStr">
        <is>
          <t>Europe</t>
        </is>
      </c>
      <c r="E185" s="9" t="inlineStr">
        <is>
          <t>Aarav Mehta</t>
        </is>
      </c>
      <c r="F185" s="9" t="inlineStr">
        <is>
          <t>Excess of Loss</t>
        </is>
      </c>
      <c r="G185" s="9" t="n">
        <v>2025</v>
      </c>
      <c r="H185" s="12" t="n">
        <v>7600000.0032</v>
      </c>
      <c r="I185" s="12" t="n">
        <v>1073972.7792</v>
      </c>
      <c r="J185" s="12" t="n">
        <v>90749.2896</v>
      </c>
      <c r="K185" s="12" t="n">
        <v>1073972.7792</v>
      </c>
      <c r="L185" s="12" t="n">
        <v>120354.984</v>
      </c>
      <c r="M185" s="9" t="n">
        <v>14</v>
      </c>
      <c r="N185" s="12" t="n">
        <v>370292.2236</v>
      </c>
      <c r="O185" s="12" t="n">
        <v>703195.8516000001</v>
      </c>
      <c r="P185" s="12" t="n">
        <v>7600000.0032</v>
      </c>
      <c r="Q185" s="9" t="inlineStr">
        <is>
          <t>Low</t>
        </is>
      </c>
      <c r="R185" s="11">
        <f>IFERROR(O185/K185,0)</f>
        <v/>
      </c>
    </row>
    <row r="186">
      <c r="A186" s="9" t="inlineStr">
        <is>
          <t>T0185</t>
        </is>
      </c>
      <c r="B186" s="9" t="inlineStr">
        <is>
          <t>Vantage Assurance</t>
        </is>
      </c>
      <c r="C186" s="9" t="inlineStr">
        <is>
          <t>Property</t>
        </is>
      </c>
      <c r="D186" s="9" t="inlineStr">
        <is>
          <t>Europe</t>
        </is>
      </c>
      <c r="E186" s="9" t="inlineStr">
        <is>
          <t>Sophie Laurent</t>
        </is>
      </c>
      <c r="F186" s="9" t="inlineStr">
        <is>
          <t>Excess of Loss</t>
        </is>
      </c>
      <c r="G186" s="9" t="n">
        <v>2024</v>
      </c>
      <c r="H186" s="12" t="n">
        <v>62199999.9972</v>
      </c>
      <c r="I186" s="12" t="n">
        <v>4740902.3952</v>
      </c>
      <c r="J186" s="12" t="n">
        <v>426609.7632</v>
      </c>
      <c r="K186" s="12" t="n">
        <v>4740902.3952</v>
      </c>
      <c r="L186" s="12" t="n">
        <v>312821.4816</v>
      </c>
      <c r="M186" s="9" t="n">
        <v>6</v>
      </c>
      <c r="N186" s="12" t="n">
        <v>2867392.4292</v>
      </c>
      <c r="O186" s="12" t="n">
        <v>3220746.2892</v>
      </c>
      <c r="P186" s="12" t="n">
        <v>62199999.9972</v>
      </c>
      <c r="Q186" s="9" t="inlineStr">
        <is>
          <t>Low</t>
        </is>
      </c>
      <c r="R186" s="11">
        <f>IFERROR(O186/K186,0)</f>
        <v/>
      </c>
    </row>
    <row r="187">
      <c r="A187" s="9" t="inlineStr">
        <is>
          <t>T0186</t>
        </is>
      </c>
      <c r="B187" s="9" t="inlineStr">
        <is>
          <t>Pioneer Insurance</t>
        </is>
      </c>
      <c r="C187" s="9" t="inlineStr">
        <is>
          <t>Specialty</t>
        </is>
      </c>
      <c r="D187" s="9" t="inlineStr">
        <is>
          <t>Europe</t>
        </is>
      </c>
      <c r="E187" s="9" t="inlineStr">
        <is>
          <t>Sophie Laurent</t>
        </is>
      </c>
      <c r="F187" s="9" t="inlineStr">
        <is>
          <t>Proportional</t>
        </is>
      </c>
      <c r="G187" s="9" t="n">
        <v>2023</v>
      </c>
      <c r="H187" s="12" t="n">
        <v>91499999.9976</v>
      </c>
      <c r="I187" s="12" t="n">
        <v>9665040.398400001</v>
      </c>
      <c r="J187" s="12" t="n">
        <v>624839.1840000001</v>
      </c>
      <c r="K187" s="12" t="n">
        <v>9665040.398400001</v>
      </c>
      <c r="L187" s="12" t="n">
        <v>2984334.192</v>
      </c>
      <c r="M187" s="9" t="n">
        <v>12</v>
      </c>
      <c r="N187" s="12" t="n">
        <v>2926081.3788</v>
      </c>
      <c r="O187" s="12" t="n">
        <v>3365065.7928</v>
      </c>
      <c r="P187" s="12" t="n">
        <v>18299999.9952</v>
      </c>
      <c r="Q187" s="9" t="inlineStr">
        <is>
          <t>Low</t>
        </is>
      </c>
      <c r="R187" s="11">
        <f>IFERROR(O187/K187,0)</f>
        <v/>
      </c>
    </row>
    <row r="188">
      <c r="A188" s="9" t="inlineStr">
        <is>
          <t>T0187</t>
        </is>
      </c>
      <c r="B188" s="9" t="inlineStr">
        <is>
          <t>Sterling Insurance</t>
        </is>
      </c>
      <c r="C188" s="9" t="inlineStr">
        <is>
          <t>Property</t>
        </is>
      </c>
      <c r="D188" s="9" t="inlineStr">
        <is>
          <t>Asia Pacific</t>
        </is>
      </c>
      <c r="E188" s="9" t="inlineStr">
        <is>
          <t>Aarav Mehta</t>
        </is>
      </c>
      <c r="F188" s="9" t="inlineStr">
        <is>
          <t>Excess of Loss</t>
        </is>
      </c>
      <c r="G188" s="9" t="n">
        <v>2025</v>
      </c>
      <c r="H188" s="12" t="n">
        <v>16599999.99996</v>
      </c>
      <c r="I188" s="12" t="n">
        <v>1300249.61424</v>
      </c>
      <c r="J188" s="12" t="n">
        <v>142044.48288</v>
      </c>
      <c r="K188" s="12" t="n">
        <v>1300249.61424</v>
      </c>
      <c r="L188" s="12" t="n">
        <v>131401.57824</v>
      </c>
      <c r="M188" s="9" t="n">
        <v>9</v>
      </c>
      <c r="N188" s="12" t="n">
        <v>781914.2069999999</v>
      </c>
      <c r="O188" s="12" t="n">
        <v>1553228.26824</v>
      </c>
      <c r="P188" s="12" t="n">
        <v>16599999.99996</v>
      </c>
      <c r="Q188" s="9" t="inlineStr">
        <is>
          <t>Low</t>
        </is>
      </c>
      <c r="R188" s="11">
        <f>IFERROR(O188/K188,0)</f>
        <v/>
      </c>
    </row>
    <row r="189">
      <c r="A189" s="9" t="inlineStr">
        <is>
          <t>T0188</t>
        </is>
      </c>
      <c r="B189" s="9" t="inlineStr">
        <is>
          <t>Meridian General</t>
        </is>
      </c>
      <c r="C189" s="9" t="inlineStr">
        <is>
          <t>Casualty</t>
        </is>
      </c>
      <c r="D189" s="9" t="inlineStr">
        <is>
          <t>Unassigned</t>
        </is>
      </c>
      <c r="E189" s="9" t="inlineStr">
        <is>
          <t>James Whitfield</t>
        </is>
      </c>
      <c r="F189" s="9" t="inlineStr">
        <is>
          <t>Excess of Loss</t>
        </is>
      </c>
      <c r="G189" s="9" t="n">
        <v>2025</v>
      </c>
      <c r="H189" s="12" t="n">
        <v>4800000</v>
      </c>
      <c r="I189" s="12" t="n">
        <v>356833.56</v>
      </c>
      <c r="J189" s="12" t="n">
        <v>27746.88</v>
      </c>
      <c r="K189" s="12" t="n">
        <v>356833.56</v>
      </c>
      <c r="L189" s="12" t="n">
        <v>20487.96</v>
      </c>
      <c r="M189" s="9" t="n">
        <v>15</v>
      </c>
      <c r="N189" s="12" t="n">
        <v>114234.44</v>
      </c>
      <c r="O189" s="12" t="n">
        <v>266099.61</v>
      </c>
      <c r="P189" s="12" t="n">
        <v>4800000</v>
      </c>
      <c r="Q189" s="9" t="inlineStr">
        <is>
          <t>Low</t>
        </is>
      </c>
      <c r="R189" s="11">
        <f>IFERROR(O189/K189,0)</f>
        <v/>
      </c>
    </row>
    <row r="190">
      <c r="A190" s="9" t="inlineStr">
        <is>
          <t>T0189</t>
        </is>
      </c>
      <c r="B190" s="9" t="inlineStr">
        <is>
          <t>Pioneer Indemnity</t>
        </is>
      </c>
      <c r="C190" s="9" t="inlineStr">
        <is>
          <t>Property</t>
        </is>
      </c>
      <c r="D190" s="9" t="inlineStr">
        <is>
          <t>Latin America</t>
        </is>
      </c>
      <c r="E190" s="9" t="inlineStr">
        <is>
          <t>James Whitfield</t>
        </is>
      </c>
      <c r="F190" s="9" t="inlineStr">
        <is>
          <t>Excess of Loss</t>
        </is>
      </c>
      <c r="G190" s="9" t="n">
        <v>2024</v>
      </c>
      <c r="H190" s="12" t="n">
        <v>3400000</v>
      </c>
      <c r="I190" s="12" t="n">
        <v>602030.28</v>
      </c>
      <c r="J190" s="12" t="n">
        <v>49987.56</v>
      </c>
      <c r="K190" s="12" t="n">
        <v>602030.28</v>
      </c>
      <c r="L190" s="12" t="n">
        <v>55988.64</v>
      </c>
      <c r="M190" s="9" t="n">
        <v>7</v>
      </c>
      <c r="N190" s="12" t="n">
        <v>409454.86</v>
      </c>
      <c r="O190" s="12" t="n">
        <v>409454.86</v>
      </c>
      <c r="P190" s="12" t="n">
        <v>3400000</v>
      </c>
      <c r="Q190" s="9" t="inlineStr">
        <is>
          <t>Low</t>
        </is>
      </c>
      <c r="R190" s="11">
        <f>IFERROR(O190/K190,0)</f>
        <v/>
      </c>
    </row>
    <row r="191">
      <c r="A191" s="9" t="inlineStr">
        <is>
          <t>T0190</t>
        </is>
      </c>
      <c r="B191" s="9" t="inlineStr">
        <is>
          <t>Granite Insurance</t>
        </is>
      </c>
      <c r="C191" s="9" t="inlineStr">
        <is>
          <t>Casualty</t>
        </is>
      </c>
      <c r="D191" s="9" t="inlineStr">
        <is>
          <t>Asia Pacific</t>
        </is>
      </c>
      <c r="E191" s="9" t="inlineStr">
        <is>
          <t>Hannah Weber</t>
        </is>
      </c>
      <c r="F191" s="9" t="inlineStr">
        <is>
          <t>Excess of Loss</t>
        </is>
      </c>
      <c r="G191" s="9" t="n">
        <v>2023</v>
      </c>
      <c r="H191" s="12" t="n">
        <v>5900000</v>
      </c>
      <c r="I191" s="12" t="n">
        <v>726822.24</v>
      </c>
      <c r="J191" s="12" t="n">
        <v>73948.44</v>
      </c>
      <c r="K191" s="12" t="n">
        <v>726822.24</v>
      </c>
      <c r="L191" s="12" t="n">
        <v>44150.39999999999</v>
      </c>
      <c r="M191" s="9" t="n">
        <v>7</v>
      </c>
      <c r="N191" s="12" t="n">
        <v>459839.59</v>
      </c>
      <c r="O191" s="12" t="n">
        <v>459839.59</v>
      </c>
      <c r="P191" s="12" t="n">
        <v>5900000</v>
      </c>
      <c r="Q191" s="9" t="inlineStr">
        <is>
          <t>Low</t>
        </is>
      </c>
      <c r="R191" s="11">
        <f>IFERROR(O191/K191,0)</f>
        <v/>
      </c>
    </row>
    <row r="192">
      <c r="A192" s="9" t="inlineStr">
        <is>
          <t>T0191</t>
        </is>
      </c>
      <c r="B192" s="9" t="inlineStr">
        <is>
          <t>Atlas Assurance</t>
        </is>
      </c>
      <c r="C192" s="9" t="inlineStr">
        <is>
          <t>Specialty</t>
        </is>
      </c>
      <c r="D192" s="9" t="inlineStr">
        <is>
          <t>North America</t>
        </is>
      </c>
      <c r="E192" s="9" t="inlineStr">
        <is>
          <t>Kenji Sato</t>
        </is>
      </c>
      <c r="F192" s="9" t="inlineStr">
        <is>
          <t>Facultative</t>
        </is>
      </c>
      <c r="G192" s="9" t="n">
        <v>2022</v>
      </c>
      <c r="H192" s="12" t="n">
        <v>12700000</v>
      </c>
      <c r="I192" s="12" t="n">
        <v>1511504.52</v>
      </c>
      <c r="J192" s="12" t="n">
        <v>78976.79999999999</v>
      </c>
      <c r="K192" s="12" t="n">
        <v>1511504.52</v>
      </c>
      <c r="L192" s="12" t="n">
        <v>301314.24</v>
      </c>
      <c r="M192" s="9" t="n">
        <v>4</v>
      </c>
      <c r="N192" s="12" t="n">
        <v>521067.97</v>
      </c>
      <c r="O192" s="12" t="n">
        <v>521067.97</v>
      </c>
      <c r="P192" s="12" t="n">
        <v>12700000</v>
      </c>
      <c r="Q192" s="9" t="inlineStr">
        <is>
          <t>Low</t>
        </is>
      </c>
      <c r="R192" s="11">
        <f>IFERROR(O192/K192,0)</f>
        <v/>
      </c>
    </row>
    <row r="193">
      <c r="A193" s="9" t="inlineStr">
        <is>
          <t>T0192</t>
        </is>
      </c>
      <c r="B193" s="9" t="inlineStr">
        <is>
          <t>Pioneer Indemnity</t>
        </is>
      </c>
      <c r="C193" s="9" t="inlineStr">
        <is>
          <t>Financial Lines</t>
        </is>
      </c>
      <c r="D193" s="9" t="inlineStr">
        <is>
          <t>Latin America</t>
        </is>
      </c>
      <c r="E193" s="9" t="inlineStr">
        <is>
          <t>Kenji Sato</t>
        </is>
      </c>
      <c r="F193" s="9" t="inlineStr">
        <is>
          <t>Proportional</t>
        </is>
      </c>
      <c r="G193" s="9" t="n">
        <v>2024</v>
      </c>
      <c r="H193" s="12" t="n">
        <v>26300000</v>
      </c>
      <c r="I193" s="12" t="n">
        <v>2309004.24</v>
      </c>
      <c r="J193" s="12" t="n">
        <v>219346.8</v>
      </c>
      <c r="K193" s="12" t="n">
        <v>2309004.24</v>
      </c>
      <c r="L193" s="12" t="n">
        <v>616135.9199999999</v>
      </c>
      <c r="M193" s="9" t="n">
        <v>16</v>
      </c>
      <c r="N193" s="12" t="n">
        <v>1370812.46</v>
      </c>
      <c r="O193" s="12" t="n">
        <v>1662701.29</v>
      </c>
      <c r="P193" s="12" t="n">
        <v>10520000</v>
      </c>
      <c r="Q193" s="9" t="inlineStr">
        <is>
          <t>Low</t>
        </is>
      </c>
      <c r="R193" s="11">
        <f>IFERROR(O193/K193,0)</f>
        <v/>
      </c>
    </row>
    <row r="194">
      <c r="A194" s="9" t="inlineStr">
        <is>
          <t>T0193</t>
        </is>
      </c>
      <c r="B194" s="9" t="inlineStr">
        <is>
          <t>Sterling Assurance</t>
        </is>
      </c>
      <c r="C194" s="9" t="inlineStr">
        <is>
          <t>Property</t>
        </is>
      </c>
      <c r="D194" s="9" t="inlineStr">
        <is>
          <t>Latin America</t>
        </is>
      </c>
      <c r="E194" s="9" t="inlineStr">
        <is>
          <t>Omar Haddad</t>
        </is>
      </c>
      <c r="F194" s="9" t="inlineStr">
        <is>
          <t>Proportional</t>
        </is>
      </c>
      <c r="G194" s="9" t="n">
        <v>2022</v>
      </c>
      <c r="H194" s="12" t="n">
        <v>39800000</v>
      </c>
      <c r="I194" s="12" t="n">
        <v>4179007.8</v>
      </c>
      <c r="J194" s="12" t="n">
        <v>312881.04</v>
      </c>
      <c r="K194" s="12" t="n">
        <v>4179007.8</v>
      </c>
      <c r="L194" s="12" t="n">
        <v>1333468.08</v>
      </c>
      <c r="M194" s="9" t="n">
        <v>14</v>
      </c>
      <c r="N194" s="12" t="n">
        <v>1487457.72</v>
      </c>
      <c r="O194" s="12" t="n">
        <v>1615440.14</v>
      </c>
      <c r="P194" s="12" t="n">
        <v>3980000</v>
      </c>
      <c r="Q194" s="9" t="inlineStr">
        <is>
          <t>Low</t>
        </is>
      </c>
      <c r="R194" s="11">
        <f>IFERROR(O194/K194,0)</f>
        <v/>
      </c>
    </row>
    <row r="195">
      <c r="A195" s="9" t="inlineStr">
        <is>
          <t>T0194</t>
        </is>
      </c>
      <c r="B195" s="9" t="inlineStr">
        <is>
          <t>Pioneer Insurance</t>
        </is>
      </c>
      <c r="C195" s="9" t="inlineStr">
        <is>
          <t>Property</t>
        </is>
      </c>
      <c r="D195" s="9" t="inlineStr">
        <is>
          <t>Europe</t>
        </is>
      </c>
      <c r="E195" s="9" t="inlineStr">
        <is>
          <t>Priya Nair</t>
        </is>
      </c>
      <c r="F195" s="9" t="inlineStr">
        <is>
          <t>Proportional</t>
        </is>
      </c>
      <c r="G195" s="9" t="n">
        <v>2025</v>
      </c>
      <c r="H195" s="12" t="n">
        <v>12700000.0008</v>
      </c>
      <c r="I195" s="12" t="n">
        <v>977551.1568000001</v>
      </c>
      <c r="J195" s="12" t="n">
        <v>67493.2176</v>
      </c>
      <c r="K195" s="12" t="n">
        <v>920527.3404000001</v>
      </c>
      <c r="L195" s="12" t="n">
        <v>202765.1888378924</v>
      </c>
      <c r="M195" s="9" t="n">
        <v>5</v>
      </c>
      <c r="N195" s="12" t="n">
        <v>303081.2424</v>
      </c>
      <c r="O195" s="12" t="n">
        <v>725261.2128</v>
      </c>
      <c r="P195" s="12" t="n">
        <v>1905000.0012</v>
      </c>
      <c r="Q195" s="9" t="inlineStr">
        <is>
          <t>Low</t>
        </is>
      </c>
      <c r="R195" s="11">
        <f>IFERROR(O195/K195,0)</f>
        <v/>
      </c>
    </row>
    <row r="196">
      <c r="A196" s="9" t="inlineStr">
        <is>
          <t>T0195</t>
        </is>
      </c>
      <c r="B196" s="9" t="inlineStr">
        <is>
          <t>Northwind General</t>
        </is>
      </c>
      <c r="C196" s="9" t="inlineStr">
        <is>
          <t>Property</t>
        </is>
      </c>
      <c r="D196" s="9" t="inlineStr">
        <is>
          <t>Asia Pacific</t>
        </is>
      </c>
      <c r="E196" s="9" t="inlineStr">
        <is>
          <t>Sophie Laurent</t>
        </is>
      </c>
      <c r="F196" s="9" t="inlineStr">
        <is>
          <t>Proportional</t>
        </is>
      </c>
      <c r="G196" s="9" t="n">
        <v>2024</v>
      </c>
      <c r="H196" s="12" t="n">
        <v>27200000.00004</v>
      </c>
      <c r="I196" s="12" t="n">
        <v>2157246.94896</v>
      </c>
      <c r="J196" s="12" t="n">
        <v>136049.68512</v>
      </c>
      <c r="K196" s="12" t="n">
        <v>2157246.94896</v>
      </c>
      <c r="L196" s="12" t="n">
        <v>512341.3699200001</v>
      </c>
      <c r="M196" s="9" t="n">
        <v>11</v>
      </c>
      <c r="N196" s="12" t="n">
        <v>2154650.45412</v>
      </c>
      <c r="O196" s="12" t="n">
        <v>2229957.49512</v>
      </c>
      <c r="P196" s="12" t="n">
        <v>8160000</v>
      </c>
      <c r="Q196" s="9" t="inlineStr">
        <is>
          <t>Low</t>
        </is>
      </c>
      <c r="R196" s="11">
        <f>IFERROR(O196/K196,0)</f>
        <v/>
      </c>
    </row>
    <row r="197">
      <c r="A197" s="9" t="inlineStr">
        <is>
          <t>T0196</t>
        </is>
      </c>
      <c r="B197" s="9" t="inlineStr">
        <is>
          <t>Sterling Indemnity</t>
        </is>
      </c>
      <c r="C197" s="9" t="inlineStr">
        <is>
          <t>Property</t>
        </is>
      </c>
      <c r="D197" s="9" t="inlineStr">
        <is>
          <t>Europe</t>
        </is>
      </c>
      <c r="E197" s="9" t="inlineStr">
        <is>
          <t>Carlos Ibarra</t>
        </is>
      </c>
      <c r="F197" s="9" t="inlineStr">
        <is>
          <t>Excess of Loss</t>
        </is>
      </c>
      <c r="G197" s="9" t="n">
        <v>2022</v>
      </c>
      <c r="H197" s="12" t="n">
        <v>1599999.9984</v>
      </c>
      <c r="I197" s="12" t="n">
        <v>276145.848</v>
      </c>
      <c r="J197" s="12" t="n">
        <v>23957.4672</v>
      </c>
      <c r="K197" s="12" t="n">
        <v>276145.848</v>
      </c>
      <c r="L197" s="12" t="n">
        <v>30618.5184</v>
      </c>
      <c r="M197" s="9" t="n">
        <v>14</v>
      </c>
      <c r="N197" s="12" t="n">
        <v>90510.16680000001</v>
      </c>
      <c r="O197" s="12" t="n">
        <v>102483.3492</v>
      </c>
      <c r="P197" s="12" t="n">
        <v>1599999.9984</v>
      </c>
      <c r="Q197" s="9" t="inlineStr">
        <is>
          <t>Low</t>
        </is>
      </c>
      <c r="R197" s="11">
        <f>IFERROR(O197/K197,0)</f>
        <v/>
      </c>
    </row>
    <row r="198">
      <c r="A198" s="9" t="inlineStr">
        <is>
          <t>T0197</t>
        </is>
      </c>
      <c r="B198" s="9" t="inlineStr">
        <is>
          <t>Harbor Insurance</t>
        </is>
      </c>
      <c r="C198" s="9" t="inlineStr">
        <is>
          <t>Financial Lines</t>
        </is>
      </c>
      <c r="D198" s="9" t="inlineStr">
        <is>
          <t>North America</t>
        </is>
      </c>
      <c r="E198" s="9" t="inlineStr">
        <is>
          <t>Omar Haddad</t>
        </is>
      </c>
      <c r="F198" s="9" t="inlineStr">
        <is>
          <t>Proportional</t>
        </is>
      </c>
      <c r="G198" s="9" t="n">
        <v>2021</v>
      </c>
      <c r="H198" s="12" t="n">
        <v>4900000</v>
      </c>
      <c r="I198" s="12" t="n">
        <v>544022.16</v>
      </c>
      <c r="J198" s="12" t="n">
        <v>57647.75999999999</v>
      </c>
      <c r="K198" s="12" t="n">
        <v>544022.16</v>
      </c>
      <c r="L198" s="12" t="n">
        <v>156425.16</v>
      </c>
      <c r="M198" s="9" t="n">
        <v>5</v>
      </c>
      <c r="N198" s="12" t="n">
        <v>206044.75</v>
      </c>
      <c r="O198" s="12" t="n">
        <v>391970.41</v>
      </c>
      <c r="P198" s="12" t="n">
        <v>1470000</v>
      </c>
      <c r="Q198" s="9" t="inlineStr">
        <is>
          <t>Low</t>
        </is>
      </c>
      <c r="R198" s="11">
        <f>IFERROR(O198/K198,0)</f>
        <v/>
      </c>
    </row>
    <row r="199">
      <c r="A199" s="9" t="inlineStr">
        <is>
          <t>T0198</t>
        </is>
      </c>
      <c r="B199" s="9" t="inlineStr">
        <is>
          <t>Harbor Mutual</t>
        </is>
      </c>
      <c r="C199" s="9" t="inlineStr">
        <is>
          <t>Property</t>
        </is>
      </c>
      <c r="D199" s="9" t="inlineStr">
        <is>
          <t>Unassigned</t>
        </is>
      </c>
      <c r="E199" s="9" t="inlineStr">
        <is>
          <t>James Whitfield</t>
        </is>
      </c>
      <c r="F199" s="9" t="inlineStr">
        <is>
          <t>Excess of Loss</t>
        </is>
      </c>
      <c r="G199" s="9" t="n">
        <v>2025</v>
      </c>
      <c r="H199" s="12" t="n">
        <v>9100000</v>
      </c>
      <c r="I199" s="12" t="n">
        <v>1241449.92</v>
      </c>
      <c r="J199" s="12" t="n">
        <v>92610.60000000001</v>
      </c>
      <c r="K199" s="12" t="n">
        <v>1241449.92</v>
      </c>
      <c r="L199" s="12" t="n">
        <v>71051.39999999999</v>
      </c>
      <c r="M199" s="9" t="n">
        <v>8</v>
      </c>
      <c r="N199" s="12" t="n">
        <v>1074041.8</v>
      </c>
      <c r="O199" s="12" t="n">
        <v>1242386.03</v>
      </c>
      <c r="P199" s="12" t="n">
        <v>9100000</v>
      </c>
      <c r="Q199" s="9" t="inlineStr">
        <is>
          <t>Low</t>
        </is>
      </c>
      <c r="R199" s="11">
        <f>IFERROR(O199/K199,0)</f>
        <v/>
      </c>
    </row>
    <row r="200">
      <c r="A200" s="9" t="inlineStr">
        <is>
          <t>T0199</t>
        </is>
      </c>
      <c r="B200" s="9" t="inlineStr">
        <is>
          <t>Vantage Mutual</t>
        </is>
      </c>
      <c r="C200" s="9" t="inlineStr">
        <is>
          <t>Specialty</t>
        </is>
      </c>
      <c r="D200" s="9" t="inlineStr">
        <is>
          <t>Asia Pacific</t>
        </is>
      </c>
      <c r="E200" s="9" t="inlineStr">
        <is>
          <t>Aarav Mehta</t>
        </is>
      </c>
      <c r="F200" s="9" t="inlineStr">
        <is>
          <t>Proportional</t>
        </is>
      </c>
      <c r="G200" s="9" t="n">
        <v>2024</v>
      </c>
      <c r="H200" s="12" t="n">
        <v>8100000</v>
      </c>
      <c r="I200" s="12" t="n">
        <v>648810.7934399999</v>
      </c>
      <c r="J200" s="12" t="n">
        <v>60906.22128</v>
      </c>
      <c r="K200" s="12" t="n">
        <v>648810.7934399999</v>
      </c>
      <c r="L200" s="12" t="n">
        <v>147613.5</v>
      </c>
      <c r="M200" s="9" t="n">
        <v>3</v>
      </c>
      <c r="N200" s="12" t="n">
        <v>108699.88836</v>
      </c>
      <c r="O200" s="12" t="n">
        <v>108699.88836</v>
      </c>
      <c r="P200" s="12" t="n">
        <v>2025000</v>
      </c>
      <c r="Q200" s="9" t="inlineStr">
        <is>
          <t>Low</t>
        </is>
      </c>
      <c r="R200" s="11">
        <f>IFERROR(O200/K200,0)</f>
        <v/>
      </c>
    </row>
    <row r="201">
      <c r="A201" s="9" t="inlineStr">
        <is>
          <t>T0200</t>
        </is>
      </c>
      <c r="B201" s="9" t="inlineStr">
        <is>
          <t>Lumen Insurance</t>
        </is>
      </c>
      <c r="C201" s="9" t="inlineStr">
        <is>
          <t>Specialty</t>
        </is>
      </c>
      <c r="D201" s="9" t="inlineStr">
        <is>
          <t>North America</t>
        </is>
      </c>
      <c r="E201" s="9" t="inlineStr">
        <is>
          <t>Carlos Ibarra</t>
        </is>
      </c>
      <c r="F201" s="9" t="inlineStr">
        <is>
          <t>Excess of Loss</t>
        </is>
      </c>
      <c r="G201" s="9" t="n">
        <v>2025</v>
      </c>
      <c r="H201" s="12" t="n">
        <v>62800000</v>
      </c>
      <c r="I201" s="12" t="n">
        <v>11313303.12</v>
      </c>
      <c r="J201" s="12" t="n">
        <v>711228.6000000001</v>
      </c>
      <c r="K201" s="12" t="n">
        <v>11313303.12</v>
      </c>
      <c r="L201" s="12" t="n">
        <v>759502.2</v>
      </c>
      <c r="M201" s="9" t="n">
        <v>9</v>
      </c>
      <c r="N201" s="12" t="n">
        <v>5740090.23</v>
      </c>
      <c r="O201" s="12" t="n">
        <v>7713224.05</v>
      </c>
      <c r="P201" s="12" t="n">
        <v>62800000</v>
      </c>
      <c r="Q201" s="9" t="inlineStr">
        <is>
          <t>Low</t>
        </is>
      </c>
      <c r="R201" s="11">
        <f>IFERROR(O201/K201,0)</f>
        <v/>
      </c>
    </row>
    <row r="202">
      <c r="A202" s="9" t="inlineStr">
        <is>
          <t>T0201</t>
        </is>
      </c>
      <c r="B202" s="9" t="inlineStr">
        <is>
          <t>Evergreen Indemnity</t>
        </is>
      </c>
      <c r="C202" s="9" t="inlineStr">
        <is>
          <t>Property</t>
        </is>
      </c>
      <c r="D202" s="9" t="inlineStr">
        <is>
          <t>North America</t>
        </is>
      </c>
      <c r="E202" s="9" t="inlineStr">
        <is>
          <t>Aarav Mehta</t>
        </is>
      </c>
      <c r="F202" s="9" t="inlineStr">
        <is>
          <t>Proportional</t>
        </is>
      </c>
      <c r="G202" s="9" t="n">
        <v>2025</v>
      </c>
      <c r="H202" s="12" t="n">
        <v>5700000</v>
      </c>
      <c r="I202" s="12" t="n">
        <v>629758.92</v>
      </c>
      <c r="J202" s="12" t="n">
        <v>44175.48</v>
      </c>
      <c r="K202" s="12" t="n">
        <v>629758.92</v>
      </c>
      <c r="L202" s="12" t="n">
        <v>156339.84</v>
      </c>
      <c r="M202" s="9" t="n">
        <v>13</v>
      </c>
      <c r="N202" s="12" t="n">
        <v>184132.82</v>
      </c>
      <c r="O202" s="12" t="n">
        <v>337019.52</v>
      </c>
      <c r="P202" s="12" t="n">
        <v>1425000</v>
      </c>
      <c r="Q202" s="9" t="inlineStr">
        <is>
          <t>Low</t>
        </is>
      </c>
      <c r="R202" s="11">
        <f>IFERROR(O202/K202,0)</f>
        <v/>
      </c>
    </row>
    <row r="203">
      <c r="A203" s="9" t="inlineStr">
        <is>
          <t>T0202</t>
        </is>
      </c>
      <c r="B203" s="9" t="inlineStr">
        <is>
          <t>Evergreen General</t>
        </is>
      </c>
      <c r="C203" s="9" t="inlineStr">
        <is>
          <t>Property</t>
        </is>
      </c>
      <c r="D203" s="9" t="inlineStr">
        <is>
          <t>North America</t>
        </is>
      </c>
      <c r="E203" s="9" t="inlineStr">
        <is>
          <t>Omar Haddad</t>
        </is>
      </c>
      <c r="F203" s="9" t="inlineStr">
        <is>
          <t>Excess of Loss</t>
        </is>
      </c>
      <c r="G203" s="9" t="n">
        <v>2026</v>
      </c>
      <c r="H203" s="12" t="n">
        <v>6200000</v>
      </c>
      <c r="I203" s="12" t="n">
        <v>148261.32</v>
      </c>
      <c r="J203" s="12" t="n">
        <v>12216.12</v>
      </c>
      <c r="K203" s="12" t="n">
        <v>86485.77</v>
      </c>
      <c r="L203" s="12" t="n">
        <v>5667.993333333333</v>
      </c>
      <c r="M203" s="9" t="n">
        <v>0</v>
      </c>
      <c r="N203" s="12" t="n">
        <v>0</v>
      </c>
      <c r="O203" s="12" t="n">
        <v>0</v>
      </c>
      <c r="P203" s="12" t="n">
        <v>6200000</v>
      </c>
      <c r="Q203" s="9" t="inlineStr">
        <is>
          <t>Low</t>
        </is>
      </c>
      <c r="R203" s="11">
        <f>IFERROR(O203/K203,0)</f>
        <v/>
      </c>
    </row>
    <row r="204">
      <c r="A204" s="9" t="inlineStr">
        <is>
          <t>T0203</t>
        </is>
      </c>
      <c r="B204" s="9" t="inlineStr">
        <is>
          <t>Sterling Insurance</t>
        </is>
      </c>
      <c r="C204" s="9" t="inlineStr">
        <is>
          <t>Specialty</t>
        </is>
      </c>
      <c r="D204" s="9" t="inlineStr">
        <is>
          <t>Asia Pacific</t>
        </is>
      </c>
      <c r="E204" s="9" t="inlineStr">
        <is>
          <t>Kenji Sato</t>
        </is>
      </c>
      <c r="F204" s="9" t="inlineStr">
        <is>
          <t>Proportional</t>
        </is>
      </c>
      <c r="G204" s="9" t="n">
        <v>2024</v>
      </c>
      <c r="H204" s="12" t="n">
        <v>5300000.00004</v>
      </c>
      <c r="I204" s="12" t="n">
        <v>973402.63632</v>
      </c>
      <c r="J204" s="12" t="n">
        <v>88723.25135999999</v>
      </c>
      <c r="K204" s="12" t="n">
        <v>973402.63632</v>
      </c>
      <c r="L204" s="12" t="n">
        <v>290749.6382399999</v>
      </c>
      <c r="M204" s="9" t="n">
        <v>7</v>
      </c>
      <c r="N204" s="12" t="n">
        <v>701596.9686</v>
      </c>
      <c r="O204" s="12" t="n">
        <v>727336.4568</v>
      </c>
      <c r="P204" s="12" t="n">
        <v>1590000</v>
      </c>
      <c r="Q204" s="9" t="inlineStr">
        <is>
          <t>Low</t>
        </is>
      </c>
      <c r="R204" s="11">
        <f>IFERROR(O204/K204,0)</f>
        <v/>
      </c>
    </row>
    <row r="205">
      <c r="A205" s="9" t="inlineStr">
        <is>
          <t>T0204</t>
        </is>
      </c>
      <c r="B205" s="9" t="inlineStr">
        <is>
          <t>Atlas Assurance</t>
        </is>
      </c>
      <c r="C205" s="9" t="inlineStr">
        <is>
          <t>Property</t>
        </is>
      </c>
      <c r="D205" s="9" t="inlineStr">
        <is>
          <t>North America</t>
        </is>
      </c>
      <c r="E205" s="9" t="inlineStr">
        <is>
          <t>Priya Nair</t>
        </is>
      </c>
      <c r="F205" s="9" t="inlineStr">
        <is>
          <t>Proportional</t>
        </is>
      </c>
      <c r="G205" s="9" t="n">
        <v>2025</v>
      </c>
      <c r="H205" s="12" t="n">
        <v>17400000</v>
      </c>
      <c r="I205" s="12" t="n">
        <v>1412913.72</v>
      </c>
      <c r="J205" s="12" t="n">
        <v>113340.6</v>
      </c>
      <c r="K205" s="12" t="n">
        <v>1412913.72</v>
      </c>
      <c r="L205" s="12" t="n">
        <v>356172.48</v>
      </c>
      <c r="M205" s="9" t="n">
        <v>9</v>
      </c>
      <c r="N205" s="12" t="n">
        <v>675220.96</v>
      </c>
      <c r="O205" s="12" t="n">
        <v>2480847.89</v>
      </c>
      <c r="P205" s="12" t="n">
        <v>2610000</v>
      </c>
      <c r="Q205" s="9" t="inlineStr">
        <is>
          <t>Low</t>
        </is>
      </c>
      <c r="R205" s="11">
        <f>IFERROR(O205/K205,0)</f>
        <v/>
      </c>
    </row>
    <row r="206">
      <c r="A206" s="9" t="inlineStr">
        <is>
          <t>T0205</t>
        </is>
      </c>
      <c r="B206" s="9" t="inlineStr">
        <is>
          <t>Harbor Assurance</t>
        </is>
      </c>
      <c r="C206" s="9" t="inlineStr">
        <is>
          <t>Casualty</t>
        </is>
      </c>
      <c r="D206" s="9" t="inlineStr">
        <is>
          <t>North America</t>
        </is>
      </c>
      <c r="E206" s="9" t="inlineStr">
        <is>
          <t>Sophie Laurent</t>
        </is>
      </c>
      <c r="F206" s="9" t="inlineStr">
        <is>
          <t>Proportional</t>
        </is>
      </c>
      <c r="G206" s="9" t="n">
        <v>2023</v>
      </c>
      <c r="H206" s="12" t="n">
        <v>19900000</v>
      </c>
      <c r="I206" s="12" t="n">
        <v>2279213.28</v>
      </c>
      <c r="J206" s="12" t="n">
        <v>213111.24</v>
      </c>
      <c r="K206" s="12" t="n">
        <v>2279213.28</v>
      </c>
      <c r="L206" s="12" t="n">
        <v>529656.6000000001</v>
      </c>
      <c r="M206" s="9" t="n">
        <v>22</v>
      </c>
      <c r="N206" s="12" t="n">
        <v>1552153.72</v>
      </c>
      <c r="O206" s="12" t="n">
        <v>1552153.72</v>
      </c>
      <c r="P206" s="12" t="n">
        <v>4975000</v>
      </c>
      <c r="Q206" s="9" t="inlineStr">
        <is>
          <t>Low</t>
        </is>
      </c>
      <c r="R206" s="11">
        <f>IFERROR(O206/K206,0)</f>
        <v/>
      </c>
    </row>
    <row r="207">
      <c r="A207" s="9" t="inlineStr">
        <is>
          <t>T0206</t>
        </is>
      </c>
      <c r="B207" s="9" t="inlineStr">
        <is>
          <t>Northwind General</t>
        </is>
      </c>
      <c r="C207" s="9" t="inlineStr">
        <is>
          <t>Property</t>
        </is>
      </c>
      <c r="D207" s="9" t="inlineStr">
        <is>
          <t>Asia Pacific</t>
        </is>
      </c>
      <c r="E207" s="9" t="inlineStr">
        <is>
          <t>James Whitfield</t>
        </is>
      </c>
      <c r="F207" s="9" t="inlineStr">
        <is>
          <t>Proportional</t>
        </is>
      </c>
      <c r="G207" s="9" t="n">
        <v>2022</v>
      </c>
      <c r="H207" s="12" t="n">
        <v>7400000.000039999</v>
      </c>
      <c r="I207" s="12" t="n">
        <v>862571.19888</v>
      </c>
      <c r="J207" s="12" t="n">
        <v>76317.83136</v>
      </c>
      <c r="K207" s="12" t="n">
        <v>862571.19888</v>
      </c>
      <c r="L207" s="12" t="n">
        <v>235399.0780799999</v>
      </c>
      <c r="M207" s="9" t="n">
        <v>11</v>
      </c>
      <c r="N207" s="12" t="n">
        <v>489052.40208</v>
      </c>
      <c r="O207" s="12" t="n">
        <v>489052.40208</v>
      </c>
      <c r="P207" s="12" t="n">
        <v>740000.0000400001</v>
      </c>
      <c r="Q207" s="9" t="inlineStr">
        <is>
          <t>Low</t>
        </is>
      </c>
      <c r="R207" s="11">
        <f>IFERROR(O207/K207,0)</f>
        <v/>
      </c>
    </row>
    <row r="208">
      <c r="A208" s="9" t="inlineStr">
        <is>
          <t>T0207</t>
        </is>
      </c>
      <c r="B208" s="9" t="inlineStr">
        <is>
          <t>Granite Indemnity</t>
        </is>
      </c>
      <c r="C208" s="9" t="inlineStr">
        <is>
          <t>Specialty</t>
        </is>
      </c>
      <c r="D208" s="9" t="inlineStr">
        <is>
          <t>Europe</t>
        </is>
      </c>
      <c r="E208" s="9" t="inlineStr">
        <is>
          <t>Carlos Ibarra</t>
        </is>
      </c>
      <c r="F208" s="9" t="inlineStr">
        <is>
          <t>Proportional</t>
        </is>
      </c>
      <c r="G208" s="9" t="n">
        <v>2022</v>
      </c>
      <c r="H208" s="12" t="n">
        <v>15300000.0036</v>
      </c>
      <c r="I208" s="12" t="n">
        <v>2735637.3648</v>
      </c>
      <c r="J208" s="12" t="n">
        <v>153717.5232</v>
      </c>
      <c r="K208" s="12" t="n">
        <v>2735637.3648</v>
      </c>
      <c r="L208" s="12" t="n">
        <v>641930.1840000001</v>
      </c>
      <c r="M208" s="9" t="n">
        <v>5</v>
      </c>
      <c r="N208" s="12" t="n">
        <v>778239.6084</v>
      </c>
      <c r="O208" s="12" t="n">
        <v>1461392.9388</v>
      </c>
      <c r="P208" s="12" t="n">
        <v>1530000.0036</v>
      </c>
      <c r="Q208" s="9" t="inlineStr">
        <is>
          <t>Low</t>
        </is>
      </c>
      <c r="R208" s="11">
        <f>IFERROR(O208/K208,0)</f>
        <v/>
      </c>
    </row>
    <row r="209">
      <c r="A209" s="9" t="inlineStr">
        <is>
          <t>T0208</t>
        </is>
      </c>
      <c r="B209" s="9" t="inlineStr">
        <is>
          <t>Sterling Assurance</t>
        </is>
      </c>
      <c r="C209" s="9" t="inlineStr">
        <is>
          <t>Property</t>
        </is>
      </c>
      <c r="D209" s="9" t="inlineStr">
        <is>
          <t>Latin America</t>
        </is>
      </c>
      <c r="E209" s="9" t="inlineStr">
        <is>
          <t>Unassigned</t>
        </is>
      </c>
      <c r="F209" s="9" t="inlineStr">
        <is>
          <t>Proportional</t>
        </is>
      </c>
      <c r="G209" s="9" t="n">
        <v>2024</v>
      </c>
      <c r="H209" s="12" t="n">
        <v>13500000</v>
      </c>
      <c r="I209" s="12" t="n">
        <v>2129207.52</v>
      </c>
      <c r="J209" s="12" t="n">
        <v>115045.44</v>
      </c>
      <c r="K209" s="12" t="n">
        <v>2129207.52</v>
      </c>
      <c r="L209" s="12" t="n">
        <v>680722.3200000001</v>
      </c>
      <c r="M209" s="9" t="n">
        <v>2</v>
      </c>
      <c r="N209" s="12" t="n">
        <v>1754008.1</v>
      </c>
      <c r="O209" s="12" t="n">
        <v>1952318.75</v>
      </c>
      <c r="P209" s="12" t="n">
        <v>3375000</v>
      </c>
      <c r="Q209" s="9" t="inlineStr">
        <is>
          <t>Low</t>
        </is>
      </c>
      <c r="R209" s="11">
        <f>IFERROR(O209/K209,0)</f>
        <v/>
      </c>
    </row>
    <row r="210">
      <c r="A210" s="9" t="inlineStr">
        <is>
          <t>T0209</t>
        </is>
      </c>
      <c r="B210" s="9" t="inlineStr">
        <is>
          <t>Harbor Indemnity</t>
        </is>
      </c>
      <c r="C210" s="9" t="inlineStr">
        <is>
          <t>Specialty</t>
        </is>
      </c>
      <c r="D210" s="9" t="inlineStr">
        <is>
          <t>North America</t>
        </is>
      </c>
      <c r="E210" s="9" t="inlineStr">
        <is>
          <t>Sophie Laurent</t>
        </is>
      </c>
      <c r="F210" s="9" t="inlineStr">
        <is>
          <t>Excess of Loss</t>
        </is>
      </c>
      <c r="G210" s="9" t="n">
        <v>2025</v>
      </c>
      <c r="H210" s="12" t="n">
        <v>7500000</v>
      </c>
      <c r="I210" s="12" t="n">
        <v>757117.13</v>
      </c>
      <c r="J210" s="12" t="n">
        <v>75424.25</v>
      </c>
      <c r="K210" s="12" t="n">
        <v>724997.01</v>
      </c>
      <c r="L210" s="12" t="n">
        <v>79610.09073987165</v>
      </c>
      <c r="M210" s="9" t="n">
        <v>10</v>
      </c>
      <c r="N210" s="12" t="n">
        <v>78651.17</v>
      </c>
      <c r="O210" s="12" t="n">
        <v>317197.5</v>
      </c>
      <c r="P210" s="12" t="n">
        <v>7500000</v>
      </c>
      <c r="Q210" s="9" t="inlineStr">
        <is>
          <t>Low</t>
        </is>
      </c>
      <c r="R210" s="11">
        <f>IFERROR(O210/K210,0)</f>
        <v/>
      </c>
    </row>
    <row r="211">
      <c r="A211" s="9" t="inlineStr">
        <is>
          <t>T0210</t>
        </is>
      </c>
      <c r="B211" s="9" t="inlineStr">
        <is>
          <t>Meridian General</t>
        </is>
      </c>
      <c r="C211" s="9" t="inlineStr">
        <is>
          <t>Property</t>
        </is>
      </c>
      <c r="D211" s="9" t="inlineStr">
        <is>
          <t>North America</t>
        </is>
      </c>
      <c r="E211" s="9" t="inlineStr">
        <is>
          <t>Hannah Weber</t>
        </is>
      </c>
      <c r="F211" s="9" t="inlineStr">
        <is>
          <t>Excess of Loss</t>
        </is>
      </c>
      <c r="G211" s="9" t="n">
        <v>2022</v>
      </c>
      <c r="H211" s="12" t="n">
        <v>7300000</v>
      </c>
      <c r="I211" s="12" t="n">
        <v>657145.6799999999</v>
      </c>
      <c r="J211" s="12" t="n">
        <v>42408.60000000001</v>
      </c>
      <c r="K211" s="12" t="n">
        <v>657145.6799999999</v>
      </c>
      <c r="L211" s="12" t="n">
        <v>64932.35999999999</v>
      </c>
      <c r="M211" s="9" t="n">
        <v>11</v>
      </c>
      <c r="N211" s="12" t="n">
        <v>457849.34</v>
      </c>
      <c r="O211" s="12" t="n">
        <v>582775.27</v>
      </c>
      <c r="P211" s="12" t="n">
        <v>7300000</v>
      </c>
      <c r="Q211" s="9" t="inlineStr">
        <is>
          <t>Low</t>
        </is>
      </c>
      <c r="R211" s="11">
        <f>IFERROR(O211/K211,0)</f>
        <v/>
      </c>
    </row>
    <row r="212">
      <c r="A212" s="9" t="inlineStr">
        <is>
          <t>T0211</t>
        </is>
      </c>
      <c r="B212" s="9" t="inlineStr">
        <is>
          <t>Lumen Assurance</t>
        </is>
      </c>
      <c r="C212" s="9" t="inlineStr">
        <is>
          <t>Financial Lines</t>
        </is>
      </c>
      <c r="D212" s="9" t="inlineStr">
        <is>
          <t>Latin America</t>
        </is>
      </c>
      <c r="E212" s="9" t="inlineStr">
        <is>
          <t>Omar Haddad</t>
        </is>
      </c>
      <c r="F212" s="9" t="inlineStr">
        <is>
          <t>Proportional</t>
        </is>
      </c>
      <c r="G212" s="9" t="n">
        <v>2024</v>
      </c>
      <c r="H212" s="12" t="n">
        <v>5700000</v>
      </c>
      <c r="I212" s="12" t="n">
        <v>787090.08</v>
      </c>
      <c r="J212" s="12" t="n">
        <v>54979.92</v>
      </c>
      <c r="K212" s="12" t="n">
        <v>787090.08</v>
      </c>
      <c r="L212" s="12" t="n">
        <v>174040.32</v>
      </c>
      <c r="M212" s="9" t="n">
        <v>8</v>
      </c>
      <c r="N212" s="12" t="n">
        <v>235047.79</v>
      </c>
      <c r="O212" s="12" t="n">
        <v>457474.0699999999</v>
      </c>
      <c r="P212" s="12" t="n">
        <v>1425000</v>
      </c>
      <c r="Q212" s="9" t="inlineStr">
        <is>
          <t>Low</t>
        </is>
      </c>
      <c r="R212" s="11">
        <f>IFERROR(O212/K212,0)</f>
        <v/>
      </c>
    </row>
    <row r="213">
      <c r="A213" s="9" t="inlineStr">
        <is>
          <t>T0212</t>
        </is>
      </c>
      <c r="B213" s="9" t="inlineStr">
        <is>
          <t>Pioneer Insurance</t>
        </is>
      </c>
      <c r="C213" s="9" t="inlineStr">
        <is>
          <t>Casualty</t>
        </is>
      </c>
      <c r="D213" s="9" t="inlineStr">
        <is>
          <t>Europe</t>
        </is>
      </c>
      <c r="E213" s="9" t="inlineStr">
        <is>
          <t>Sophie Laurent</t>
        </is>
      </c>
      <c r="F213" s="9" t="inlineStr">
        <is>
          <t>Excess of Loss</t>
        </is>
      </c>
      <c r="G213" s="9" t="n">
        <v>2025</v>
      </c>
      <c r="H213" s="12" t="n">
        <v>23599999.998</v>
      </c>
      <c r="I213" s="12" t="n">
        <v>3691980.7776</v>
      </c>
      <c r="J213" s="12" t="n">
        <v>225180.5184000001</v>
      </c>
      <c r="K213" s="12" t="n">
        <v>3691980.7776</v>
      </c>
      <c r="L213" s="12" t="n">
        <v>420652.0512</v>
      </c>
      <c r="M213" s="9" t="n">
        <v>10</v>
      </c>
      <c r="N213" s="12" t="n">
        <v>3781792.702800001</v>
      </c>
      <c r="O213" s="12" t="n">
        <v>3992470.3764</v>
      </c>
      <c r="P213" s="12" t="n">
        <v>23599999.998</v>
      </c>
      <c r="Q213" s="9" t="inlineStr">
        <is>
          <t>Low</t>
        </is>
      </c>
      <c r="R213" s="11">
        <f>IFERROR(O213/K213,0)</f>
        <v/>
      </c>
    </row>
    <row r="214">
      <c r="A214" s="9" t="inlineStr">
        <is>
          <t>T0213</t>
        </is>
      </c>
      <c r="B214" s="9" t="inlineStr">
        <is>
          <t>Granite General</t>
        </is>
      </c>
      <c r="C214" s="9" t="inlineStr">
        <is>
          <t>Property</t>
        </is>
      </c>
      <c r="D214" s="9" t="inlineStr">
        <is>
          <t>Asia Pacific</t>
        </is>
      </c>
      <c r="E214" s="9" t="inlineStr">
        <is>
          <t>Kenji Sato</t>
        </is>
      </c>
      <c r="F214" s="9" t="inlineStr">
        <is>
          <t>Facultative</t>
        </is>
      </c>
      <c r="G214" s="9" t="n">
        <v>2026</v>
      </c>
      <c r="H214" s="12" t="n">
        <v>4700000</v>
      </c>
      <c r="I214" s="12" t="n">
        <v>464765.7000000001</v>
      </c>
      <c r="J214" s="12" t="n">
        <v>41907.53</v>
      </c>
      <c r="K214" s="12" t="n">
        <v>413862.79</v>
      </c>
      <c r="L214" s="12" t="n">
        <v>67400.65933333333</v>
      </c>
      <c r="M214" s="9" t="n">
        <v>8</v>
      </c>
      <c r="N214" s="12" t="n">
        <v>115373.31</v>
      </c>
      <c r="O214" s="12" t="n">
        <v>171582.5</v>
      </c>
      <c r="P214" s="12" t="n">
        <v>4700000</v>
      </c>
      <c r="Q214" s="9" t="inlineStr">
        <is>
          <t>Low</t>
        </is>
      </c>
      <c r="R214" s="11">
        <f>IFERROR(O214/K214,0)</f>
        <v/>
      </c>
    </row>
    <row r="215">
      <c r="A215" s="9" t="inlineStr">
        <is>
          <t>T0214</t>
        </is>
      </c>
      <c r="B215" s="9" t="inlineStr">
        <is>
          <t>Cobalt Indemnity</t>
        </is>
      </c>
      <c r="C215" s="9" t="inlineStr">
        <is>
          <t>Casualty</t>
        </is>
      </c>
      <c r="D215" s="9" t="inlineStr">
        <is>
          <t>North America</t>
        </is>
      </c>
      <c r="E215" s="9" t="inlineStr">
        <is>
          <t>Carlos Ibarra</t>
        </is>
      </c>
      <c r="F215" s="9" t="inlineStr">
        <is>
          <t>Facultative</t>
        </is>
      </c>
      <c r="G215" s="9" t="n">
        <v>2024</v>
      </c>
      <c r="H215" s="12" t="n">
        <v>13800000</v>
      </c>
      <c r="I215" s="12" t="n">
        <v>1594859.16</v>
      </c>
      <c r="J215" s="12" t="n">
        <v>148245.84</v>
      </c>
      <c r="K215" s="12" t="n">
        <v>1594859.16</v>
      </c>
      <c r="L215" s="12" t="n">
        <v>291373.2</v>
      </c>
      <c r="M215" s="9" t="n">
        <v>6</v>
      </c>
      <c r="N215" s="12" t="n">
        <v>731626.3099999999</v>
      </c>
      <c r="O215" s="12" t="n">
        <v>747803.29</v>
      </c>
      <c r="P215" s="12" t="n">
        <v>13800000</v>
      </c>
      <c r="Q215" s="9" t="inlineStr">
        <is>
          <t>Low</t>
        </is>
      </c>
      <c r="R215" s="11">
        <f>IFERROR(O215/K215,0)</f>
        <v/>
      </c>
    </row>
    <row r="216">
      <c r="A216" s="9" t="inlineStr">
        <is>
          <t>T0215</t>
        </is>
      </c>
      <c r="B216" s="9" t="inlineStr">
        <is>
          <t>Orion General</t>
        </is>
      </c>
      <c r="C216" s="9" t="inlineStr">
        <is>
          <t>Property</t>
        </is>
      </c>
      <c r="D216" s="9" t="inlineStr">
        <is>
          <t>North America</t>
        </is>
      </c>
      <c r="E216" s="9" t="inlineStr">
        <is>
          <t>Aarav Mehta</t>
        </is>
      </c>
      <c r="F216" s="9" t="inlineStr">
        <is>
          <t>Proportional</t>
        </is>
      </c>
      <c r="G216" s="9" t="n">
        <v>2024</v>
      </c>
      <c r="H216" s="12" t="n">
        <v>66000000</v>
      </c>
      <c r="I216" s="12" t="n">
        <v>6637818.600000001</v>
      </c>
      <c r="J216" s="12" t="n">
        <v>475719.48</v>
      </c>
      <c r="K216" s="12" t="n">
        <v>6637818.600000001</v>
      </c>
      <c r="L216" s="12" t="n">
        <v>1566749.64</v>
      </c>
      <c r="M216" s="9" t="n">
        <v>9</v>
      </c>
      <c r="N216" s="12" t="n">
        <v>2505938.99</v>
      </c>
      <c r="O216" s="12" t="n">
        <v>3449869.4</v>
      </c>
      <c r="P216" s="12" t="n">
        <v>16500000</v>
      </c>
      <c r="Q216" s="9" t="inlineStr">
        <is>
          <t>Low</t>
        </is>
      </c>
      <c r="R216" s="11">
        <f>IFERROR(O216/K216,0)</f>
        <v/>
      </c>
    </row>
    <row r="217">
      <c r="A217" s="9" t="inlineStr">
        <is>
          <t>T0216</t>
        </is>
      </c>
      <c r="B217" s="9" t="inlineStr">
        <is>
          <t>Northwind Assurance</t>
        </is>
      </c>
      <c r="C217" s="9" t="inlineStr">
        <is>
          <t>Specialty</t>
        </is>
      </c>
      <c r="D217" s="9" t="inlineStr">
        <is>
          <t>North America</t>
        </is>
      </c>
      <c r="E217" s="9" t="inlineStr">
        <is>
          <t>Hannah Weber</t>
        </is>
      </c>
      <c r="F217" s="9" t="inlineStr">
        <is>
          <t>Facultative</t>
        </is>
      </c>
      <c r="G217" s="9" t="n">
        <v>2023</v>
      </c>
      <c r="H217" s="12" t="n">
        <v>4400000</v>
      </c>
      <c r="I217" s="12" t="n">
        <v>742504.2</v>
      </c>
      <c r="J217" s="12" t="n">
        <v>41516.16</v>
      </c>
      <c r="K217" s="12" t="n">
        <v>742504.2</v>
      </c>
      <c r="L217" s="12" t="n">
        <v>133431.6</v>
      </c>
      <c r="M217" s="9" t="n">
        <v>7</v>
      </c>
      <c r="N217" s="12" t="n">
        <v>387777.28</v>
      </c>
      <c r="O217" s="12" t="n">
        <v>445679.52</v>
      </c>
      <c r="P217" s="12" t="n">
        <v>4400000</v>
      </c>
      <c r="Q217" s="9" t="inlineStr">
        <is>
          <t>Low</t>
        </is>
      </c>
      <c r="R217" s="11">
        <f>IFERROR(O217/K217,0)</f>
        <v/>
      </c>
    </row>
    <row r="218">
      <c r="A218" s="9" t="inlineStr">
        <is>
          <t>T0217</t>
        </is>
      </c>
      <c r="B218" s="9" t="inlineStr">
        <is>
          <t>Vantage Assurance</t>
        </is>
      </c>
      <c r="C218" s="9" t="inlineStr">
        <is>
          <t>Specialty</t>
        </is>
      </c>
      <c r="D218" s="9" t="inlineStr">
        <is>
          <t>Europe</t>
        </is>
      </c>
      <c r="E218" s="9" t="inlineStr">
        <is>
          <t>Kenji Sato</t>
        </is>
      </c>
      <c r="F218" s="9" t="inlineStr">
        <is>
          <t>Proportional</t>
        </is>
      </c>
      <c r="G218" s="9" t="n">
        <v>2021</v>
      </c>
      <c r="H218" s="12" t="n">
        <v>18599999.9976</v>
      </c>
      <c r="I218" s="12" t="n">
        <v>1429398.4464</v>
      </c>
      <c r="J218" s="12" t="n">
        <v>80631.1584</v>
      </c>
      <c r="K218" s="12" t="n">
        <v>1429398.4464</v>
      </c>
      <c r="L218" s="12" t="n">
        <v>423398.2752</v>
      </c>
      <c r="M218" s="9" t="n">
        <v>9</v>
      </c>
      <c r="N218" s="12" t="n">
        <v>847405.2492000001</v>
      </c>
      <c r="O218" s="12" t="n">
        <v>877431.5388000001</v>
      </c>
      <c r="P218" s="12" t="n">
        <v>1859999.9976</v>
      </c>
      <c r="Q218" s="9" t="inlineStr">
        <is>
          <t>Low</t>
        </is>
      </c>
      <c r="R218" s="11">
        <f>IFERROR(O218/K218,0)</f>
        <v/>
      </c>
    </row>
    <row r="219">
      <c r="A219" s="9" t="inlineStr">
        <is>
          <t>T0218</t>
        </is>
      </c>
      <c r="B219" s="9" t="inlineStr">
        <is>
          <t>Granite Indemnity</t>
        </is>
      </c>
      <c r="C219" s="9" t="inlineStr">
        <is>
          <t>Property</t>
        </is>
      </c>
      <c r="D219" s="9" t="inlineStr">
        <is>
          <t>Europe</t>
        </is>
      </c>
      <c r="E219" s="9" t="inlineStr">
        <is>
          <t>Aarav Mehta</t>
        </is>
      </c>
      <c r="F219" s="9" t="inlineStr">
        <is>
          <t>Excess of Loss</t>
        </is>
      </c>
      <c r="G219" s="9" t="n">
        <v>2023</v>
      </c>
      <c r="H219" s="12" t="n">
        <v>1999999.998</v>
      </c>
      <c r="I219" s="12" t="n">
        <v>200000.016</v>
      </c>
      <c r="J219" s="12" t="n">
        <v>15291.8928</v>
      </c>
      <c r="K219" s="12" t="n">
        <v>200000.016</v>
      </c>
      <c r="L219" s="12" t="n">
        <v>13737.0816</v>
      </c>
      <c r="M219" s="9" t="n">
        <v>12</v>
      </c>
      <c r="N219" s="12" t="n">
        <v>114579.7812</v>
      </c>
      <c r="O219" s="12" t="n">
        <v>114579.7812</v>
      </c>
      <c r="P219" s="12" t="n">
        <v>1999999.998</v>
      </c>
      <c r="Q219" s="9" t="inlineStr">
        <is>
          <t>Low</t>
        </is>
      </c>
      <c r="R219" s="11">
        <f>IFERROR(O219/K219,0)</f>
        <v/>
      </c>
    </row>
    <row r="220">
      <c r="A220" s="9" t="inlineStr">
        <is>
          <t>T0219</t>
        </is>
      </c>
      <c r="B220" s="9" t="inlineStr">
        <is>
          <t>Orion Assurance</t>
        </is>
      </c>
      <c r="C220" s="9" t="inlineStr">
        <is>
          <t>Property</t>
        </is>
      </c>
      <c r="D220" s="9" t="inlineStr">
        <is>
          <t>North America</t>
        </is>
      </c>
      <c r="E220" s="9" t="inlineStr">
        <is>
          <t>Omar Haddad</t>
        </is>
      </c>
      <c r="F220" s="9" t="inlineStr">
        <is>
          <t>Facultative</t>
        </is>
      </c>
      <c r="G220" s="9" t="n">
        <v>2022</v>
      </c>
      <c r="H220" s="12" t="n">
        <v>4100000</v>
      </c>
      <c r="I220" s="12" t="n">
        <v>359340.6</v>
      </c>
      <c r="J220" s="12" t="n">
        <v>41216.28</v>
      </c>
      <c r="K220" s="12" t="n">
        <v>359340.6</v>
      </c>
      <c r="L220" s="12" t="n">
        <v>53990.64</v>
      </c>
      <c r="M220" s="9" t="n">
        <v>9</v>
      </c>
      <c r="N220" s="12" t="n">
        <v>310030.73</v>
      </c>
      <c r="O220" s="12" t="n">
        <v>310030.73</v>
      </c>
      <c r="P220" s="12" t="n">
        <v>4100000</v>
      </c>
      <c r="Q220" s="9" t="inlineStr">
        <is>
          <t>Low</t>
        </is>
      </c>
      <c r="R220" s="11">
        <f>IFERROR(O220/K220,0)</f>
        <v/>
      </c>
    </row>
    <row r="221">
      <c r="A221" s="9" t="inlineStr">
        <is>
          <t>T0220</t>
        </is>
      </c>
      <c r="B221" s="9" t="inlineStr">
        <is>
          <t>Vantage Assurance</t>
        </is>
      </c>
      <c r="C221" s="9" t="inlineStr">
        <is>
          <t>Casualty</t>
        </is>
      </c>
      <c r="D221" s="9" t="inlineStr">
        <is>
          <t>Europe</t>
        </is>
      </c>
      <c r="E221" s="9" t="inlineStr">
        <is>
          <t>Kenji Sato</t>
        </is>
      </c>
      <c r="F221" s="9" t="inlineStr">
        <is>
          <t>Excess of Loss</t>
        </is>
      </c>
      <c r="G221" s="9" t="n">
        <v>2025</v>
      </c>
      <c r="H221" s="12" t="n">
        <v>4799999.995200001</v>
      </c>
      <c r="I221" s="12" t="n">
        <v>446457.2256000001</v>
      </c>
      <c r="J221" s="12" t="n">
        <v>46788.06240000001</v>
      </c>
      <c r="K221" s="12" t="n">
        <v>446457.2256000001</v>
      </c>
      <c r="L221" s="12" t="n">
        <v>50029.6176</v>
      </c>
      <c r="M221" s="9" t="n">
        <v>12</v>
      </c>
      <c r="N221" s="12" t="n">
        <v>123747.4368</v>
      </c>
      <c r="O221" s="12" t="n">
        <v>207793.728</v>
      </c>
      <c r="P221" s="12" t="n">
        <v>4799999.995200001</v>
      </c>
      <c r="Q221" s="9" t="inlineStr">
        <is>
          <t>Low</t>
        </is>
      </c>
      <c r="R221" s="11">
        <f>IFERROR(O221/K221,0)</f>
        <v/>
      </c>
    </row>
    <row r="222">
      <c r="A222" s="9" t="inlineStr">
        <is>
          <t>T0221</t>
        </is>
      </c>
      <c r="B222" s="9" t="inlineStr">
        <is>
          <t>Northwind Indemnity</t>
        </is>
      </c>
      <c r="C222" s="9" t="inlineStr">
        <is>
          <t>Casualty</t>
        </is>
      </c>
      <c r="D222" s="9" t="inlineStr">
        <is>
          <t>North America</t>
        </is>
      </c>
      <c r="E222" s="9" t="inlineStr">
        <is>
          <t>Unassigned</t>
        </is>
      </c>
      <c r="F222" s="9" t="inlineStr">
        <is>
          <t>Proportional</t>
        </is>
      </c>
      <c r="G222" s="9" t="n">
        <v>2024</v>
      </c>
      <c r="H222" s="12" t="n">
        <v>17400000</v>
      </c>
      <c r="I222" s="12" t="n">
        <v>1674352.8</v>
      </c>
      <c r="J222" s="12" t="n">
        <v>135994.68</v>
      </c>
      <c r="K222" s="12" t="n">
        <v>1674352.8</v>
      </c>
      <c r="L222" s="12" t="n">
        <v>442347.48</v>
      </c>
      <c r="M222" s="9" t="n">
        <v>5</v>
      </c>
      <c r="N222" s="12" t="n">
        <v>467456.05</v>
      </c>
      <c r="O222" s="12" t="n">
        <v>667726.78</v>
      </c>
      <c r="P222" s="12" t="n">
        <v>4350000</v>
      </c>
      <c r="Q222" s="9" t="inlineStr">
        <is>
          <t>Low</t>
        </is>
      </c>
      <c r="R222" s="11">
        <f>IFERROR(O222/K222,0)</f>
        <v/>
      </c>
    </row>
    <row r="223">
      <c r="A223" s="9" t="inlineStr">
        <is>
          <t>T0222</t>
        </is>
      </c>
      <c r="B223" s="9" t="inlineStr">
        <is>
          <t>Pioneer Insurance</t>
        </is>
      </c>
      <c r="C223" s="9" t="inlineStr">
        <is>
          <t>Property</t>
        </is>
      </c>
      <c r="D223" s="9" t="inlineStr">
        <is>
          <t>Europe</t>
        </is>
      </c>
      <c r="E223" s="9" t="inlineStr">
        <is>
          <t>Priya Nair</t>
        </is>
      </c>
      <c r="F223" s="9" t="inlineStr">
        <is>
          <t>Facultative</t>
        </is>
      </c>
      <c r="G223" s="9" t="n">
        <v>2025</v>
      </c>
      <c r="H223" s="12" t="n">
        <v>13000000.0032</v>
      </c>
      <c r="I223" s="12" t="n">
        <v>1053870.5232</v>
      </c>
      <c r="J223" s="12" t="n">
        <v>97764.53760000001</v>
      </c>
      <c r="K223" s="12" t="n">
        <v>1053870.5232</v>
      </c>
      <c r="L223" s="12" t="n">
        <v>203876.0928</v>
      </c>
      <c r="M223" s="9" t="n">
        <v>9</v>
      </c>
      <c r="N223" s="12" t="n">
        <v>563830.5780000001</v>
      </c>
      <c r="O223" s="12" t="n">
        <v>702610.4052</v>
      </c>
      <c r="P223" s="12" t="n">
        <v>13000000.0032</v>
      </c>
      <c r="Q223" s="9" t="inlineStr">
        <is>
          <t>Low</t>
        </is>
      </c>
      <c r="R223" s="11">
        <f>IFERROR(O223/K223,0)</f>
        <v/>
      </c>
    </row>
    <row r="224">
      <c r="A224" s="9" t="inlineStr">
        <is>
          <t>T0223</t>
        </is>
      </c>
      <c r="B224" s="9" t="inlineStr">
        <is>
          <t>Northwind Indemnity</t>
        </is>
      </c>
      <c r="C224" s="9" t="inlineStr">
        <is>
          <t>Property</t>
        </is>
      </c>
      <c r="D224" s="9" t="inlineStr">
        <is>
          <t>North America</t>
        </is>
      </c>
      <c r="E224" s="9" t="inlineStr">
        <is>
          <t>Aarav Mehta</t>
        </is>
      </c>
      <c r="F224" s="9" t="inlineStr">
        <is>
          <t>Excess of Loss</t>
        </is>
      </c>
      <c r="G224" s="9" t="n">
        <v>2022</v>
      </c>
      <c r="H224" s="12" t="n">
        <v>12300000</v>
      </c>
      <c r="I224" s="12" t="n">
        <v>1036878.84</v>
      </c>
      <c r="J224" s="12" t="n">
        <v>118552.68</v>
      </c>
      <c r="K224" s="12" t="n">
        <v>1036878.84</v>
      </c>
      <c r="L224" s="12" t="n">
        <v>84768</v>
      </c>
      <c r="M224" s="9" t="n">
        <v>7</v>
      </c>
      <c r="N224" s="12" t="n">
        <v>1114480.05</v>
      </c>
      <c r="O224" s="12" t="n">
        <v>1114480.05</v>
      </c>
      <c r="P224" s="12" t="n">
        <v>12300000</v>
      </c>
      <c r="Q224" s="9" t="inlineStr">
        <is>
          <t>Low</t>
        </is>
      </c>
      <c r="R224" s="11">
        <f>IFERROR(O224/K224,0)</f>
        <v/>
      </c>
    </row>
    <row r="225">
      <c r="A225" s="9" t="inlineStr">
        <is>
          <t>T0224</t>
        </is>
      </c>
      <c r="B225" s="9" t="inlineStr">
        <is>
          <t>Orion Insurance</t>
        </is>
      </c>
      <c r="C225" s="9" t="inlineStr">
        <is>
          <t>Financial Lines</t>
        </is>
      </c>
      <c r="D225" s="9" t="inlineStr">
        <is>
          <t>Asia Pacific</t>
        </is>
      </c>
      <c r="E225" s="9" t="inlineStr">
        <is>
          <t>Sophie Laurent</t>
        </is>
      </c>
      <c r="F225" s="9" t="inlineStr">
        <is>
          <t>Proportional</t>
        </is>
      </c>
      <c r="G225" s="9" t="n">
        <v>2025</v>
      </c>
      <c r="H225" s="12" t="n">
        <v>28800000</v>
      </c>
      <c r="I225" s="12" t="n">
        <v>5015447.88</v>
      </c>
      <c r="J225" s="12" t="n">
        <v>587592.6000000001</v>
      </c>
      <c r="K225" s="12" t="n">
        <v>5015447.88</v>
      </c>
      <c r="L225" s="12" t="n">
        <v>1299139.44</v>
      </c>
      <c r="M225" s="9" t="n">
        <v>13</v>
      </c>
      <c r="N225" s="12" t="n">
        <v>1689730.18</v>
      </c>
      <c r="O225" s="12" t="n">
        <v>2202528.39</v>
      </c>
      <c r="P225" s="12" t="n">
        <v>14400000</v>
      </c>
      <c r="Q225" s="9" t="inlineStr">
        <is>
          <t>Low</t>
        </is>
      </c>
      <c r="R225" s="11">
        <f>IFERROR(O225/K225,0)</f>
        <v/>
      </c>
    </row>
    <row r="226">
      <c r="A226" s="9" t="inlineStr">
        <is>
          <t>T0225</t>
        </is>
      </c>
      <c r="B226" s="9" t="inlineStr">
        <is>
          <t>Vantage Assurance</t>
        </is>
      </c>
      <c r="C226" s="9" t="inlineStr">
        <is>
          <t>Specialty</t>
        </is>
      </c>
      <c r="D226" s="9" t="inlineStr">
        <is>
          <t>Europe</t>
        </is>
      </c>
      <c r="E226" s="9" t="inlineStr">
        <is>
          <t>Carlos Ibarra</t>
        </is>
      </c>
      <c r="F226" s="9" t="inlineStr">
        <is>
          <t>Excess of Loss</t>
        </is>
      </c>
      <c r="G226" s="9" t="n">
        <v>2024</v>
      </c>
      <c r="H226" s="12" t="n">
        <v>3300000.0048</v>
      </c>
      <c r="I226" s="12" t="n">
        <v>492328.4976</v>
      </c>
      <c r="J226" s="12" t="n">
        <v>40169.52</v>
      </c>
      <c r="K226" s="12" t="n">
        <v>492328.4976</v>
      </c>
      <c r="L226" s="12" t="n">
        <v>33410.88</v>
      </c>
      <c r="M226" s="9" t="n">
        <v>6</v>
      </c>
      <c r="N226" s="12" t="n">
        <v>115702.9596</v>
      </c>
      <c r="O226" s="12" t="n">
        <v>147331.6236</v>
      </c>
      <c r="P226" s="12" t="n">
        <v>3300000.0048</v>
      </c>
      <c r="Q226" s="9" t="inlineStr">
        <is>
          <t>Low</t>
        </is>
      </c>
      <c r="R226" s="11">
        <f>IFERROR(O226/K226,0)</f>
        <v/>
      </c>
    </row>
    <row r="227">
      <c r="A227" s="9" t="inlineStr">
        <is>
          <t>T0226</t>
        </is>
      </c>
      <c r="B227" s="9" t="inlineStr">
        <is>
          <t>Northwind Insurance</t>
        </is>
      </c>
      <c r="C227" s="9" t="inlineStr">
        <is>
          <t>Property</t>
        </is>
      </c>
      <c r="D227" s="9" t="inlineStr">
        <is>
          <t>North America</t>
        </is>
      </c>
      <c r="E227" s="9" t="inlineStr">
        <is>
          <t>Sophie Laurent</t>
        </is>
      </c>
      <c r="F227" s="9" t="inlineStr">
        <is>
          <t>Proportional</t>
        </is>
      </c>
      <c r="G227" s="9" t="n">
        <v>2024</v>
      </c>
      <c r="H227" s="12" t="n">
        <v>13300000</v>
      </c>
      <c r="I227" s="12" t="n">
        <v>1660626.6</v>
      </c>
      <c r="J227" s="12" t="n">
        <v>146005.08</v>
      </c>
      <c r="K227" s="12" t="n">
        <v>1660626.6</v>
      </c>
      <c r="L227" s="12" t="n">
        <v>420346.32</v>
      </c>
      <c r="M227" s="9" t="n">
        <v>8</v>
      </c>
      <c r="N227" s="12" t="n">
        <v>1927094.5</v>
      </c>
      <c r="O227" s="12" t="n">
        <v>2020090.61</v>
      </c>
      <c r="P227" s="12" t="n">
        <v>3990000</v>
      </c>
      <c r="Q227" s="9" t="inlineStr">
        <is>
          <t>Low</t>
        </is>
      </c>
      <c r="R227" s="11">
        <f>IFERROR(O227/K227,0)</f>
        <v/>
      </c>
    </row>
    <row r="228">
      <c r="A228" s="9" t="inlineStr">
        <is>
          <t>T0227</t>
        </is>
      </c>
      <c r="B228" s="9" t="inlineStr">
        <is>
          <t>Meridian Mutual</t>
        </is>
      </c>
      <c r="C228" s="9" t="inlineStr">
        <is>
          <t>Specialty</t>
        </is>
      </c>
      <c r="D228" s="9" t="inlineStr">
        <is>
          <t>North America</t>
        </is>
      </c>
      <c r="E228" s="9" t="inlineStr">
        <is>
          <t>Aarav Mehta</t>
        </is>
      </c>
      <c r="F228" s="9" t="inlineStr">
        <is>
          <t>Proportional</t>
        </is>
      </c>
      <c r="G228" s="9" t="n">
        <v>2026</v>
      </c>
      <c r="H228" s="12" t="n">
        <v>5000000</v>
      </c>
      <c r="I228" s="12" t="n">
        <v>701491.9500000001</v>
      </c>
      <c r="J228" s="12" t="n">
        <v>53564.31</v>
      </c>
      <c r="K228" s="12" t="n">
        <v>623548.4</v>
      </c>
      <c r="L228" s="12" t="n">
        <v>182161.52</v>
      </c>
      <c r="M228" s="9" t="n">
        <v>4</v>
      </c>
      <c r="N228" s="12" t="n">
        <v>132093.18</v>
      </c>
      <c r="O228" s="12" t="n">
        <v>270688.71</v>
      </c>
      <c r="P228" s="12" t="n">
        <v>1000000</v>
      </c>
      <c r="Q228" s="9" t="inlineStr">
        <is>
          <t>Low</t>
        </is>
      </c>
      <c r="R228" s="11">
        <f>IFERROR(O228/K228,0)</f>
        <v/>
      </c>
    </row>
    <row r="229">
      <c r="A229" s="9" t="inlineStr">
        <is>
          <t>T0228</t>
        </is>
      </c>
      <c r="B229" s="9" t="inlineStr">
        <is>
          <t>Orion General</t>
        </is>
      </c>
      <c r="C229" s="9" t="inlineStr">
        <is>
          <t>Property</t>
        </is>
      </c>
      <c r="D229" s="9" t="inlineStr">
        <is>
          <t>North America</t>
        </is>
      </c>
      <c r="E229" s="9" t="inlineStr">
        <is>
          <t>James Whitfield</t>
        </is>
      </c>
      <c r="F229" s="9" t="inlineStr">
        <is>
          <t>Excess of Loss</t>
        </is>
      </c>
      <c r="G229" s="9" t="n">
        <v>2026</v>
      </c>
      <c r="H229" s="12" t="n">
        <v>7300000</v>
      </c>
      <c r="I229" s="12" t="n">
        <v>170615.19</v>
      </c>
      <c r="J229" s="12" t="n">
        <v>15679.02</v>
      </c>
      <c r="K229" s="12" t="n">
        <v>155449.4</v>
      </c>
      <c r="L229" s="12" t="n">
        <v>17113.48251375508</v>
      </c>
      <c r="M229" s="9" t="n">
        <v>1</v>
      </c>
      <c r="N229" s="12" t="n">
        <v>38918.62</v>
      </c>
      <c r="O229" s="12" t="n">
        <v>123450.94</v>
      </c>
      <c r="P229" s="12" t="n">
        <v>7300000</v>
      </c>
      <c r="Q229" s="9" t="inlineStr">
        <is>
          <t>Low</t>
        </is>
      </c>
      <c r="R229" s="11">
        <f>IFERROR(O229/K229,0)</f>
        <v/>
      </c>
    </row>
    <row r="230">
      <c r="A230" s="9" t="inlineStr">
        <is>
          <t>T0229</t>
        </is>
      </c>
      <c r="B230" s="9" t="inlineStr">
        <is>
          <t>Lumen Insurance</t>
        </is>
      </c>
      <c r="C230" s="9" t="inlineStr">
        <is>
          <t>Property</t>
        </is>
      </c>
      <c r="D230" s="9" t="inlineStr">
        <is>
          <t>North America</t>
        </is>
      </c>
      <c r="E230" s="9" t="inlineStr">
        <is>
          <t>Aarav Mehta</t>
        </is>
      </c>
      <c r="F230" s="9" t="inlineStr">
        <is>
          <t>Proportional</t>
        </is>
      </c>
      <c r="G230" s="9" t="n">
        <v>2022</v>
      </c>
      <c r="H230" s="12" t="n">
        <v>7200000</v>
      </c>
      <c r="I230" s="12" t="n">
        <v>545523</v>
      </c>
      <c r="J230" s="12" t="n">
        <v>54576.72</v>
      </c>
      <c r="K230" s="12" t="n">
        <v>545523</v>
      </c>
      <c r="L230" s="12" t="n">
        <v>137040.96</v>
      </c>
      <c r="M230" s="9" t="n">
        <v>11</v>
      </c>
      <c r="N230" s="12" t="n">
        <v>507400.88</v>
      </c>
      <c r="O230" s="12" t="n">
        <v>509656.3</v>
      </c>
      <c r="P230" s="12" t="n">
        <v>2880000</v>
      </c>
      <c r="Q230" s="9" t="inlineStr">
        <is>
          <t>Low</t>
        </is>
      </c>
      <c r="R230" s="11">
        <f>IFERROR(O230/K230,0)</f>
        <v/>
      </c>
    </row>
    <row r="231">
      <c r="A231" s="9" t="inlineStr">
        <is>
          <t>T0230</t>
        </is>
      </c>
      <c r="B231" s="9" t="inlineStr">
        <is>
          <t>Atlas General</t>
        </is>
      </c>
      <c r="C231" s="9" t="inlineStr">
        <is>
          <t>Specialty</t>
        </is>
      </c>
      <c r="D231" s="9" t="inlineStr">
        <is>
          <t>Asia Pacific</t>
        </is>
      </c>
      <c r="E231" s="9" t="inlineStr">
        <is>
          <t>Sophie Laurent</t>
        </is>
      </c>
      <c r="F231" s="9" t="inlineStr">
        <is>
          <t>Excess of Loss</t>
        </is>
      </c>
      <c r="G231" s="9" t="n">
        <v>2021</v>
      </c>
      <c r="H231" s="12" t="n">
        <v>91800000</v>
      </c>
      <c r="I231" s="12" t="n">
        <v>6611100.84</v>
      </c>
      <c r="J231" s="12" t="n">
        <v>349150.2</v>
      </c>
      <c r="K231" s="12" t="n">
        <v>6611100.84</v>
      </c>
      <c r="L231" s="12" t="n">
        <v>786198.36</v>
      </c>
      <c r="M231" s="9" t="n">
        <v>10</v>
      </c>
      <c r="N231" s="12" t="n">
        <v>2659107.9</v>
      </c>
      <c r="O231" s="12" t="n">
        <v>2659107.9</v>
      </c>
      <c r="P231" s="12" t="n">
        <v>91800000</v>
      </c>
      <c r="Q231" s="9" t="inlineStr">
        <is>
          <t>Low</t>
        </is>
      </c>
      <c r="R231" s="11">
        <f>IFERROR(O231/K231,0)</f>
        <v/>
      </c>
    </row>
    <row r="232">
      <c r="A232" s="9" t="inlineStr">
        <is>
          <t>T0231</t>
        </is>
      </c>
      <c r="B232" s="9" t="inlineStr">
        <is>
          <t>Orion Insurance</t>
        </is>
      </c>
      <c r="C232" s="9" t="inlineStr">
        <is>
          <t>Casualty</t>
        </is>
      </c>
      <c r="D232" s="9" t="inlineStr">
        <is>
          <t>Asia Pacific</t>
        </is>
      </c>
      <c r="E232" s="9" t="inlineStr">
        <is>
          <t>Sophie Laurent</t>
        </is>
      </c>
      <c r="F232" s="9" t="inlineStr">
        <is>
          <t>Proportional</t>
        </is>
      </c>
      <c r="G232" s="9" t="n">
        <v>2021</v>
      </c>
      <c r="H232" s="12" t="n">
        <v>25100000</v>
      </c>
      <c r="I232" s="12" t="n">
        <v>2667314.88</v>
      </c>
      <c r="J232" s="12" t="n">
        <v>160121.4</v>
      </c>
      <c r="K232" s="12" t="n">
        <v>2667314.88</v>
      </c>
      <c r="L232" s="12" t="n">
        <v>633161.04</v>
      </c>
      <c r="M232" s="9" t="n">
        <v>11</v>
      </c>
      <c r="N232" s="12" t="n">
        <v>2158738.65</v>
      </c>
      <c r="O232" s="12" t="n">
        <v>2289104.91</v>
      </c>
      <c r="P232" s="12" t="n">
        <v>6275000</v>
      </c>
      <c r="Q232" s="9" t="inlineStr">
        <is>
          <t>Low</t>
        </is>
      </c>
      <c r="R232" s="11">
        <f>IFERROR(O232/K232,0)</f>
        <v/>
      </c>
    </row>
    <row r="233">
      <c r="A233" s="9" t="inlineStr">
        <is>
          <t>T0232</t>
        </is>
      </c>
      <c r="B233" s="9" t="inlineStr">
        <is>
          <t>Orion General</t>
        </is>
      </c>
      <c r="C233" s="9" t="inlineStr">
        <is>
          <t>Property</t>
        </is>
      </c>
      <c r="D233" s="9" t="inlineStr">
        <is>
          <t>North America</t>
        </is>
      </c>
      <c r="E233" s="9" t="inlineStr">
        <is>
          <t>Carlos Ibarra</t>
        </is>
      </c>
      <c r="F233" s="9" t="inlineStr">
        <is>
          <t>Excess of Loss</t>
        </is>
      </c>
      <c r="G233" s="9" t="n">
        <v>2021</v>
      </c>
      <c r="H233" s="12" t="n">
        <v>7500000</v>
      </c>
      <c r="I233" s="12" t="n">
        <v>694864.2</v>
      </c>
      <c r="J233" s="12" t="n">
        <v>71783.28</v>
      </c>
      <c r="K233" s="12" t="n">
        <v>694864.2</v>
      </c>
      <c r="L233" s="12" t="n">
        <v>39320.28</v>
      </c>
      <c r="M233" s="9" t="n">
        <v>15</v>
      </c>
      <c r="N233" s="12" t="n">
        <v>662254.62</v>
      </c>
      <c r="O233" s="12" t="n">
        <v>796020.2</v>
      </c>
      <c r="P233" s="12" t="n">
        <v>7500000</v>
      </c>
      <c r="Q233" s="9" t="inlineStr">
        <is>
          <t>Low</t>
        </is>
      </c>
      <c r="R233" s="11">
        <f>IFERROR(O233/K233,0)</f>
        <v/>
      </c>
    </row>
    <row r="234">
      <c r="A234" s="9" t="inlineStr">
        <is>
          <t>T0233</t>
        </is>
      </c>
      <c r="B234" s="9" t="inlineStr">
        <is>
          <t>Harbor Indemnity</t>
        </is>
      </c>
      <c r="C234" s="9" t="inlineStr">
        <is>
          <t>Financial Lines</t>
        </is>
      </c>
      <c r="D234" s="9" t="inlineStr">
        <is>
          <t>North America</t>
        </is>
      </c>
      <c r="E234" s="9" t="inlineStr">
        <is>
          <t>Unassigned</t>
        </is>
      </c>
      <c r="F234" s="9" t="inlineStr">
        <is>
          <t>Excess of Loss</t>
        </is>
      </c>
      <c r="G234" s="9" t="n">
        <v>2024</v>
      </c>
      <c r="H234" s="12" t="n">
        <v>12400000</v>
      </c>
      <c r="I234" s="12" t="n">
        <v>2471010.72</v>
      </c>
      <c r="J234" s="12" t="n">
        <v>260309.64</v>
      </c>
      <c r="K234" s="12" t="n">
        <v>2471010.72</v>
      </c>
      <c r="L234" s="12" t="n">
        <v>140043.84</v>
      </c>
      <c r="M234" s="9" t="n">
        <v>10</v>
      </c>
      <c r="N234" s="12" t="n">
        <v>1529301.85</v>
      </c>
      <c r="O234" s="12" t="n">
        <v>1846663.19</v>
      </c>
      <c r="P234" s="12" t="n">
        <v>12400000</v>
      </c>
      <c r="Q234" s="9" t="inlineStr">
        <is>
          <t>Low</t>
        </is>
      </c>
      <c r="R234" s="11">
        <f>IFERROR(O234/K234,0)</f>
        <v/>
      </c>
    </row>
    <row r="235">
      <c r="A235" s="9" t="inlineStr">
        <is>
          <t>T0234</t>
        </is>
      </c>
      <c r="B235" s="9" t="inlineStr">
        <is>
          <t>Granite Insurance</t>
        </is>
      </c>
      <c r="C235" s="9" t="inlineStr">
        <is>
          <t>Property</t>
        </is>
      </c>
      <c r="D235" s="9" t="inlineStr">
        <is>
          <t>Asia Pacific</t>
        </is>
      </c>
      <c r="E235" s="9" t="inlineStr">
        <is>
          <t>James Whitfield</t>
        </is>
      </c>
      <c r="F235" s="9" t="inlineStr">
        <is>
          <t>Proportional</t>
        </is>
      </c>
      <c r="G235" s="9" t="n">
        <v>2025</v>
      </c>
      <c r="H235" s="12" t="n">
        <v>5700000</v>
      </c>
      <c r="I235" s="12" t="n">
        <v>713889.72</v>
      </c>
      <c r="J235" s="12" t="n">
        <v>42640.92</v>
      </c>
      <c r="K235" s="12" t="n">
        <v>713889.72</v>
      </c>
      <c r="L235" s="12" t="n">
        <v>176633.88</v>
      </c>
      <c r="M235" s="9" t="n">
        <v>6</v>
      </c>
      <c r="N235" s="12" t="n">
        <v>31703.18</v>
      </c>
      <c r="O235" s="12" t="n">
        <v>201043.47</v>
      </c>
      <c r="P235" s="12" t="n">
        <v>2280000</v>
      </c>
      <c r="Q235" s="9" t="inlineStr">
        <is>
          <t>Low</t>
        </is>
      </c>
      <c r="R235" s="11">
        <f>IFERROR(O235/K235,0)</f>
        <v/>
      </c>
    </row>
    <row r="236">
      <c r="A236" s="9" t="inlineStr">
        <is>
          <t>T0235</t>
        </is>
      </c>
      <c r="B236" s="9" t="inlineStr">
        <is>
          <t>Summit Mutual</t>
        </is>
      </c>
      <c r="C236" s="9" t="inlineStr">
        <is>
          <t>Specialty</t>
        </is>
      </c>
      <c r="D236" s="9" t="inlineStr">
        <is>
          <t>Middle East &amp; Africa</t>
        </is>
      </c>
      <c r="E236" s="9" t="inlineStr">
        <is>
          <t>Hannah Weber</t>
        </is>
      </c>
      <c r="F236" s="9" t="inlineStr">
        <is>
          <t>Excess of Loss</t>
        </is>
      </c>
      <c r="G236" s="9" t="n">
        <v>2022</v>
      </c>
      <c r="H236" s="12" t="n">
        <v>5000000</v>
      </c>
      <c r="I236" s="12" t="n">
        <v>834826.3200000001</v>
      </c>
      <c r="J236" s="12" t="n">
        <v>97497.36</v>
      </c>
      <c r="K236" s="12" t="n">
        <v>834826.3200000001</v>
      </c>
      <c r="L236" s="12" t="n">
        <v>51339.96</v>
      </c>
      <c r="M236" s="9" t="n">
        <v>5</v>
      </c>
      <c r="N236" s="12" t="n">
        <v>246679.89</v>
      </c>
      <c r="O236" s="12" t="n">
        <v>246679.89</v>
      </c>
      <c r="P236" s="12" t="n">
        <v>5000000</v>
      </c>
      <c r="Q236" s="9" t="inlineStr">
        <is>
          <t>Low</t>
        </is>
      </c>
      <c r="R236" s="11">
        <f>IFERROR(O236/K236,0)</f>
        <v/>
      </c>
    </row>
    <row r="237">
      <c r="A237" s="9" t="inlineStr">
        <is>
          <t>T0236</t>
        </is>
      </c>
      <c r="B237" s="9" t="inlineStr">
        <is>
          <t>Orion General</t>
        </is>
      </c>
      <c r="C237" s="9" t="inlineStr">
        <is>
          <t>Casualty</t>
        </is>
      </c>
      <c r="D237" s="9" t="inlineStr">
        <is>
          <t>North America</t>
        </is>
      </c>
      <c r="E237" s="9" t="inlineStr">
        <is>
          <t>Omar Haddad</t>
        </is>
      </c>
      <c r="F237" s="9" t="inlineStr">
        <is>
          <t>Facultative</t>
        </is>
      </c>
      <c r="G237" s="9" t="n">
        <v>2023</v>
      </c>
      <c r="H237" s="12" t="n">
        <v>5100000</v>
      </c>
      <c r="I237" s="12" t="n">
        <v>664860.36</v>
      </c>
      <c r="J237" s="12" t="n">
        <v>74171.64</v>
      </c>
      <c r="K237" s="12" t="n">
        <v>664860.36</v>
      </c>
      <c r="L237" s="12" t="n">
        <v>118219.44</v>
      </c>
      <c r="M237" s="9" t="n">
        <v>15</v>
      </c>
      <c r="N237" s="12" t="n">
        <v>318343.25</v>
      </c>
      <c r="O237" s="12" t="n">
        <v>332928.68</v>
      </c>
      <c r="P237" s="12" t="n">
        <v>5100000</v>
      </c>
      <c r="Q237" s="9" t="inlineStr">
        <is>
          <t>Low</t>
        </is>
      </c>
      <c r="R237" s="11">
        <f>IFERROR(O237/K237,0)</f>
        <v/>
      </c>
    </row>
    <row r="238">
      <c r="A238" s="9" t="inlineStr">
        <is>
          <t>T0237</t>
        </is>
      </c>
      <c r="B238" s="9" t="inlineStr">
        <is>
          <t>Summit General</t>
        </is>
      </c>
      <c r="C238" s="9" t="inlineStr">
        <is>
          <t>Financial Lines</t>
        </is>
      </c>
      <c r="D238" s="9" t="inlineStr">
        <is>
          <t>North America</t>
        </is>
      </c>
      <c r="E238" s="9" t="inlineStr">
        <is>
          <t>Aarav Mehta</t>
        </is>
      </c>
      <c r="F238" s="9" t="inlineStr">
        <is>
          <t>Proportional</t>
        </is>
      </c>
      <c r="G238" s="9" t="n">
        <v>2024</v>
      </c>
      <c r="H238" s="12" t="n">
        <v>29200000</v>
      </c>
      <c r="I238" s="12" t="n">
        <v>2385754.44</v>
      </c>
      <c r="J238" s="12" t="n">
        <v>235541.16</v>
      </c>
      <c r="K238" s="12" t="n">
        <v>2385754.44</v>
      </c>
      <c r="L238" s="12" t="n">
        <v>549065.88</v>
      </c>
      <c r="M238" s="9" t="n">
        <v>5</v>
      </c>
      <c r="N238" s="12" t="n">
        <v>1290974.61</v>
      </c>
      <c r="O238" s="12" t="n">
        <v>1318035.11</v>
      </c>
      <c r="P238" s="12" t="n">
        <v>4380000</v>
      </c>
      <c r="Q238" s="9" t="inlineStr">
        <is>
          <t>Low</t>
        </is>
      </c>
      <c r="R238" s="11">
        <f>IFERROR(O238/K238,0)</f>
        <v/>
      </c>
    </row>
    <row r="239">
      <c r="A239" s="9" t="inlineStr">
        <is>
          <t>T0238</t>
        </is>
      </c>
      <c r="B239" s="9" t="inlineStr">
        <is>
          <t>Atlas Indemnity</t>
        </is>
      </c>
      <c r="C239" s="9" t="inlineStr">
        <is>
          <t>Casualty</t>
        </is>
      </c>
      <c r="D239" s="9" t="inlineStr">
        <is>
          <t>North America</t>
        </is>
      </c>
      <c r="E239" s="9" t="inlineStr">
        <is>
          <t>Kenji Sato</t>
        </is>
      </c>
      <c r="F239" s="9" t="inlineStr">
        <is>
          <t>Proportional</t>
        </is>
      </c>
      <c r="G239" s="9" t="n">
        <v>2023</v>
      </c>
      <c r="H239" s="12" t="n">
        <v>5700000</v>
      </c>
      <c r="I239" s="12" t="n">
        <v>418000.92</v>
      </c>
      <c r="J239" s="12" t="n">
        <v>41672.52</v>
      </c>
      <c r="K239" s="12" t="n">
        <v>418000.92</v>
      </c>
      <c r="L239" s="12" t="n">
        <v>97819.68000000002</v>
      </c>
      <c r="M239" s="9" t="n">
        <v>13</v>
      </c>
      <c r="N239" s="12" t="n">
        <v>171535.89</v>
      </c>
      <c r="O239" s="12" t="n">
        <v>173952.08</v>
      </c>
      <c r="P239" s="12" t="n">
        <v>2850000</v>
      </c>
      <c r="Q239" s="9" t="inlineStr">
        <is>
          <t>Low</t>
        </is>
      </c>
      <c r="R239" s="11">
        <f>IFERROR(O239/K239,0)</f>
        <v/>
      </c>
    </row>
    <row r="240">
      <c r="A240" s="9" t="inlineStr">
        <is>
          <t>T0239</t>
        </is>
      </c>
      <c r="B240" s="9" t="inlineStr">
        <is>
          <t>Evergreen General</t>
        </is>
      </c>
      <c r="C240" s="9" t="inlineStr">
        <is>
          <t>Professional</t>
        </is>
      </c>
      <c r="D240" s="9" t="inlineStr">
        <is>
          <t>North America</t>
        </is>
      </c>
      <c r="E240" s="9" t="inlineStr">
        <is>
          <t>Kenji Sato</t>
        </is>
      </c>
      <c r="F240" s="9" t="inlineStr">
        <is>
          <t>Proportional</t>
        </is>
      </c>
      <c r="G240" s="9" t="n">
        <v>2024</v>
      </c>
      <c r="H240" s="12" t="n">
        <v>39300000</v>
      </c>
      <c r="I240" s="12" t="n">
        <v>3579750.12</v>
      </c>
      <c r="J240" s="12" t="n">
        <v>336472.8</v>
      </c>
      <c r="K240" s="12" t="n">
        <v>3579750.12</v>
      </c>
      <c r="L240" s="12" t="n">
        <v>799576.5600000001</v>
      </c>
      <c r="M240" s="9" t="n">
        <v>13</v>
      </c>
      <c r="N240" s="12" t="n">
        <v>1014213.49</v>
      </c>
      <c r="O240" s="12" t="n">
        <v>1032502.53</v>
      </c>
      <c r="P240" s="12" t="n">
        <v>9825000</v>
      </c>
      <c r="Q240" s="9" t="inlineStr">
        <is>
          <t>Low</t>
        </is>
      </c>
      <c r="R240" s="11">
        <f>IFERROR(O240/K240,0)</f>
        <v/>
      </c>
    </row>
    <row r="241">
      <c r="A241" s="9" t="inlineStr">
        <is>
          <t>T0240</t>
        </is>
      </c>
      <c r="B241" s="9" t="inlineStr">
        <is>
          <t>Pioneer Insurance</t>
        </is>
      </c>
      <c r="C241" s="9" t="inlineStr">
        <is>
          <t>Property</t>
        </is>
      </c>
      <c r="D241" s="9" t="inlineStr">
        <is>
          <t>Europe</t>
        </is>
      </c>
      <c r="E241" s="9" t="inlineStr">
        <is>
          <t>Omar Haddad</t>
        </is>
      </c>
      <c r="F241" s="9" t="inlineStr">
        <is>
          <t>Excess of Loss</t>
        </is>
      </c>
      <c r="G241" s="9" t="n">
        <v>2023</v>
      </c>
      <c r="H241" s="12" t="n">
        <v>21200000.0004</v>
      </c>
      <c r="I241" s="12" t="n">
        <v>2081006.5104</v>
      </c>
      <c r="J241" s="12" t="n">
        <v>173858.9184</v>
      </c>
      <c r="K241" s="12" t="n">
        <v>2081006.5104</v>
      </c>
      <c r="L241" s="12" t="n">
        <v>244811.2896</v>
      </c>
      <c r="M241" s="9" t="n">
        <v>6</v>
      </c>
      <c r="N241" s="12" t="n">
        <v>596302.8516000001</v>
      </c>
      <c r="O241" s="12" t="n">
        <v>1120724.6508</v>
      </c>
      <c r="P241" s="12" t="n">
        <v>21200000.0004</v>
      </c>
      <c r="Q241" s="9" t="inlineStr">
        <is>
          <t>Low</t>
        </is>
      </c>
      <c r="R241" s="11">
        <f>IFERROR(O241/K241,0)</f>
        <v/>
      </c>
    </row>
    <row r="242">
      <c r="A242" s="9" t="inlineStr">
        <is>
          <t>T0241</t>
        </is>
      </c>
      <c r="B242" s="9" t="inlineStr">
        <is>
          <t>Summit Indemnity</t>
        </is>
      </c>
      <c r="C242" s="9" t="inlineStr">
        <is>
          <t>Financial Lines</t>
        </is>
      </c>
      <c r="D242" s="9" t="inlineStr">
        <is>
          <t>Asia Pacific</t>
        </is>
      </c>
      <c r="E242" s="9" t="inlineStr">
        <is>
          <t>James Whitfield</t>
        </is>
      </c>
      <c r="F242" s="9" t="inlineStr">
        <is>
          <t>Facultative</t>
        </is>
      </c>
      <c r="G242" s="9" t="n">
        <v>2023</v>
      </c>
      <c r="H242" s="12" t="n">
        <v>15200000</v>
      </c>
      <c r="I242" s="12" t="n">
        <v>1327287.72</v>
      </c>
      <c r="J242" s="12" t="n">
        <v>153085.68</v>
      </c>
      <c r="K242" s="12" t="n">
        <v>1327287.72</v>
      </c>
      <c r="L242" s="12" t="n">
        <v>203200.2</v>
      </c>
      <c r="M242" s="9" t="n">
        <v>10</v>
      </c>
      <c r="N242" s="12" t="n">
        <v>828656.58</v>
      </c>
      <c r="O242" s="12" t="n">
        <v>828656.58</v>
      </c>
      <c r="P242" s="12" t="n">
        <v>15200000</v>
      </c>
      <c r="Q242" s="9" t="inlineStr">
        <is>
          <t>Low</t>
        </is>
      </c>
      <c r="R242" s="11">
        <f>IFERROR(O242/K242,0)</f>
        <v/>
      </c>
    </row>
    <row r="243">
      <c r="A243" s="9" t="inlineStr">
        <is>
          <t>T0242</t>
        </is>
      </c>
      <c r="B243" s="9" t="inlineStr">
        <is>
          <t>Harbor General</t>
        </is>
      </c>
      <c r="C243" s="9" t="inlineStr">
        <is>
          <t>Specialty</t>
        </is>
      </c>
      <c r="D243" s="9" t="inlineStr">
        <is>
          <t>North America</t>
        </is>
      </c>
      <c r="E243" s="9" t="inlineStr">
        <is>
          <t>Hannah Weber</t>
        </is>
      </c>
      <c r="F243" s="9" t="inlineStr">
        <is>
          <t>Proportional</t>
        </is>
      </c>
      <c r="G243" s="9" t="n">
        <v>2024</v>
      </c>
      <c r="H243" s="12" t="n">
        <v>15600000</v>
      </c>
      <c r="I243" s="12" t="n">
        <v>2628890.04</v>
      </c>
      <c r="J243" s="12" t="n">
        <v>261673.56</v>
      </c>
      <c r="K243" s="12" t="n">
        <v>2628890.04</v>
      </c>
      <c r="L243" s="12" t="n">
        <v>600847.92</v>
      </c>
      <c r="M243" s="9" t="n">
        <v>9</v>
      </c>
      <c r="N243" s="12" t="n">
        <v>2456420.92</v>
      </c>
      <c r="O243" s="12" t="n">
        <v>2456420.92</v>
      </c>
      <c r="P243" s="12" t="n">
        <v>2340000</v>
      </c>
      <c r="Q243" s="9" t="inlineStr">
        <is>
          <t>Low</t>
        </is>
      </c>
      <c r="R243" s="11">
        <f>IFERROR(O243/K243,0)</f>
        <v/>
      </c>
    </row>
    <row r="244">
      <c r="A244" s="9" t="inlineStr">
        <is>
          <t>T0243</t>
        </is>
      </c>
      <c r="B244" s="9" t="inlineStr">
        <is>
          <t>Orion Assurance</t>
        </is>
      </c>
      <c r="C244" s="9" t="inlineStr">
        <is>
          <t>Specialty</t>
        </is>
      </c>
      <c r="D244" s="9" t="inlineStr">
        <is>
          <t>North America</t>
        </is>
      </c>
      <c r="E244" s="9" t="inlineStr">
        <is>
          <t>Priya Nair</t>
        </is>
      </c>
      <c r="F244" s="9" t="inlineStr">
        <is>
          <t>Excess of Loss</t>
        </is>
      </c>
      <c r="G244" s="9" t="n">
        <v>2025</v>
      </c>
      <c r="H244" s="12" t="n">
        <v>26100000</v>
      </c>
      <c r="I244" s="12" t="n">
        <v>3099128.7</v>
      </c>
      <c r="J244" s="12" t="n">
        <v>234505.3</v>
      </c>
      <c r="K244" s="12" t="n">
        <v>3037146.13</v>
      </c>
      <c r="L244" s="12" t="n">
        <v>157427.7882073365</v>
      </c>
      <c r="M244" s="9" t="n">
        <v>8</v>
      </c>
      <c r="N244" s="12" t="n">
        <v>550924.23</v>
      </c>
      <c r="O244" s="12" t="n">
        <v>1406898.41</v>
      </c>
      <c r="P244" s="12" t="n">
        <v>26100000</v>
      </c>
      <c r="Q244" s="9" t="inlineStr">
        <is>
          <t>Low</t>
        </is>
      </c>
      <c r="R244" s="11">
        <f>IFERROR(O244/K244,0)</f>
        <v/>
      </c>
    </row>
    <row r="245">
      <c r="A245" s="9" t="inlineStr">
        <is>
          <t>T0244</t>
        </is>
      </c>
      <c r="B245" s="9" t="inlineStr">
        <is>
          <t>Lumen Insurance</t>
        </is>
      </c>
      <c r="C245" s="9" t="inlineStr">
        <is>
          <t>Casualty</t>
        </is>
      </c>
      <c r="D245" s="9" t="inlineStr">
        <is>
          <t>North America</t>
        </is>
      </c>
      <c r="E245" s="9" t="inlineStr">
        <is>
          <t>Kenji Sato</t>
        </is>
      </c>
      <c r="F245" s="9" t="inlineStr">
        <is>
          <t>Proportional</t>
        </is>
      </c>
      <c r="G245" s="9" t="n">
        <v>2025</v>
      </c>
      <c r="H245" s="12" t="n">
        <v>23000000</v>
      </c>
      <c r="I245" s="12" t="n">
        <v>1854126.72</v>
      </c>
      <c r="J245" s="12" t="n">
        <v>169233.12</v>
      </c>
      <c r="K245" s="12" t="n">
        <v>1745969.33</v>
      </c>
      <c r="L245" s="12" t="n">
        <v>411629.9594715203</v>
      </c>
      <c r="M245" s="9" t="n">
        <v>10</v>
      </c>
      <c r="N245" s="12" t="n">
        <v>1345014.24</v>
      </c>
      <c r="O245" s="12" t="n">
        <v>1950845.82</v>
      </c>
      <c r="P245" s="12" t="n">
        <v>4600000</v>
      </c>
      <c r="Q245" s="9" t="inlineStr">
        <is>
          <t>Low</t>
        </is>
      </c>
      <c r="R245" s="11">
        <f>IFERROR(O245/K245,0)</f>
        <v/>
      </c>
    </row>
    <row r="246">
      <c r="A246" s="9" t="inlineStr">
        <is>
          <t>T0245</t>
        </is>
      </c>
      <c r="B246" s="9" t="inlineStr">
        <is>
          <t>Vantage Assurance</t>
        </is>
      </c>
      <c r="C246" s="9" t="inlineStr">
        <is>
          <t>Casualty</t>
        </is>
      </c>
      <c r="D246" s="9" t="inlineStr">
        <is>
          <t>Europe</t>
        </is>
      </c>
      <c r="E246" s="9" t="inlineStr">
        <is>
          <t>James Whitfield</t>
        </is>
      </c>
      <c r="F246" s="9" t="inlineStr">
        <is>
          <t>Proportional</t>
        </is>
      </c>
      <c r="G246" s="9" t="n">
        <v>2021</v>
      </c>
      <c r="H246" s="12" t="n">
        <v>2600000.0028</v>
      </c>
      <c r="I246" s="12" t="n">
        <v>274495.2624</v>
      </c>
      <c r="J246" s="12" t="n">
        <v>26540.2656</v>
      </c>
      <c r="K246" s="12" t="n">
        <v>274495.2624</v>
      </c>
      <c r="L246" s="12" t="n">
        <v>70169.71680000001</v>
      </c>
      <c r="M246" s="9" t="n">
        <v>6</v>
      </c>
      <c r="N246" s="12" t="n">
        <v>254769.4512</v>
      </c>
      <c r="O246" s="12" t="n">
        <v>254769.4512</v>
      </c>
      <c r="P246" s="12" t="n">
        <v>259999.9992</v>
      </c>
      <c r="Q246" s="9" t="inlineStr">
        <is>
          <t>Low</t>
        </is>
      </c>
      <c r="R246" s="11">
        <f>IFERROR(O246/K246,0)</f>
        <v/>
      </c>
    </row>
    <row r="247">
      <c r="A247" s="9" t="inlineStr">
        <is>
          <t>T0246</t>
        </is>
      </c>
      <c r="B247" s="9" t="inlineStr">
        <is>
          <t>Granite Indemnity</t>
        </is>
      </c>
      <c r="C247" s="9" t="inlineStr">
        <is>
          <t>Casualty</t>
        </is>
      </c>
      <c r="D247" s="9" t="inlineStr">
        <is>
          <t>Europe</t>
        </is>
      </c>
      <c r="E247" s="9" t="inlineStr">
        <is>
          <t>Carlos Ibarra</t>
        </is>
      </c>
      <c r="F247" s="9" t="inlineStr">
        <is>
          <t>Proportional</t>
        </is>
      </c>
      <c r="G247" s="9" t="n">
        <v>2024</v>
      </c>
      <c r="H247" s="12" t="n">
        <v>39200000.004</v>
      </c>
      <c r="I247" s="12" t="n">
        <v>3485952.806400001</v>
      </c>
      <c r="J247" s="12" t="n">
        <v>382971.888</v>
      </c>
      <c r="K247" s="12" t="n">
        <v>3485952.806400001</v>
      </c>
      <c r="L247" s="12" t="n">
        <v>992593.9583999999</v>
      </c>
      <c r="M247" s="9" t="n">
        <v>5</v>
      </c>
      <c r="N247" s="12" t="n">
        <v>1911034.0476</v>
      </c>
      <c r="O247" s="12" t="n">
        <v>2301403.3524</v>
      </c>
      <c r="P247" s="12" t="n">
        <v>11760000.0012</v>
      </c>
      <c r="Q247" s="9" t="inlineStr">
        <is>
          <t>Low</t>
        </is>
      </c>
      <c r="R247" s="11">
        <f>IFERROR(O247/K247,0)</f>
        <v/>
      </c>
    </row>
    <row r="248">
      <c r="A248" s="9" t="inlineStr">
        <is>
          <t>T0247</t>
        </is>
      </c>
      <c r="B248" s="9" t="inlineStr">
        <is>
          <t>Sterling Mutual</t>
        </is>
      </c>
      <c r="C248" s="9" t="inlineStr">
        <is>
          <t>Unmapped</t>
        </is>
      </c>
      <c r="D248" s="9" t="inlineStr">
        <is>
          <t>Europe</t>
        </is>
      </c>
      <c r="E248" s="9" t="inlineStr">
        <is>
          <t>Hannah Weber</t>
        </is>
      </c>
      <c r="F248" s="9" t="inlineStr">
        <is>
          <t>Facultative</t>
        </is>
      </c>
      <c r="G248" s="9" t="n">
        <v>2023</v>
      </c>
      <c r="H248" s="12" t="n">
        <v>14499999.9941</v>
      </c>
      <c r="I248" s="12" t="n">
        <v>1592463.1092</v>
      </c>
      <c r="J248" s="12" t="n">
        <v>102216.204</v>
      </c>
      <c r="K248" s="12" t="n">
        <v>1592463.1092</v>
      </c>
      <c r="L248" s="12" t="n">
        <v>261700.9752</v>
      </c>
      <c r="M248" s="9" t="n">
        <v>10</v>
      </c>
      <c r="N248" s="12" t="n">
        <v>1179582.4135</v>
      </c>
      <c r="O248" s="12" t="n">
        <v>1288611.6976</v>
      </c>
      <c r="P248" s="12" t="n">
        <v>14499999.9941</v>
      </c>
      <c r="Q248" s="9" t="inlineStr">
        <is>
          <t>Low</t>
        </is>
      </c>
      <c r="R248" s="11">
        <f>IFERROR(O248/K248,0)</f>
        <v/>
      </c>
    </row>
    <row r="249">
      <c r="A249" s="9" t="inlineStr">
        <is>
          <t>T0248</t>
        </is>
      </c>
      <c r="B249" s="9" t="inlineStr">
        <is>
          <t>Evergreen General</t>
        </is>
      </c>
      <c r="C249" s="9" t="inlineStr">
        <is>
          <t>Specialty</t>
        </is>
      </c>
      <c r="D249" s="9" t="inlineStr">
        <is>
          <t>North America</t>
        </is>
      </c>
      <c r="E249" s="9" t="inlineStr">
        <is>
          <t>Sophie Laurent</t>
        </is>
      </c>
      <c r="F249" s="9" t="inlineStr">
        <is>
          <t>Proportional</t>
        </is>
      </c>
      <c r="G249" s="9" t="n">
        <v>2026</v>
      </c>
      <c r="H249" s="12" t="n">
        <v>27400000</v>
      </c>
      <c r="I249" s="12" t="n">
        <v>1011541.5</v>
      </c>
      <c r="J249" s="12" t="n">
        <v>55872.2</v>
      </c>
      <c r="K249" s="12" t="n">
        <v>903643.74</v>
      </c>
      <c r="L249" s="12" t="n">
        <v>286826.4193333333</v>
      </c>
      <c r="M249" s="9" t="n">
        <v>5</v>
      </c>
      <c r="N249" s="12" t="n">
        <v>46321.56</v>
      </c>
      <c r="O249" s="12" t="n">
        <v>278052.38</v>
      </c>
      <c r="P249" s="12" t="n">
        <v>13700000</v>
      </c>
      <c r="Q249" s="9" t="inlineStr">
        <is>
          <t>Low</t>
        </is>
      </c>
      <c r="R249" s="11">
        <f>IFERROR(O249/K249,0)</f>
        <v/>
      </c>
    </row>
    <row r="250">
      <c r="A250" s="9" t="inlineStr">
        <is>
          <t>T0249</t>
        </is>
      </c>
      <c r="B250" s="9" t="inlineStr">
        <is>
          <t>Crown General</t>
        </is>
      </c>
      <c r="C250" s="9" t="inlineStr">
        <is>
          <t>Specialty</t>
        </is>
      </c>
      <c r="D250" s="9" t="inlineStr">
        <is>
          <t>North America</t>
        </is>
      </c>
      <c r="E250" s="9" t="inlineStr">
        <is>
          <t>Aarav Mehta</t>
        </is>
      </c>
      <c r="F250" s="9" t="inlineStr">
        <is>
          <t>Excess of Loss</t>
        </is>
      </c>
      <c r="G250" s="9" t="n">
        <v>2024</v>
      </c>
      <c r="H250" s="12" t="n">
        <v>39900000</v>
      </c>
      <c r="I250" s="12" t="n">
        <v>3034535.88</v>
      </c>
      <c r="J250" s="12" t="n">
        <v>259204.8</v>
      </c>
      <c r="K250" s="12" t="n">
        <v>3034535.88</v>
      </c>
      <c r="L250" s="12" t="n">
        <v>261312.72</v>
      </c>
      <c r="M250" s="9" t="n">
        <v>9</v>
      </c>
      <c r="N250" s="12" t="n">
        <v>2029210.31</v>
      </c>
      <c r="O250" s="12" t="n">
        <v>2525224.34</v>
      </c>
      <c r="P250" s="12" t="n">
        <v>39900000</v>
      </c>
      <c r="Q250" s="9" t="inlineStr">
        <is>
          <t>Low</t>
        </is>
      </c>
      <c r="R250" s="11">
        <f>IFERROR(O250/K250,0)</f>
        <v/>
      </c>
    </row>
    <row r="251">
      <c r="A251" s="9" t="inlineStr">
        <is>
          <t>T0250</t>
        </is>
      </c>
      <c r="B251" s="9" t="inlineStr">
        <is>
          <t>Pioneer Assurance</t>
        </is>
      </c>
      <c r="C251" s="9" t="inlineStr">
        <is>
          <t>Specialty</t>
        </is>
      </c>
      <c r="D251" s="9" t="inlineStr">
        <is>
          <t>Europe</t>
        </is>
      </c>
      <c r="E251" s="9" t="inlineStr">
        <is>
          <t>James Whitfield</t>
        </is>
      </c>
      <c r="F251" s="9" t="inlineStr">
        <is>
          <t>Proportional</t>
        </is>
      </c>
      <c r="G251" s="9" t="n">
        <v>2022</v>
      </c>
      <c r="H251" s="12" t="n">
        <v>8000000.002800001</v>
      </c>
      <c r="I251" s="12" t="n">
        <v>1135044.7056</v>
      </c>
      <c r="J251" s="12" t="n">
        <v>83946.58560000001</v>
      </c>
      <c r="K251" s="12" t="n">
        <v>1135044.7056</v>
      </c>
      <c r="L251" s="12" t="n">
        <v>320086.2096000001</v>
      </c>
      <c r="M251" s="9" t="n">
        <v>9</v>
      </c>
      <c r="N251" s="12" t="n">
        <v>299593.1772</v>
      </c>
      <c r="O251" s="12" t="n">
        <v>299593.1772</v>
      </c>
      <c r="P251" s="12" t="n">
        <v>1999999.998</v>
      </c>
      <c r="Q251" s="9" t="inlineStr">
        <is>
          <t>Low</t>
        </is>
      </c>
      <c r="R251" s="11">
        <f>IFERROR(O251/K251,0)</f>
        <v/>
      </c>
    </row>
    <row r="252">
      <c r="A252" s="9" t="inlineStr">
        <is>
          <t>T0251</t>
        </is>
      </c>
      <c r="B252" s="9" t="inlineStr">
        <is>
          <t>Cobalt Assurance</t>
        </is>
      </c>
      <c r="C252" s="9" t="inlineStr">
        <is>
          <t>Casualty</t>
        </is>
      </c>
      <c r="D252" s="9" t="inlineStr">
        <is>
          <t>Europe</t>
        </is>
      </c>
      <c r="E252" s="9" t="inlineStr">
        <is>
          <t>Omar Haddad</t>
        </is>
      </c>
      <c r="F252" s="9" t="inlineStr">
        <is>
          <t>Proportional</t>
        </is>
      </c>
      <c r="G252" s="9" t="n">
        <v>2022</v>
      </c>
      <c r="H252" s="12" t="n">
        <v>29499999.9948</v>
      </c>
      <c r="I252" s="12" t="n">
        <v>2214177.768</v>
      </c>
      <c r="J252" s="12" t="n">
        <v>149131.7568</v>
      </c>
      <c r="K252" s="12" t="n">
        <v>2214177.768</v>
      </c>
      <c r="L252" s="12" t="n">
        <v>669038.8752000001</v>
      </c>
      <c r="M252" s="9" t="n">
        <v>7</v>
      </c>
      <c r="N252" s="12" t="n">
        <v>721522.782</v>
      </c>
      <c r="O252" s="12" t="n">
        <v>780414.2208</v>
      </c>
      <c r="P252" s="12" t="n">
        <v>14750000.0028</v>
      </c>
      <c r="Q252" s="9" t="inlineStr">
        <is>
          <t>Low</t>
        </is>
      </c>
      <c r="R252" s="11">
        <f>IFERROR(O252/K252,0)</f>
        <v/>
      </c>
    </row>
    <row r="253">
      <c r="A253" s="9" t="inlineStr">
        <is>
          <t>T0252</t>
        </is>
      </c>
      <c r="B253" s="9" t="inlineStr">
        <is>
          <t>Atlas Indemnity</t>
        </is>
      </c>
      <c r="C253" s="9" t="inlineStr">
        <is>
          <t>Specialty</t>
        </is>
      </c>
      <c r="D253" s="9" t="inlineStr">
        <is>
          <t>North America</t>
        </is>
      </c>
      <c r="E253" s="9" t="inlineStr">
        <is>
          <t>James Whitfield</t>
        </is>
      </c>
      <c r="F253" s="9" t="inlineStr">
        <is>
          <t>Excess of Loss</t>
        </is>
      </c>
      <c r="G253" s="9" t="n">
        <v>2023</v>
      </c>
      <c r="H253" s="12" t="n">
        <v>9800000</v>
      </c>
      <c r="I253" s="12" t="n">
        <v>1334983.08</v>
      </c>
      <c r="J253" s="12" t="n">
        <v>98210.64</v>
      </c>
      <c r="K253" s="12" t="n">
        <v>1334983.08</v>
      </c>
      <c r="L253" s="12" t="n">
        <v>100798.32</v>
      </c>
      <c r="M253" s="9" t="n">
        <v>9</v>
      </c>
      <c r="N253" s="12" t="n">
        <v>863167.33</v>
      </c>
      <c r="O253" s="12" t="n">
        <v>937317.64</v>
      </c>
      <c r="P253" s="12" t="n">
        <v>9800000</v>
      </c>
      <c r="Q253" s="9" t="inlineStr">
        <is>
          <t>Low</t>
        </is>
      </c>
      <c r="R253" s="11">
        <f>IFERROR(O253/K253,0)</f>
        <v/>
      </c>
    </row>
    <row r="254">
      <c r="A254" s="9" t="inlineStr">
        <is>
          <t>T0253</t>
        </is>
      </c>
      <c r="B254" s="9" t="inlineStr">
        <is>
          <t>Evergreen General</t>
        </is>
      </c>
      <c r="C254" s="9" t="inlineStr">
        <is>
          <t>Professional</t>
        </is>
      </c>
      <c r="D254" s="9" t="inlineStr">
        <is>
          <t>North America</t>
        </is>
      </c>
      <c r="E254" s="9" t="inlineStr">
        <is>
          <t>Kenji Sato</t>
        </is>
      </c>
      <c r="F254" s="9" t="inlineStr">
        <is>
          <t>Excess of Loss</t>
        </is>
      </c>
      <c r="G254" s="9" t="n">
        <v>2023</v>
      </c>
      <c r="H254" s="12" t="n">
        <v>2000000</v>
      </c>
      <c r="I254" s="12" t="n">
        <v>398856.12</v>
      </c>
      <c r="J254" s="12" t="n">
        <v>45135</v>
      </c>
      <c r="K254" s="12" t="n">
        <v>398856.12</v>
      </c>
      <c r="L254" s="12" t="n">
        <v>41784.12</v>
      </c>
      <c r="M254" s="9" t="n">
        <v>14</v>
      </c>
      <c r="N254" s="12" t="n">
        <v>290686.55</v>
      </c>
      <c r="O254" s="12" t="n">
        <v>326686.96</v>
      </c>
      <c r="P254" s="12" t="n">
        <v>2000000</v>
      </c>
      <c r="Q254" s="9" t="inlineStr">
        <is>
          <t>Low</t>
        </is>
      </c>
      <c r="R254" s="11">
        <f>IFERROR(O254/K254,0)</f>
        <v/>
      </c>
    </row>
    <row r="255">
      <c r="A255" s="9" t="inlineStr">
        <is>
          <t>T0254</t>
        </is>
      </c>
      <c r="B255" s="9" t="inlineStr">
        <is>
          <t>Granite General</t>
        </is>
      </c>
      <c r="C255" s="9" t="inlineStr">
        <is>
          <t>Professional</t>
        </is>
      </c>
      <c r="D255" s="9" t="inlineStr">
        <is>
          <t>Asia Pacific</t>
        </is>
      </c>
      <c r="E255" s="9" t="inlineStr">
        <is>
          <t>Kenji Sato</t>
        </is>
      </c>
      <c r="F255" s="9" t="inlineStr">
        <is>
          <t>Proportional</t>
        </is>
      </c>
      <c r="G255" s="9" t="n">
        <v>2023</v>
      </c>
      <c r="H255" s="12" t="n">
        <v>15500000</v>
      </c>
      <c r="I255" s="12" t="n">
        <v>1315235.04</v>
      </c>
      <c r="J255" s="12" t="n">
        <v>106198.44</v>
      </c>
      <c r="K255" s="12" t="n">
        <v>1315235.04</v>
      </c>
      <c r="L255" s="12" t="n">
        <v>393652.5599999999</v>
      </c>
      <c r="M255" s="9" t="n">
        <v>9</v>
      </c>
      <c r="N255" s="12" t="n">
        <v>856794.14</v>
      </c>
      <c r="O255" s="12" t="n">
        <v>856794.14</v>
      </c>
      <c r="P255" s="12" t="n">
        <v>6200000</v>
      </c>
      <c r="Q255" s="9" t="inlineStr">
        <is>
          <t>Low</t>
        </is>
      </c>
      <c r="R255" s="11">
        <f>IFERROR(O255/K255,0)</f>
        <v/>
      </c>
    </row>
    <row r="256">
      <c r="A256" s="9" t="inlineStr">
        <is>
          <t>T0255</t>
        </is>
      </c>
      <c r="B256" s="9" t="inlineStr">
        <is>
          <t>Northwind General</t>
        </is>
      </c>
      <c r="C256" s="9" t="inlineStr">
        <is>
          <t>Specialty</t>
        </is>
      </c>
      <c r="D256" s="9" t="inlineStr">
        <is>
          <t>Asia Pacific</t>
        </is>
      </c>
      <c r="E256" s="9" t="inlineStr">
        <is>
          <t>James Whitfield</t>
        </is>
      </c>
      <c r="F256" s="9" t="inlineStr">
        <is>
          <t>Excess of Loss</t>
        </is>
      </c>
      <c r="G256" s="9" t="n">
        <v>2023</v>
      </c>
      <c r="H256" s="12" t="n">
        <v>8100000</v>
      </c>
      <c r="I256" s="12" t="n">
        <v>649322.8948799999</v>
      </c>
      <c r="J256" s="12" t="n">
        <v>70570.13327999999</v>
      </c>
      <c r="K256" s="12" t="n">
        <v>649322.8948799999</v>
      </c>
      <c r="L256" s="12" t="n">
        <v>58114.87632000001</v>
      </c>
      <c r="M256" s="9" t="n">
        <v>11</v>
      </c>
      <c r="N256" s="12" t="n">
        <v>372386.02668</v>
      </c>
      <c r="O256" s="12" t="n">
        <v>372386.02668</v>
      </c>
      <c r="P256" s="12" t="n">
        <v>8100000</v>
      </c>
      <c r="Q256" s="9" t="inlineStr">
        <is>
          <t>Low</t>
        </is>
      </c>
      <c r="R256" s="11">
        <f>IFERROR(O256/K256,0)</f>
        <v/>
      </c>
    </row>
    <row r="257">
      <c r="A257" s="9" t="inlineStr">
        <is>
          <t>T0256</t>
        </is>
      </c>
      <c r="B257" s="9" t="inlineStr">
        <is>
          <t>Lumen Assurance</t>
        </is>
      </c>
      <c r="C257" s="9" t="inlineStr">
        <is>
          <t>Specialty</t>
        </is>
      </c>
      <c r="D257" s="9" t="inlineStr">
        <is>
          <t>Latin America</t>
        </is>
      </c>
      <c r="E257" s="9" t="inlineStr">
        <is>
          <t>Carlos Ibarra</t>
        </is>
      </c>
      <c r="F257" s="9" t="inlineStr">
        <is>
          <t>Excess of Loss</t>
        </is>
      </c>
      <c r="G257" s="9" t="n">
        <v>2025</v>
      </c>
      <c r="H257" s="12" t="n">
        <v>7100000</v>
      </c>
      <c r="I257" s="12" t="n">
        <v>1025098.56</v>
      </c>
      <c r="J257" s="12" t="n">
        <v>60521.39999999999</v>
      </c>
      <c r="K257" s="12" t="n">
        <v>1025098.56</v>
      </c>
      <c r="L257" s="12" t="n">
        <v>51432.72</v>
      </c>
      <c r="M257" s="9" t="n">
        <v>8</v>
      </c>
      <c r="N257" s="12" t="n">
        <v>513410.56</v>
      </c>
      <c r="O257" s="12" t="n">
        <v>843134.1699999999</v>
      </c>
      <c r="P257" s="12" t="n">
        <v>7100000</v>
      </c>
      <c r="Q257" s="9" t="inlineStr">
        <is>
          <t>Low</t>
        </is>
      </c>
      <c r="R257" s="11">
        <f>IFERROR(O257/K257,0)</f>
        <v/>
      </c>
    </row>
    <row r="258">
      <c r="A258" s="9" t="inlineStr">
        <is>
          <t>T0257</t>
        </is>
      </c>
      <c r="B258" s="9" t="inlineStr">
        <is>
          <t>Crown Indemnity</t>
        </is>
      </c>
      <c r="C258" s="9" t="inlineStr">
        <is>
          <t>Professional</t>
        </is>
      </c>
      <c r="D258" s="9" t="inlineStr">
        <is>
          <t>Asia Pacific</t>
        </is>
      </c>
      <c r="E258" s="9" t="inlineStr">
        <is>
          <t>Aarav Mehta</t>
        </is>
      </c>
      <c r="F258" s="9" t="inlineStr">
        <is>
          <t>Excess of Loss</t>
        </is>
      </c>
      <c r="G258" s="9" t="n">
        <v>2025</v>
      </c>
      <c r="H258" s="12" t="n">
        <v>13500000</v>
      </c>
      <c r="I258" s="12" t="n">
        <v>1543934.28</v>
      </c>
      <c r="J258" s="12" t="n">
        <v>130862.52</v>
      </c>
      <c r="K258" s="12" t="n">
        <v>1543934.28</v>
      </c>
      <c r="L258" s="12" t="n">
        <v>146891.64</v>
      </c>
      <c r="M258" s="9" t="n">
        <v>7</v>
      </c>
      <c r="N258" s="12" t="n">
        <v>305037.47</v>
      </c>
      <c r="O258" s="12" t="n">
        <v>313710.19</v>
      </c>
      <c r="P258" s="12" t="n">
        <v>13500000</v>
      </c>
      <c r="Q258" s="9" t="inlineStr">
        <is>
          <t>Low</t>
        </is>
      </c>
      <c r="R258" s="11">
        <f>IFERROR(O258/K258,0)</f>
        <v/>
      </c>
    </row>
    <row r="259">
      <c r="A259" s="9" t="inlineStr">
        <is>
          <t>T0258</t>
        </is>
      </c>
      <c r="B259" s="9" t="inlineStr">
        <is>
          <t>Summit Mutual</t>
        </is>
      </c>
      <c r="C259" s="9" t="inlineStr">
        <is>
          <t>Specialty</t>
        </is>
      </c>
      <c r="D259" s="9" t="inlineStr">
        <is>
          <t>Middle East &amp; Africa</t>
        </is>
      </c>
      <c r="E259" s="9" t="inlineStr">
        <is>
          <t>Kenji Sato</t>
        </is>
      </c>
      <c r="F259" s="9" t="inlineStr">
        <is>
          <t>Excess of Loss</t>
        </is>
      </c>
      <c r="G259" s="9" t="n">
        <v>2022</v>
      </c>
      <c r="H259" s="12" t="n">
        <v>95900000</v>
      </c>
      <c r="I259" s="12" t="n">
        <v>6903567</v>
      </c>
      <c r="J259" s="12" t="n">
        <v>607752.72</v>
      </c>
      <c r="K259" s="12" t="n">
        <v>6903567</v>
      </c>
      <c r="L259" s="12" t="n">
        <v>710211.36</v>
      </c>
      <c r="M259" s="9" t="n">
        <v>10</v>
      </c>
      <c r="N259" s="12" t="n">
        <v>3280573.07</v>
      </c>
      <c r="O259" s="12" t="n">
        <v>3435300.52</v>
      </c>
      <c r="P259" s="12" t="n">
        <v>95900000</v>
      </c>
      <c r="Q259" s="9" t="inlineStr">
        <is>
          <t>Low</t>
        </is>
      </c>
      <c r="R259" s="11">
        <f>IFERROR(O259/K259,0)</f>
        <v/>
      </c>
    </row>
    <row r="260">
      <c r="A260" s="9" t="inlineStr">
        <is>
          <t>T0259</t>
        </is>
      </c>
      <c r="B260" s="9" t="inlineStr">
        <is>
          <t>Vantage Assurance</t>
        </is>
      </c>
      <c r="C260" s="9" t="inlineStr">
        <is>
          <t>Casualty</t>
        </is>
      </c>
      <c r="D260" s="9" t="inlineStr">
        <is>
          <t>Europe</t>
        </is>
      </c>
      <c r="E260" s="9" t="inlineStr">
        <is>
          <t>Carlos Ibarra</t>
        </is>
      </c>
      <c r="F260" s="9" t="inlineStr">
        <is>
          <t>Proportional</t>
        </is>
      </c>
      <c r="G260" s="9" t="n">
        <v>2025</v>
      </c>
      <c r="H260" s="12" t="n">
        <v>67100000.00040001</v>
      </c>
      <c r="I260" s="12" t="n">
        <v>7548836.8608</v>
      </c>
      <c r="J260" s="12" t="n">
        <v>403187.6736</v>
      </c>
      <c r="K260" s="12" t="n">
        <v>7548836.8608</v>
      </c>
      <c r="L260" s="12" t="n">
        <v>1742714.352</v>
      </c>
      <c r="M260" s="9" t="n">
        <v>4</v>
      </c>
      <c r="N260" s="12" t="n">
        <v>8044884.554400001</v>
      </c>
      <c r="O260" s="12" t="n">
        <v>9837697.633200001</v>
      </c>
      <c r="P260" s="12" t="n">
        <v>26839999.998</v>
      </c>
      <c r="Q260" s="9" t="inlineStr">
        <is>
          <t>Low</t>
        </is>
      </c>
      <c r="R260" s="11">
        <f>IFERROR(O260/K260,0)</f>
        <v/>
      </c>
    </row>
    <row r="261">
      <c r="A261" s="9" t="inlineStr">
        <is>
          <t>T0260</t>
        </is>
      </c>
      <c r="B261" s="9" t="inlineStr">
        <is>
          <t>Granite General</t>
        </is>
      </c>
      <c r="C261" s="9" t="inlineStr">
        <is>
          <t>Casualty</t>
        </is>
      </c>
      <c r="D261" s="9" t="inlineStr">
        <is>
          <t>Asia Pacific</t>
        </is>
      </c>
      <c r="E261" s="9" t="inlineStr">
        <is>
          <t>Carlos Ibarra</t>
        </is>
      </c>
      <c r="F261" s="9" t="inlineStr">
        <is>
          <t>Proportional</t>
        </is>
      </c>
      <c r="G261" s="9" t="n">
        <v>2022</v>
      </c>
      <c r="H261" s="12" t="n">
        <v>26700000</v>
      </c>
      <c r="I261" s="12" t="n">
        <v>2584452.84</v>
      </c>
      <c r="J261" s="12" t="n">
        <v>169972.56</v>
      </c>
      <c r="K261" s="12" t="n">
        <v>2584452.84</v>
      </c>
      <c r="L261" s="12" t="n">
        <v>608495.16</v>
      </c>
      <c r="M261" s="9" t="n">
        <v>8</v>
      </c>
      <c r="N261" s="12" t="n">
        <v>1828306.97</v>
      </c>
      <c r="O261" s="12" t="n">
        <v>1902927</v>
      </c>
      <c r="P261" s="12" t="n">
        <v>8010000</v>
      </c>
      <c r="Q261" s="9" t="inlineStr">
        <is>
          <t>Low</t>
        </is>
      </c>
      <c r="R261" s="11">
        <f>IFERROR(O261/K261,0)</f>
        <v/>
      </c>
    </row>
    <row r="262">
      <c r="A262" s="9" t="inlineStr">
        <is>
          <t>T0261</t>
        </is>
      </c>
      <c r="B262" s="9" t="inlineStr">
        <is>
          <t>Summit Insurance</t>
        </is>
      </c>
      <c r="C262" s="9" t="inlineStr">
        <is>
          <t>Casualty</t>
        </is>
      </c>
      <c r="D262" s="9" t="inlineStr">
        <is>
          <t>Europe</t>
        </is>
      </c>
      <c r="E262" s="9" t="inlineStr">
        <is>
          <t>Kenji Sato</t>
        </is>
      </c>
      <c r="F262" s="9" t="inlineStr">
        <is>
          <t>Proportional</t>
        </is>
      </c>
      <c r="G262" s="9" t="n">
        <v>2024</v>
      </c>
      <c r="H262" s="12" t="n">
        <v>103399999.9992</v>
      </c>
      <c r="I262" s="12" t="n">
        <v>8091244.872</v>
      </c>
      <c r="J262" s="12" t="n">
        <v>857166.3648000001</v>
      </c>
      <c r="K262" s="12" t="n">
        <v>8091244.872</v>
      </c>
      <c r="L262" s="12" t="n">
        <v>2227680.403200001</v>
      </c>
      <c r="M262" s="9" t="n">
        <v>13</v>
      </c>
      <c r="N262" s="12" t="n">
        <v>3517806.9744</v>
      </c>
      <c r="O262" s="12" t="n">
        <v>4199200.542</v>
      </c>
      <c r="P262" s="12" t="n">
        <v>15509999.9988</v>
      </c>
      <c r="Q262" s="9" t="inlineStr">
        <is>
          <t>Low</t>
        </is>
      </c>
      <c r="R262" s="11">
        <f>IFERROR(O262/K262,0)</f>
        <v/>
      </c>
    </row>
    <row r="263">
      <c r="A263" s="9" t="inlineStr">
        <is>
          <t>T0262</t>
        </is>
      </c>
      <c r="B263" s="9" t="inlineStr">
        <is>
          <t>Sterling Indemnity</t>
        </is>
      </c>
      <c r="C263" s="9" t="inlineStr">
        <is>
          <t>Financial Lines</t>
        </is>
      </c>
      <c r="D263" s="9" t="inlineStr">
        <is>
          <t>Europe</t>
        </is>
      </c>
      <c r="E263" s="9" t="inlineStr">
        <is>
          <t>Carlos Ibarra</t>
        </is>
      </c>
      <c r="F263" s="9" t="inlineStr">
        <is>
          <t>Excess of Loss</t>
        </is>
      </c>
      <c r="G263" s="9" t="n">
        <v>2024</v>
      </c>
      <c r="H263" s="12" t="n">
        <v>48399999.99480001</v>
      </c>
      <c r="I263" s="12" t="n">
        <v>3683028.9168</v>
      </c>
      <c r="J263" s="12" t="n">
        <v>308650.9536</v>
      </c>
      <c r="K263" s="12" t="n">
        <v>3683028.9168</v>
      </c>
      <c r="L263" s="12" t="n">
        <v>393543.8784</v>
      </c>
      <c r="M263" s="9" t="n">
        <v>12</v>
      </c>
      <c r="N263" s="12" t="n">
        <v>1559546.6976</v>
      </c>
      <c r="O263" s="12" t="n">
        <v>1727261.2584</v>
      </c>
      <c r="P263" s="12" t="n">
        <v>48399999.99480001</v>
      </c>
      <c r="Q263" s="9" t="inlineStr">
        <is>
          <t>Low</t>
        </is>
      </c>
      <c r="R263" s="11">
        <f>IFERROR(O263/K263,0)</f>
        <v/>
      </c>
    </row>
    <row r="264">
      <c r="A264" s="9" t="inlineStr">
        <is>
          <t>T0263</t>
        </is>
      </c>
      <c r="B264" s="9" t="inlineStr">
        <is>
          <t>Orion Mutual</t>
        </is>
      </c>
      <c r="C264" s="9" t="inlineStr">
        <is>
          <t>Property</t>
        </is>
      </c>
      <c r="D264" s="9" t="inlineStr">
        <is>
          <t>Europe</t>
        </is>
      </c>
      <c r="E264" s="9" t="inlineStr">
        <is>
          <t>Sophie Laurent</t>
        </is>
      </c>
      <c r="F264" s="9" t="inlineStr">
        <is>
          <t>Excess of Loss</t>
        </is>
      </c>
      <c r="G264" s="9" t="n">
        <v>2025</v>
      </c>
      <c r="H264" s="12" t="n">
        <v>3899999.9988</v>
      </c>
      <c r="I264" s="12" t="n">
        <v>416294.532</v>
      </c>
      <c r="J264" s="12" t="n">
        <v>22962.744</v>
      </c>
      <c r="K264" s="12" t="n">
        <v>374665.0788</v>
      </c>
      <c r="L264" s="12" t="n">
        <v>25464.942</v>
      </c>
      <c r="M264" s="9" t="n">
        <v>4</v>
      </c>
      <c r="N264" s="12" t="n">
        <v>23637.8952</v>
      </c>
      <c r="O264" s="12" t="n">
        <v>181053.5976</v>
      </c>
      <c r="P264" s="12" t="n">
        <v>3899999.9988</v>
      </c>
      <c r="Q264" s="9" t="inlineStr">
        <is>
          <t>Low</t>
        </is>
      </c>
      <c r="R264" s="11">
        <f>IFERROR(O264/K264,0)</f>
        <v/>
      </c>
    </row>
    <row r="265">
      <c r="A265" s="9" t="inlineStr">
        <is>
          <t>T0264</t>
        </is>
      </c>
      <c r="B265" s="9" t="inlineStr">
        <is>
          <t>Vantage Assurance</t>
        </is>
      </c>
      <c r="C265" s="9" t="inlineStr">
        <is>
          <t>Professional</t>
        </is>
      </c>
      <c r="D265" s="9" t="inlineStr">
        <is>
          <t>Europe</t>
        </is>
      </c>
      <c r="E265" s="9" t="inlineStr">
        <is>
          <t>Hannah Weber</t>
        </is>
      </c>
      <c r="F265" s="9" t="inlineStr">
        <is>
          <t>Excess of Loss</t>
        </is>
      </c>
      <c r="G265" s="9" t="n">
        <v>2023</v>
      </c>
      <c r="H265" s="12" t="n">
        <v>20499999.9984</v>
      </c>
      <c r="I265" s="12" t="n">
        <v>2403531.403200001</v>
      </c>
      <c r="J265" s="12" t="n">
        <v>175373.6832</v>
      </c>
      <c r="K265" s="12" t="n">
        <v>2403531.403200001</v>
      </c>
      <c r="L265" s="12" t="n">
        <v>169404.8256</v>
      </c>
      <c r="M265" s="9" t="n">
        <v>10</v>
      </c>
      <c r="N265" s="12" t="n">
        <v>2259087.0732</v>
      </c>
      <c r="O265" s="12" t="n">
        <v>2483888.8032</v>
      </c>
      <c r="P265" s="12" t="n">
        <v>20499999.9984</v>
      </c>
      <c r="Q265" s="9" t="inlineStr">
        <is>
          <t>Low</t>
        </is>
      </c>
      <c r="R265" s="11">
        <f>IFERROR(O265/K265,0)</f>
        <v/>
      </c>
    </row>
    <row r="266">
      <c r="A266" s="9" t="inlineStr">
        <is>
          <t>T0265</t>
        </is>
      </c>
      <c r="B266" s="9" t="inlineStr">
        <is>
          <t>Summit Mutual</t>
        </is>
      </c>
      <c r="C266" s="9" t="inlineStr">
        <is>
          <t>Property</t>
        </is>
      </c>
      <c r="D266" s="9" t="inlineStr">
        <is>
          <t>Middle East &amp; Africa</t>
        </is>
      </c>
      <c r="E266" s="9" t="inlineStr">
        <is>
          <t>Omar Haddad</t>
        </is>
      </c>
      <c r="F266" s="9" t="inlineStr">
        <is>
          <t>Excess of Loss</t>
        </is>
      </c>
      <c r="G266" s="9" t="n">
        <v>2021</v>
      </c>
      <c r="H266" s="12" t="n">
        <v>14400000</v>
      </c>
      <c r="I266" s="12" t="n">
        <v>1895940.6</v>
      </c>
      <c r="J266" s="12" t="n">
        <v>95328.36</v>
      </c>
      <c r="K266" s="12" t="n">
        <v>1895940.6</v>
      </c>
      <c r="L266" s="12" t="n">
        <v>124000.92</v>
      </c>
      <c r="M266" s="9" t="n">
        <v>6</v>
      </c>
      <c r="N266" s="12" t="n">
        <v>1293070.96</v>
      </c>
      <c r="O266" s="12" t="n">
        <v>1293070.96</v>
      </c>
      <c r="P266" s="12" t="n">
        <v>14400000</v>
      </c>
      <c r="Q266" s="9" t="inlineStr">
        <is>
          <t>Low</t>
        </is>
      </c>
      <c r="R266" s="11">
        <f>IFERROR(O266/K266,0)</f>
        <v/>
      </c>
    </row>
    <row r="267">
      <c r="A267" s="9" t="inlineStr">
        <is>
          <t>T0266</t>
        </is>
      </c>
      <c r="B267" s="9" t="inlineStr">
        <is>
          <t>Crown Mutual</t>
        </is>
      </c>
      <c r="C267" s="9" t="inlineStr">
        <is>
          <t>Property</t>
        </is>
      </c>
      <c r="D267" s="9" t="inlineStr">
        <is>
          <t>North America</t>
        </is>
      </c>
      <c r="E267" s="9" t="inlineStr">
        <is>
          <t>James Whitfield</t>
        </is>
      </c>
      <c r="F267" s="9" t="inlineStr">
        <is>
          <t>Proportional</t>
        </is>
      </c>
      <c r="G267" s="9" t="n">
        <v>2022</v>
      </c>
      <c r="H267" s="12" t="n">
        <v>20500000</v>
      </c>
      <c r="I267" s="12" t="n">
        <v>1941550.8</v>
      </c>
      <c r="J267" s="12" t="n">
        <v>140647.68</v>
      </c>
      <c r="K267" s="12" t="n">
        <v>1941550.8</v>
      </c>
      <c r="L267" s="12" t="n">
        <v>599989.3200000001</v>
      </c>
      <c r="M267" s="9" t="n">
        <v>4</v>
      </c>
      <c r="N267" s="12" t="n">
        <v>851742.9</v>
      </c>
      <c r="O267" s="12" t="n">
        <v>1211411.4</v>
      </c>
      <c r="P267" s="12" t="n">
        <v>3075000</v>
      </c>
      <c r="Q267" s="9" t="inlineStr">
        <is>
          <t>Low</t>
        </is>
      </c>
      <c r="R267" s="11">
        <f>IFERROR(O267/K267,0)</f>
        <v/>
      </c>
    </row>
    <row r="268">
      <c r="A268" s="9" t="inlineStr">
        <is>
          <t>T0267</t>
        </is>
      </c>
      <c r="B268" s="9" t="inlineStr">
        <is>
          <t>Evergreen Assurance</t>
        </is>
      </c>
      <c r="C268" s="9" t="inlineStr">
        <is>
          <t>Specialty</t>
        </is>
      </c>
      <c r="D268" s="9" t="inlineStr">
        <is>
          <t>North America</t>
        </is>
      </c>
      <c r="E268" s="9" t="inlineStr">
        <is>
          <t>Sophie Laurent</t>
        </is>
      </c>
      <c r="F268" s="9" t="inlineStr">
        <is>
          <t>Excess of Loss</t>
        </is>
      </c>
      <c r="G268" s="9" t="n">
        <v>2022</v>
      </c>
      <c r="H268" s="12" t="n">
        <v>32100000</v>
      </c>
      <c r="I268" s="12" t="n">
        <v>2915673.48</v>
      </c>
      <c r="J268" s="12" t="n">
        <v>167497.32</v>
      </c>
      <c r="K268" s="12" t="n">
        <v>2915673.48</v>
      </c>
      <c r="L268" s="12" t="n">
        <v>283026.72</v>
      </c>
      <c r="M268" s="9" t="n">
        <v>7</v>
      </c>
      <c r="N268" s="12" t="n">
        <v>1209070</v>
      </c>
      <c r="O268" s="12" t="n">
        <v>1246982.46</v>
      </c>
      <c r="P268" s="12" t="n">
        <v>32100000</v>
      </c>
      <c r="Q268" s="9" t="inlineStr">
        <is>
          <t>Low</t>
        </is>
      </c>
      <c r="R268" s="11">
        <f>IFERROR(O268/K268,0)</f>
        <v/>
      </c>
    </row>
    <row r="269">
      <c r="A269" s="9" t="inlineStr">
        <is>
          <t>T0268</t>
        </is>
      </c>
      <c r="B269" s="9" t="inlineStr">
        <is>
          <t>Evergreen Assurance</t>
        </is>
      </c>
      <c r="C269" s="9" t="inlineStr">
        <is>
          <t>Specialty</t>
        </is>
      </c>
      <c r="D269" s="9" t="inlineStr">
        <is>
          <t>North America</t>
        </is>
      </c>
      <c r="E269" s="9" t="inlineStr">
        <is>
          <t>Kenji Sato</t>
        </is>
      </c>
      <c r="F269" s="9" t="inlineStr">
        <is>
          <t>Proportional</t>
        </is>
      </c>
      <c r="G269" s="9" t="n">
        <v>2023</v>
      </c>
      <c r="H269" s="12" t="n">
        <v>5200000</v>
      </c>
      <c r="I269" s="12" t="n">
        <v>744676.92</v>
      </c>
      <c r="J269" s="12" t="n">
        <v>79761.12</v>
      </c>
      <c r="K269" s="12" t="n">
        <v>744676.92</v>
      </c>
      <c r="L269" s="12" t="n">
        <v>223741.56</v>
      </c>
      <c r="M269" s="9" t="n">
        <v>6</v>
      </c>
      <c r="N269" s="12" t="n">
        <v>443465.25</v>
      </c>
      <c r="O269" s="12" t="n">
        <v>703832.16</v>
      </c>
      <c r="P269" s="12" t="n">
        <v>1300000</v>
      </c>
      <c r="Q269" s="9" t="inlineStr">
        <is>
          <t>Low</t>
        </is>
      </c>
      <c r="R269" s="11">
        <f>IFERROR(O269/K269,0)</f>
        <v/>
      </c>
    </row>
    <row r="270">
      <c r="A270" s="9" t="inlineStr">
        <is>
          <t>T0269</t>
        </is>
      </c>
      <c r="B270" s="9" t="inlineStr">
        <is>
          <t>Evergreen Indemnity</t>
        </is>
      </c>
      <c r="C270" s="9" t="inlineStr">
        <is>
          <t>Property</t>
        </is>
      </c>
      <c r="D270" s="9" t="inlineStr">
        <is>
          <t>North America</t>
        </is>
      </c>
      <c r="E270" s="9" t="inlineStr">
        <is>
          <t>Kenji Sato</t>
        </is>
      </c>
      <c r="F270" s="9" t="inlineStr">
        <is>
          <t>Proportional</t>
        </is>
      </c>
      <c r="G270" s="9" t="n">
        <v>2025</v>
      </c>
      <c r="H270" s="12" t="n">
        <v>15400000</v>
      </c>
      <c r="I270" s="12" t="n">
        <v>1211766.12</v>
      </c>
      <c r="J270" s="12" t="n">
        <v>67623.24000000001</v>
      </c>
      <c r="K270" s="12" t="n">
        <v>1211766.12</v>
      </c>
      <c r="L270" s="12" t="n">
        <v>302617.92</v>
      </c>
      <c r="M270" s="9" t="n">
        <v>10</v>
      </c>
      <c r="N270" s="12" t="n">
        <v>651755.6800000001</v>
      </c>
      <c r="O270" s="12" t="n">
        <v>899062.05</v>
      </c>
      <c r="P270" s="12" t="n">
        <v>3080000</v>
      </c>
      <c r="Q270" s="9" t="inlineStr">
        <is>
          <t>Low</t>
        </is>
      </c>
      <c r="R270" s="11">
        <f>IFERROR(O270/K270,0)</f>
        <v/>
      </c>
    </row>
    <row r="271">
      <c r="A271" s="9" t="inlineStr">
        <is>
          <t>T0270</t>
        </is>
      </c>
      <c r="B271" s="9" t="inlineStr">
        <is>
          <t>Sterling Mutual</t>
        </is>
      </c>
      <c r="C271" s="9" t="inlineStr">
        <is>
          <t>Casualty</t>
        </is>
      </c>
      <c r="D271" s="9" t="inlineStr">
        <is>
          <t>Europe</t>
        </is>
      </c>
      <c r="E271" s="9" t="inlineStr">
        <is>
          <t>Omar Haddad</t>
        </is>
      </c>
      <c r="F271" s="9" t="inlineStr">
        <is>
          <t>Proportional</t>
        </is>
      </c>
      <c r="G271" s="9" t="n">
        <v>2025</v>
      </c>
      <c r="H271" s="12" t="n">
        <v>10900000.0059</v>
      </c>
      <c r="I271" s="12" t="n">
        <v>834735.6432</v>
      </c>
      <c r="J271" s="12" t="n">
        <v>49250.346</v>
      </c>
      <c r="K271" s="12" t="n">
        <v>834735.6432</v>
      </c>
      <c r="L271" s="12" t="n">
        <v>240357.9648</v>
      </c>
      <c r="M271" s="9" t="n">
        <v>9</v>
      </c>
      <c r="N271" s="12" t="n">
        <v>418959.6269</v>
      </c>
      <c r="O271" s="12" t="n">
        <v>648954.379</v>
      </c>
      <c r="P271" s="12" t="n">
        <v>5449999.9966</v>
      </c>
      <c r="Q271" s="9" t="inlineStr">
        <is>
          <t>Low</t>
        </is>
      </c>
      <c r="R271" s="11">
        <f>IFERROR(O271/K271,0)</f>
        <v/>
      </c>
    </row>
    <row r="272">
      <c r="A272" s="9" t="inlineStr">
        <is>
          <t>T0271</t>
        </is>
      </c>
      <c r="B272" s="9" t="inlineStr">
        <is>
          <t>Cobalt Mutual</t>
        </is>
      </c>
      <c r="C272" s="9" t="inlineStr">
        <is>
          <t>Specialty</t>
        </is>
      </c>
      <c r="D272" s="9" t="inlineStr">
        <is>
          <t>Europe</t>
        </is>
      </c>
      <c r="E272" s="9" t="inlineStr">
        <is>
          <t>Omar Haddad</t>
        </is>
      </c>
      <c r="F272" s="9" t="inlineStr">
        <is>
          <t>Proportional</t>
        </is>
      </c>
      <c r="G272" s="9" t="n">
        <v>2023</v>
      </c>
      <c r="H272" s="12" t="n">
        <v>20199999.996</v>
      </c>
      <c r="I272" s="12" t="n">
        <v>1663956.432</v>
      </c>
      <c r="J272" s="12" t="n">
        <v>169141.2192</v>
      </c>
      <c r="K272" s="12" t="n">
        <v>1663956.432</v>
      </c>
      <c r="L272" s="12" t="n">
        <v>512218.2096000001</v>
      </c>
      <c r="M272" s="9" t="n">
        <v>15</v>
      </c>
      <c r="N272" s="12" t="n">
        <v>902942.4564</v>
      </c>
      <c r="O272" s="12" t="n">
        <v>929656.116</v>
      </c>
      <c r="P272" s="12" t="n">
        <v>6059999.998800001</v>
      </c>
      <c r="Q272" s="9" t="inlineStr">
        <is>
          <t>Low</t>
        </is>
      </c>
      <c r="R272" s="11">
        <f>IFERROR(O272/K272,0)</f>
        <v/>
      </c>
    </row>
    <row r="273">
      <c r="A273" s="9" t="inlineStr">
        <is>
          <t>T0272</t>
        </is>
      </c>
      <c r="B273" s="9" t="inlineStr">
        <is>
          <t>Evergreen Indemnity</t>
        </is>
      </c>
      <c r="C273" s="9" t="inlineStr">
        <is>
          <t>Casualty</t>
        </is>
      </c>
      <c r="D273" s="9" t="inlineStr">
        <is>
          <t>North America</t>
        </is>
      </c>
      <c r="E273" s="9" t="inlineStr">
        <is>
          <t>James Whitfield</t>
        </is>
      </c>
      <c r="F273" s="9" t="inlineStr">
        <is>
          <t>Proportional</t>
        </is>
      </c>
      <c r="G273" s="9" t="n">
        <v>2024</v>
      </c>
      <c r="H273" s="12" t="n">
        <v>62200000</v>
      </c>
      <c r="I273" s="12" t="n">
        <v>4586650.800000001</v>
      </c>
      <c r="J273" s="12" t="n">
        <v>258953.28</v>
      </c>
      <c r="K273" s="12" t="n">
        <v>4586650.800000001</v>
      </c>
      <c r="L273" s="12" t="n">
        <v>1291204.44</v>
      </c>
      <c r="M273" s="9" t="n">
        <v>6</v>
      </c>
      <c r="N273" s="12" t="n">
        <v>7890466.21</v>
      </c>
      <c r="O273" s="12" t="n">
        <v>7890466.21</v>
      </c>
      <c r="P273" s="12" t="n">
        <v>18660000</v>
      </c>
      <c r="Q273" s="9" t="inlineStr">
        <is>
          <t>Low</t>
        </is>
      </c>
      <c r="R273" s="11">
        <f>IFERROR(O273/K273,0)</f>
        <v/>
      </c>
    </row>
    <row r="274">
      <c r="A274" s="9" t="inlineStr">
        <is>
          <t>T0273</t>
        </is>
      </c>
      <c r="B274" s="9" t="inlineStr">
        <is>
          <t>Meridian Indemnity</t>
        </is>
      </c>
      <c r="C274" s="9" t="inlineStr">
        <is>
          <t>Professional</t>
        </is>
      </c>
      <c r="D274" s="9" t="inlineStr">
        <is>
          <t>Europe</t>
        </is>
      </c>
      <c r="E274" s="9" t="inlineStr">
        <is>
          <t>Carlos Ibarra</t>
        </is>
      </c>
      <c r="F274" s="9" t="inlineStr">
        <is>
          <t>Proportional</t>
        </is>
      </c>
      <c r="G274" s="9" t="n">
        <v>2023</v>
      </c>
      <c r="H274" s="12" t="n">
        <v>7600000.0032</v>
      </c>
      <c r="I274" s="12" t="n">
        <v>855514.872</v>
      </c>
      <c r="J274" s="12" t="n">
        <v>51944.32800000001</v>
      </c>
      <c r="K274" s="12" t="n">
        <v>855514.872</v>
      </c>
      <c r="L274" s="12" t="n">
        <v>263784.7296</v>
      </c>
      <c r="M274" s="9" t="n">
        <v>10</v>
      </c>
      <c r="N274" s="12" t="n">
        <v>343316.3076</v>
      </c>
      <c r="O274" s="12" t="n">
        <v>414029.5884</v>
      </c>
      <c r="P274" s="12" t="n">
        <v>1520000.0028</v>
      </c>
      <c r="Q274" s="9" t="inlineStr">
        <is>
          <t>Low</t>
        </is>
      </c>
      <c r="R274" s="11">
        <f>IFERROR(O274/K274,0)</f>
        <v/>
      </c>
    </row>
    <row r="275">
      <c r="A275" s="9" t="inlineStr">
        <is>
          <t>T0274</t>
        </is>
      </c>
      <c r="B275" s="9" t="inlineStr">
        <is>
          <t>Summit Insurance</t>
        </is>
      </c>
      <c r="C275" s="9" t="inlineStr">
        <is>
          <t>Specialty</t>
        </is>
      </c>
      <c r="D275" s="9" t="inlineStr">
        <is>
          <t>Europe</t>
        </is>
      </c>
      <c r="E275" s="9" t="inlineStr">
        <is>
          <t>Priya Nair</t>
        </is>
      </c>
      <c r="F275" s="9" t="inlineStr">
        <is>
          <t>Excess of Loss</t>
        </is>
      </c>
      <c r="G275" s="9" t="n">
        <v>2023</v>
      </c>
      <c r="H275" s="12" t="n">
        <v>7799999.9976</v>
      </c>
      <c r="I275" s="12" t="n">
        <v>660710.7792</v>
      </c>
      <c r="J275" s="12" t="n">
        <v>70118.65440000001</v>
      </c>
      <c r="K275" s="12" t="n">
        <v>660710.7792</v>
      </c>
      <c r="L275" s="12" t="n">
        <v>72448.6032</v>
      </c>
      <c r="M275" s="9" t="n">
        <v>9</v>
      </c>
      <c r="N275" s="12" t="n">
        <v>447143.5656</v>
      </c>
      <c r="O275" s="12" t="n">
        <v>479898.3132</v>
      </c>
      <c r="P275" s="12" t="n">
        <v>7799999.9976</v>
      </c>
      <c r="Q275" s="9" t="inlineStr">
        <is>
          <t>Low</t>
        </is>
      </c>
      <c r="R275" s="11">
        <f>IFERROR(O275/K275,0)</f>
        <v/>
      </c>
    </row>
    <row r="276">
      <c r="A276" s="9" t="inlineStr">
        <is>
          <t>T0275</t>
        </is>
      </c>
      <c r="B276" s="9" t="inlineStr">
        <is>
          <t>Harbor General</t>
        </is>
      </c>
      <c r="C276" s="9" t="inlineStr">
        <is>
          <t>Casualty</t>
        </is>
      </c>
      <c r="D276" s="9" t="inlineStr">
        <is>
          <t>North America</t>
        </is>
      </c>
      <c r="E276" s="9" t="inlineStr">
        <is>
          <t>Carlos Ibarra</t>
        </is>
      </c>
      <c r="F276" s="9" t="inlineStr">
        <is>
          <t>Excess of Loss</t>
        </is>
      </c>
      <c r="G276" s="9" t="n">
        <v>2024</v>
      </c>
      <c r="H276" s="12" t="n">
        <v>10700000</v>
      </c>
      <c r="I276" s="12" t="n">
        <v>1210144.68</v>
      </c>
      <c r="J276" s="12" t="n">
        <v>124626</v>
      </c>
      <c r="K276" s="12" t="n">
        <v>1210144.68</v>
      </c>
      <c r="L276" s="12" t="n">
        <v>141988.68</v>
      </c>
      <c r="M276" s="9" t="n">
        <v>10</v>
      </c>
      <c r="N276" s="12" t="n">
        <v>1554262.82</v>
      </c>
      <c r="O276" s="12" t="n">
        <v>1554262.82</v>
      </c>
      <c r="P276" s="12" t="n">
        <v>10700000</v>
      </c>
      <c r="Q276" s="9" t="inlineStr">
        <is>
          <t>Low</t>
        </is>
      </c>
      <c r="R276" s="11">
        <f>IFERROR(O276/K276,0)</f>
        <v/>
      </c>
    </row>
    <row r="277">
      <c r="A277" s="9" t="inlineStr">
        <is>
          <t>T0276</t>
        </is>
      </c>
      <c r="B277" s="9" t="inlineStr">
        <is>
          <t>Harbor General</t>
        </is>
      </c>
      <c r="C277" s="9" t="inlineStr">
        <is>
          <t>Financial Lines</t>
        </is>
      </c>
      <c r="D277" s="9" t="inlineStr">
        <is>
          <t>North America</t>
        </is>
      </c>
      <c r="E277" s="9" t="inlineStr">
        <is>
          <t>Omar Haddad</t>
        </is>
      </c>
      <c r="F277" s="9" t="inlineStr">
        <is>
          <t>Proportional</t>
        </is>
      </c>
      <c r="G277" s="9" t="n">
        <v>2024</v>
      </c>
      <c r="H277" s="12" t="n">
        <v>34200000</v>
      </c>
      <c r="I277" s="12" t="n">
        <v>4693145.88</v>
      </c>
      <c r="J277" s="12" t="n">
        <v>296734.56</v>
      </c>
      <c r="K277" s="12" t="n">
        <v>4693145.88</v>
      </c>
      <c r="L277" s="12" t="n">
        <v>1372621.32</v>
      </c>
      <c r="M277" s="9" t="n">
        <v>10</v>
      </c>
      <c r="N277" s="12" t="n">
        <v>1308240.06</v>
      </c>
      <c r="O277" s="12" t="n">
        <v>2003372.71</v>
      </c>
      <c r="P277" s="12" t="n">
        <v>13680000</v>
      </c>
      <c r="Q277" s="9" t="inlineStr">
        <is>
          <t>Low</t>
        </is>
      </c>
      <c r="R277" s="11">
        <f>IFERROR(O277/K277,0)</f>
        <v/>
      </c>
    </row>
    <row r="278">
      <c r="A278" s="9" t="inlineStr">
        <is>
          <t>T0277</t>
        </is>
      </c>
      <c r="B278" s="9" t="inlineStr">
        <is>
          <t>Orion Indemnity</t>
        </is>
      </c>
      <c r="C278" s="9" t="inlineStr">
        <is>
          <t>Casualty</t>
        </is>
      </c>
      <c r="D278" s="9" t="inlineStr">
        <is>
          <t>Latin America</t>
        </is>
      </c>
      <c r="E278" s="9" t="inlineStr">
        <is>
          <t>Unassigned</t>
        </is>
      </c>
      <c r="F278" s="9" t="inlineStr">
        <is>
          <t>Excess of Loss</t>
        </is>
      </c>
      <c r="G278" s="9" t="n">
        <v>2021</v>
      </c>
      <c r="H278" s="12" t="n">
        <v>10900000</v>
      </c>
      <c r="I278" s="12" t="n">
        <v>1405135.44</v>
      </c>
      <c r="J278" s="12" t="n">
        <v>144155.4</v>
      </c>
      <c r="K278" s="12" t="n">
        <v>1405135.44</v>
      </c>
      <c r="L278" s="12" t="n">
        <v>120570.72</v>
      </c>
      <c r="M278" s="9" t="n">
        <v>4</v>
      </c>
      <c r="N278" s="12" t="n">
        <v>528930.79</v>
      </c>
      <c r="O278" s="12" t="n">
        <v>528930.79</v>
      </c>
      <c r="P278" s="12" t="n">
        <v>10900000</v>
      </c>
      <c r="Q278" s="9" t="inlineStr">
        <is>
          <t>Low</t>
        </is>
      </c>
      <c r="R278" s="11">
        <f>IFERROR(O278/K278,0)</f>
        <v/>
      </c>
    </row>
    <row r="279">
      <c r="A279" s="9" t="inlineStr">
        <is>
          <t>T0278</t>
        </is>
      </c>
      <c r="B279" s="9" t="inlineStr">
        <is>
          <t>Summit General</t>
        </is>
      </c>
      <c r="C279" s="9" t="inlineStr">
        <is>
          <t>Casualty</t>
        </is>
      </c>
      <c r="D279" s="9" t="inlineStr">
        <is>
          <t>North America</t>
        </is>
      </c>
      <c r="E279" s="9" t="inlineStr">
        <is>
          <t>Priya Nair</t>
        </is>
      </c>
      <c r="F279" s="9" t="inlineStr">
        <is>
          <t>Proportional</t>
        </is>
      </c>
      <c r="G279" s="9" t="n">
        <v>2022</v>
      </c>
      <c r="H279" s="12" t="n">
        <v>30400000</v>
      </c>
      <c r="I279" s="12" t="n">
        <v>2190578.28</v>
      </c>
      <c r="J279" s="12" t="n">
        <v>188124</v>
      </c>
      <c r="K279" s="12" t="n">
        <v>2190578.28</v>
      </c>
      <c r="L279" s="12" t="n">
        <v>553541.52</v>
      </c>
      <c r="M279" s="9" t="n">
        <v>7</v>
      </c>
      <c r="N279" s="12" t="n">
        <v>1016915.2</v>
      </c>
      <c r="O279" s="12" t="n">
        <v>1016915.2</v>
      </c>
      <c r="P279" s="12" t="n">
        <v>4560000</v>
      </c>
      <c r="Q279" s="9" t="inlineStr">
        <is>
          <t>Low</t>
        </is>
      </c>
      <c r="R279" s="11">
        <f>IFERROR(O279/K279,0)</f>
        <v/>
      </c>
    </row>
    <row r="280">
      <c r="A280" s="9" t="inlineStr">
        <is>
          <t>T0279</t>
        </is>
      </c>
      <c r="B280" s="9" t="inlineStr">
        <is>
          <t>Summit Insurance</t>
        </is>
      </c>
      <c r="C280" s="9" t="inlineStr">
        <is>
          <t>Specialty</t>
        </is>
      </c>
      <c r="D280" s="9" t="inlineStr">
        <is>
          <t>Europe</t>
        </is>
      </c>
      <c r="E280" s="9" t="inlineStr">
        <is>
          <t>Carlos Ibarra</t>
        </is>
      </c>
      <c r="F280" s="9" t="inlineStr">
        <is>
          <t>Facultative</t>
        </is>
      </c>
      <c r="G280" s="9" t="n">
        <v>2024</v>
      </c>
      <c r="H280" s="12" t="n">
        <v>10599999.9948</v>
      </c>
      <c r="I280" s="12" t="n">
        <v>956404.7136000001</v>
      </c>
      <c r="J280" s="12" t="n">
        <v>98568.44640000002</v>
      </c>
      <c r="K280" s="12" t="n">
        <v>956404.7136000001</v>
      </c>
      <c r="L280" s="12" t="n">
        <v>181354.7232</v>
      </c>
      <c r="M280" s="9" t="n">
        <v>4</v>
      </c>
      <c r="N280" s="12" t="n">
        <v>577366.7688</v>
      </c>
      <c r="O280" s="12" t="n">
        <v>620372.2824</v>
      </c>
      <c r="P280" s="12" t="n">
        <v>10599999.9948</v>
      </c>
      <c r="Q280" s="9" t="inlineStr">
        <is>
          <t>Low</t>
        </is>
      </c>
      <c r="R280" s="11">
        <f>IFERROR(O280/K280,0)</f>
        <v/>
      </c>
    </row>
    <row r="281">
      <c r="A281" s="9" t="inlineStr">
        <is>
          <t>T0280</t>
        </is>
      </c>
      <c r="B281" s="9" t="inlineStr">
        <is>
          <t>Evergreen Assurance</t>
        </is>
      </c>
      <c r="C281" s="9" t="inlineStr">
        <is>
          <t>Property</t>
        </is>
      </c>
      <c r="D281" s="9" t="inlineStr">
        <is>
          <t>North America</t>
        </is>
      </c>
      <c r="E281" s="9" t="inlineStr">
        <is>
          <t>Carlos Ibarra</t>
        </is>
      </c>
      <c r="F281" s="9" t="inlineStr">
        <is>
          <t>Proportional</t>
        </is>
      </c>
      <c r="G281" s="9" t="n">
        <v>2025</v>
      </c>
      <c r="H281" s="12" t="n">
        <v>9600000</v>
      </c>
      <c r="I281" s="12" t="n">
        <v>715466.52</v>
      </c>
      <c r="J281" s="12" t="n">
        <v>46869.60000000001</v>
      </c>
      <c r="K281" s="12" t="n">
        <v>715466.52</v>
      </c>
      <c r="L281" s="12" t="n">
        <v>226103.64</v>
      </c>
      <c r="M281" s="9" t="n">
        <v>10</v>
      </c>
      <c r="N281" s="12" t="n">
        <v>263505.24</v>
      </c>
      <c r="O281" s="12" t="n">
        <v>402110.48</v>
      </c>
      <c r="P281" s="12" t="n">
        <v>1920000</v>
      </c>
      <c r="Q281" s="9" t="inlineStr">
        <is>
          <t>Low</t>
        </is>
      </c>
      <c r="R281" s="11">
        <f>IFERROR(O281/K281,0)</f>
        <v/>
      </c>
    </row>
    <row r="282">
      <c r="A282" s="9" t="inlineStr">
        <is>
          <t>T0281</t>
        </is>
      </c>
      <c r="B282" s="9" t="inlineStr">
        <is>
          <t>Granite Indemnity</t>
        </is>
      </c>
      <c r="C282" s="9" t="inlineStr">
        <is>
          <t>Property</t>
        </is>
      </c>
      <c r="D282" s="9" t="inlineStr">
        <is>
          <t>Europe</t>
        </is>
      </c>
      <c r="E282" s="9" t="inlineStr">
        <is>
          <t>Carlos Ibarra</t>
        </is>
      </c>
      <c r="F282" s="9" t="inlineStr">
        <is>
          <t>Excess of Loss</t>
        </is>
      </c>
      <c r="G282" s="9" t="n">
        <v>2022</v>
      </c>
      <c r="H282" s="12" t="n">
        <v>14900000.004</v>
      </c>
      <c r="I282" s="12" t="n">
        <v>1240777.9584</v>
      </c>
      <c r="J282" s="12" t="n">
        <v>89171.15040000001</v>
      </c>
      <c r="K282" s="12" t="n">
        <v>1240777.9584</v>
      </c>
      <c r="L282" s="12" t="n">
        <v>63392.15520000001</v>
      </c>
      <c r="M282" s="9" t="n">
        <v>10</v>
      </c>
      <c r="N282" s="12" t="n">
        <v>483341.1912000001</v>
      </c>
      <c r="O282" s="12" t="n">
        <v>499500.3564</v>
      </c>
      <c r="P282" s="12" t="n">
        <v>14900000.004</v>
      </c>
      <c r="Q282" s="9" t="inlineStr">
        <is>
          <t>Low</t>
        </is>
      </c>
      <c r="R282" s="11">
        <f>IFERROR(O282/K282,0)</f>
        <v/>
      </c>
    </row>
    <row r="283">
      <c r="A283" s="9" t="inlineStr">
        <is>
          <t>T0282</t>
        </is>
      </c>
      <c r="B283" s="9" t="inlineStr">
        <is>
          <t>Cobalt Indemnity</t>
        </is>
      </c>
      <c r="C283" s="9" t="inlineStr">
        <is>
          <t>Property</t>
        </is>
      </c>
      <c r="D283" s="9" t="inlineStr">
        <is>
          <t>North America</t>
        </is>
      </c>
      <c r="E283" s="9" t="inlineStr">
        <is>
          <t>Hannah Weber</t>
        </is>
      </c>
      <c r="F283" s="9" t="inlineStr">
        <is>
          <t>Facultative</t>
        </is>
      </c>
      <c r="G283" s="9" t="n">
        <v>2022</v>
      </c>
      <c r="H283" s="12" t="n">
        <v>17700000</v>
      </c>
      <c r="I283" s="12" t="n">
        <v>1456075.8</v>
      </c>
      <c r="J283" s="12" t="n">
        <v>116721.84</v>
      </c>
      <c r="K283" s="12" t="n">
        <v>1456075.8</v>
      </c>
      <c r="L283" s="12" t="n">
        <v>228426</v>
      </c>
      <c r="M283" s="9" t="n">
        <v>10</v>
      </c>
      <c r="N283" s="12" t="n">
        <v>1111683.89</v>
      </c>
      <c r="O283" s="12" t="n">
        <v>1207744.63</v>
      </c>
      <c r="P283" s="12" t="n">
        <v>17700000</v>
      </c>
      <c r="Q283" s="9" t="inlineStr">
        <is>
          <t>Low</t>
        </is>
      </c>
      <c r="R283" s="11">
        <f>IFERROR(O283/K283,0)</f>
        <v/>
      </c>
    </row>
    <row r="284">
      <c r="A284" s="9" t="inlineStr">
        <is>
          <t>T0283</t>
        </is>
      </c>
      <c r="B284" s="9" t="inlineStr">
        <is>
          <t>Cobalt Mutual</t>
        </is>
      </c>
      <c r="C284" s="9" t="inlineStr">
        <is>
          <t>Casualty</t>
        </is>
      </c>
      <c r="D284" s="9" t="inlineStr">
        <is>
          <t>Europe</t>
        </is>
      </c>
      <c r="E284" s="9" t="inlineStr">
        <is>
          <t>Hannah Weber</t>
        </is>
      </c>
      <c r="F284" s="9" t="inlineStr">
        <is>
          <t>Excess of Loss</t>
        </is>
      </c>
      <c r="G284" s="9" t="n">
        <v>2022</v>
      </c>
      <c r="H284" s="12" t="n">
        <v>167400000</v>
      </c>
      <c r="I284" s="12" t="n">
        <v>15720608.1744</v>
      </c>
      <c r="J284" s="12" t="n">
        <v>1083965.328</v>
      </c>
      <c r="K284" s="12" t="n">
        <v>15720608.1744</v>
      </c>
      <c r="L284" s="12" t="n">
        <v>1581577.7472</v>
      </c>
      <c r="M284" s="9" t="n">
        <v>5</v>
      </c>
      <c r="N284" s="12" t="n">
        <v>6898399.063200001</v>
      </c>
      <c r="O284" s="12" t="n">
        <v>6898399.063200001</v>
      </c>
      <c r="P284" s="12" t="n">
        <v>167400000</v>
      </c>
      <c r="Q284" s="9" t="inlineStr">
        <is>
          <t>Low</t>
        </is>
      </c>
      <c r="R284" s="11">
        <f>IFERROR(O284/K284,0)</f>
        <v/>
      </c>
    </row>
    <row r="285">
      <c r="A285" s="9" t="inlineStr">
        <is>
          <t>T0284</t>
        </is>
      </c>
      <c r="B285" s="9" t="inlineStr">
        <is>
          <t>Granite Indemnity</t>
        </is>
      </c>
      <c r="C285" s="9" t="inlineStr">
        <is>
          <t>Financial Lines</t>
        </is>
      </c>
      <c r="D285" s="9" t="inlineStr">
        <is>
          <t>Europe</t>
        </is>
      </c>
      <c r="E285" s="9" t="inlineStr">
        <is>
          <t>Priya Nair</t>
        </is>
      </c>
      <c r="F285" s="9" t="inlineStr">
        <is>
          <t>Excess of Loss</t>
        </is>
      </c>
      <c r="G285" s="9" t="n">
        <v>2024</v>
      </c>
      <c r="H285" s="12" t="n">
        <v>139600000.0008</v>
      </c>
      <c r="I285" s="12" t="n">
        <v>13862723.7672</v>
      </c>
      <c r="J285" s="12" t="n">
        <v>1464623.3052</v>
      </c>
      <c r="K285" s="12" t="n">
        <v>13862723.7672</v>
      </c>
      <c r="L285" s="12" t="n">
        <v>1358428.4604</v>
      </c>
      <c r="M285" s="9" t="n">
        <v>24</v>
      </c>
      <c r="N285" s="12" t="n">
        <v>6096244.2372</v>
      </c>
      <c r="O285" s="12" t="n">
        <v>10638123.4332</v>
      </c>
      <c r="P285" s="12" t="n">
        <v>139600000.0008</v>
      </c>
      <c r="Q285" s="9" t="inlineStr">
        <is>
          <t>Low</t>
        </is>
      </c>
      <c r="R285" s="11">
        <f>IFERROR(O285/K285,0)</f>
        <v/>
      </c>
    </row>
    <row r="286">
      <c r="A286" s="9" t="inlineStr">
        <is>
          <t>T0285</t>
        </is>
      </c>
      <c r="B286" s="9" t="inlineStr">
        <is>
          <t>Orion General</t>
        </is>
      </c>
      <c r="C286" s="9" t="inlineStr">
        <is>
          <t>Specialty</t>
        </is>
      </c>
      <c r="D286" s="9" t="inlineStr">
        <is>
          <t>North America</t>
        </is>
      </c>
      <c r="E286" s="9" t="inlineStr">
        <is>
          <t>Hannah Weber</t>
        </is>
      </c>
      <c r="F286" s="9" t="inlineStr">
        <is>
          <t>Excess of Loss</t>
        </is>
      </c>
      <c r="G286" s="9" t="n">
        <v>2024</v>
      </c>
      <c r="H286" s="12" t="n">
        <v>13400000</v>
      </c>
      <c r="I286" s="12" t="n">
        <v>1182304.32</v>
      </c>
      <c r="J286" s="12" t="n">
        <v>89467.31999999999</v>
      </c>
      <c r="K286" s="12" t="n">
        <v>1182304.32</v>
      </c>
      <c r="L286" s="12" t="n">
        <v>94207.44</v>
      </c>
      <c r="M286" s="9" t="n">
        <v>14</v>
      </c>
      <c r="N286" s="12" t="n">
        <v>909885.15</v>
      </c>
      <c r="O286" s="12" t="n">
        <v>984549.35</v>
      </c>
      <c r="P286" s="12" t="n">
        <v>13400000</v>
      </c>
      <c r="Q286" s="9" t="inlineStr">
        <is>
          <t>Low</t>
        </is>
      </c>
      <c r="R286" s="11">
        <f>IFERROR(O286/K286,0)</f>
        <v/>
      </c>
    </row>
    <row r="287">
      <c r="A287" s="9" t="inlineStr">
        <is>
          <t>T0286</t>
        </is>
      </c>
      <c r="B287" s="9" t="inlineStr">
        <is>
          <t>Cobalt Mutual</t>
        </is>
      </c>
      <c r="C287" s="9" t="inlineStr">
        <is>
          <t>Specialty</t>
        </is>
      </c>
      <c r="D287" s="9" t="inlineStr">
        <is>
          <t>Europe</t>
        </is>
      </c>
      <c r="E287" s="9" t="inlineStr">
        <is>
          <t>Kenji Sato</t>
        </is>
      </c>
      <c r="F287" s="9" t="inlineStr">
        <is>
          <t>Excess of Loss</t>
        </is>
      </c>
      <c r="G287" s="9" t="n">
        <v>2022</v>
      </c>
      <c r="H287" s="12" t="n">
        <v>17700000.0012</v>
      </c>
      <c r="I287" s="12" t="n">
        <v>3079866.1104</v>
      </c>
      <c r="J287" s="12" t="n">
        <v>358643.376</v>
      </c>
      <c r="K287" s="12" t="n">
        <v>3079866.1104</v>
      </c>
      <c r="L287" s="12" t="n">
        <v>299713.2192000001</v>
      </c>
      <c r="M287" s="9" t="n">
        <v>11</v>
      </c>
      <c r="N287" s="12" t="n">
        <v>2761707.8736</v>
      </c>
      <c r="O287" s="12" t="n">
        <v>3072083.5224</v>
      </c>
      <c r="P287" s="12" t="n">
        <v>17700000.0012</v>
      </c>
      <c r="Q287" s="9" t="inlineStr">
        <is>
          <t>Low</t>
        </is>
      </c>
      <c r="R287" s="11">
        <f>IFERROR(O287/K287,0)</f>
        <v/>
      </c>
    </row>
    <row r="288">
      <c r="A288" s="9" t="inlineStr">
        <is>
          <t>T0287</t>
        </is>
      </c>
      <c r="B288" s="9" t="inlineStr">
        <is>
          <t>Granite Indemnity</t>
        </is>
      </c>
      <c r="C288" s="9" t="inlineStr">
        <is>
          <t>Specialty</t>
        </is>
      </c>
      <c r="D288" s="9" t="inlineStr">
        <is>
          <t>Europe</t>
        </is>
      </c>
      <c r="E288" s="9" t="inlineStr">
        <is>
          <t>Sophie Laurent</t>
        </is>
      </c>
      <c r="F288" s="9" t="inlineStr">
        <is>
          <t>Proportional</t>
        </is>
      </c>
      <c r="G288" s="9" t="n">
        <v>2022</v>
      </c>
      <c r="H288" s="12" t="n">
        <v>13199999.9976</v>
      </c>
      <c r="I288" s="12" t="n">
        <v>1925747.3952</v>
      </c>
      <c r="J288" s="12" t="n">
        <v>224744.4144</v>
      </c>
      <c r="K288" s="12" t="n">
        <v>1925747.3952</v>
      </c>
      <c r="L288" s="12" t="n">
        <v>445140.6192</v>
      </c>
      <c r="M288" s="9" t="n">
        <v>7</v>
      </c>
      <c r="N288" s="12" t="n">
        <v>1142635.302</v>
      </c>
      <c r="O288" s="12" t="n">
        <v>1184544.324</v>
      </c>
      <c r="P288" s="12" t="n">
        <v>3960000.0036</v>
      </c>
      <c r="Q288" s="9" t="inlineStr">
        <is>
          <t>Low</t>
        </is>
      </c>
      <c r="R288" s="11">
        <f>IFERROR(O288/K288,0)</f>
        <v/>
      </c>
    </row>
    <row r="289">
      <c r="A289" s="9" t="inlineStr">
        <is>
          <t>T0288</t>
        </is>
      </c>
      <c r="B289" s="9" t="inlineStr">
        <is>
          <t>Granite General</t>
        </is>
      </c>
      <c r="C289" s="9" t="inlineStr">
        <is>
          <t>Casualty</t>
        </is>
      </c>
      <c r="D289" s="9" t="inlineStr">
        <is>
          <t>Asia Pacific</t>
        </is>
      </c>
      <c r="E289" s="9" t="inlineStr">
        <is>
          <t>Kenji Sato</t>
        </is>
      </c>
      <c r="F289" s="9" t="inlineStr">
        <is>
          <t>Excess of Loss</t>
        </is>
      </c>
      <c r="G289" s="9" t="n">
        <v>2025</v>
      </c>
      <c r="H289" s="12" t="n">
        <v>9300000</v>
      </c>
      <c r="I289" s="12" t="n">
        <v>1018062.6</v>
      </c>
      <c r="J289" s="12" t="n">
        <v>69059.28</v>
      </c>
      <c r="K289" s="12" t="n">
        <v>1018062.6</v>
      </c>
      <c r="L289" s="12" t="n">
        <v>121233.36</v>
      </c>
      <c r="M289" s="9" t="n">
        <v>7</v>
      </c>
      <c r="N289" s="12" t="n">
        <v>678280.29</v>
      </c>
      <c r="O289" s="12" t="n">
        <v>761574.4</v>
      </c>
      <c r="P289" s="12" t="n">
        <v>9300000</v>
      </c>
      <c r="Q289" s="9" t="inlineStr">
        <is>
          <t>Low</t>
        </is>
      </c>
      <c r="R289" s="11">
        <f>IFERROR(O289/K289,0)</f>
        <v/>
      </c>
    </row>
    <row r="290">
      <c r="A290" s="9" t="inlineStr">
        <is>
          <t>T0289</t>
        </is>
      </c>
      <c r="B290" s="9" t="inlineStr">
        <is>
          <t>Granite Assurance</t>
        </is>
      </c>
      <c r="C290" s="9" t="inlineStr">
        <is>
          <t>Specialty</t>
        </is>
      </c>
      <c r="D290" s="9" t="inlineStr">
        <is>
          <t>Asia Pacific</t>
        </is>
      </c>
      <c r="E290" s="9" t="inlineStr">
        <is>
          <t>Priya Nair</t>
        </is>
      </c>
      <c r="F290" s="9" t="inlineStr">
        <is>
          <t>Facultative</t>
        </is>
      </c>
      <c r="G290" s="9" t="n">
        <v>2024</v>
      </c>
      <c r="H290" s="12" t="n">
        <v>19100000</v>
      </c>
      <c r="I290" s="12" t="n">
        <v>1808356.56</v>
      </c>
      <c r="J290" s="12" t="n">
        <v>192988.56</v>
      </c>
      <c r="K290" s="12" t="n">
        <v>1808356.56</v>
      </c>
      <c r="L290" s="12" t="n">
        <v>307426.68</v>
      </c>
      <c r="M290" s="9" t="n">
        <v>9</v>
      </c>
      <c r="N290" s="12" t="n">
        <v>893153.12</v>
      </c>
      <c r="O290" s="12" t="n">
        <v>964467.05</v>
      </c>
      <c r="P290" s="12" t="n">
        <v>19100000</v>
      </c>
      <c r="Q290" s="9" t="inlineStr">
        <is>
          <t>Low</t>
        </is>
      </c>
      <c r="R290" s="11">
        <f>IFERROR(O290/K290,0)</f>
        <v/>
      </c>
    </row>
    <row r="291">
      <c r="A291" s="9" t="inlineStr">
        <is>
          <t>T0290</t>
        </is>
      </c>
      <c r="B291" s="9" t="inlineStr">
        <is>
          <t>Evergreen General</t>
        </is>
      </c>
      <c r="C291" s="9" t="inlineStr">
        <is>
          <t>Casualty</t>
        </is>
      </c>
      <c r="D291" s="9" t="inlineStr">
        <is>
          <t>North America</t>
        </is>
      </c>
      <c r="E291" s="9" t="inlineStr">
        <is>
          <t>Kenji Sato</t>
        </is>
      </c>
      <c r="F291" s="9" t="inlineStr">
        <is>
          <t>Excess of Loss</t>
        </is>
      </c>
      <c r="G291" s="9" t="n">
        <v>2023</v>
      </c>
      <c r="H291" s="12" t="n">
        <v>12600000</v>
      </c>
      <c r="I291" s="12" t="n">
        <v>976480.7999999999</v>
      </c>
      <c r="J291" s="12" t="n">
        <v>75234.12</v>
      </c>
      <c r="K291" s="12" t="n">
        <v>976480.7999999999</v>
      </c>
      <c r="L291" s="12" t="n">
        <v>83773.68000000001</v>
      </c>
      <c r="M291" s="9" t="n">
        <v>6</v>
      </c>
      <c r="N291" s="12" t="n">
        <v>317662.23</v>
      </c>
      <c r="O291" s="12" t="n">
        <v>327098.19</v>
      </c>
      <c r="P291" s="12" t="n">
        <v>12600000</v>
      </c>
      <c r="Q291" s="9" t="inlineStr">
        <is>
          <t>Low</t>
        </is>
      </c>
      <c r="R291" s="11">
        <f>IFERROR(O291/K291,0)</f>
        <v/>
      </c>
    </row>
    <row r="292">
      <c r="A292" s="9" t="inlineStr">
        <is>
          <t>T0291</t>
        </is>
      </c>
      <c r="B292" s="9" t="inlineStr">
        <is>
          <t>Pioneer Indemnity</t>
        </is>
      </c>
      <c r="C292" s="9" t="inlineStr">
        <is>
          <t>Property</t>
        </is>
      </c>
      <c r="D292" s="9" t="inlineStr">
        <is>
          <t>Latin America</t>
        </is>
      </c>
      <c r="E292" s="9" t="inlineStr">
        <is>
          <t>Aarav Mehta</t>
        </is>
      </c>
      <c r="F292" s="9" t="inlineStr">
        <is>
          <t>Excess of Loss</t>
        </is>
      </c>
      <c r="G292" s="9" t="n">
        <v>2024</v>
      </c>
      <c r="H292" s="12" t="n">
        <v>25700000</v>
      </c>
      <c r="I292" s="12" t="n">
        <v>2893816.2</v>
      </c>
      <c r="J292" s="12" t="n">
        <v>258140.04</v>
      </c>
      <c r="K292" s="12" t="n">
        <v>2893816.2</v>
      </c>
      <c r="L292" s="12" t="n">
        <v>214779.24</v>
      </c>
      <c r="M292" s="9" t="n">
        <v>11</v>
      </c>
      <c r="N292" s="12" t="n">
        <v>2511433.64</v>
      </c>
      <c r="O292" s="12" t="n">
        <v>2738335.39</v>
      </c>
      <c r="P292" s="12" t="n">
        <v>25700000</v>
      </c>
      <c r="Q292" s="9" t="inlineStr">
        <is>
          <t>Low</t>
        </is>
      </c>
      <c r="R292" s="11">
        <f>IFERROR(O292/K292,0)</f>
        <v/>
      </c>
    </row>
    <row r="293">
      <c r="A293" s="9" t="inlineStr">
        <is>
          <t>T0292</t>
        </is>
      </c>
      <c r="B293" s="9" t="inlineStr">
        <is>
          <t>Meridian Indemnity</t>
        </is>
      </c>
      <c r="C293" s="9" t="inlineStr">
        <is>
          <t>Professional</t>
        </is>
      </c>
      <c r="D293" s="9" t="inlineStr">
        <is>
          <t>Europe</t>
        </is>
      </c>
      <c r="E293" s="9" t="inlineStr">
        <is>
          <t>Priya Nair</t>
        </is>
      </c>
      <c r="F293" s="9" t="inlineStr">
        <is>
          <t>Excess of Loss</t>
        </is>
      </c>
      <c r="G293" s="9" t="n">
        <v>2022</v>
      </c>
      <c r="H293" s="12" t="n">
        <v>11000000.0052</v>
      </c>
      <c r="I293" s="12" t="n">
        <v>1067799.672</v>
      </c>
      <c r="J293" s="12" t="n">
        <v>101907.72</v>
      </c>
      <c r="K293" s="12" t="n">
        <v>1067799.672</v>
      </c>
      <c r="L293" s="12" t="n">
        <v>90545.55839999999</v>
      </c>
      <c r="M293" s="9" t="n">
        <v>20</v>
      </c>
      <c r="N293" s="12" t="n">
        <v>1354873.8888</v>
      </c>
      <c r="O293" s="12" t="n">
        <v>1409314.9068</v>
      </c>
      <c r="P293" s="12" t="n">
        <v>11000000.0052</v>
      </c>
      <c r="Q293" s="9" t="inlineStr">
        <is>
          <t>Low</t>
        </is>
      </c>
      <c r="R293" s="11">
        <f>IFERROR(O293/K293,0)</f>
        <v/>
      </c>
    </row>
    <row r="294">
      <c r="A294" s="9" t="inlineStr">
        <is>
          <t>T0293</t>
        </is>
      </c>
      <c r="B294" s="9" t="inlineStr">
        <is>
          <t>Sterling Indemnity</t>
        </is>
      </c>
      <c r="C294" s="9" t="inlineStr">
        <is>
          <t>Property</t>
        </is>
      </c>
      <c r="D294" s="9" t="inlineStr">
        <is>
          <t>Unassigned</t>
        </is>
      </c>
      <c r="E294" s="9" t="inlineStr">
        <is>
          <t>Carlos Ibarra</t>
        </is>
      </c>
      <c r="F294" s="9" t="inlineStr">
        <is>
          <t>Proportional</t>
        </is>
      </c>
      <c r="G294" s="9" t="n">
        <v>2021</v>
      </c>
      <c r="H294" s="12" t="n">
        <v>15300000.0036</v>
      </c>
      <c r="I294" s="12" t="n">
        <v>2313849.888</v>
      </c>
      <c r="J294" s="12" t="n">
        <v>163526.5584</v>
      </c>
      <c r="K294" s="12" t="n">
        <v>2313849.888</v>
      </c>
      <c r="L294" s="12" t="n">
        <v>713063.6063999999</v>
      </c>
      <c r="M294" s="9" t="n">
        <v>9</v>
      </c>
      <c r="N294" s="12" t="n">
        <v>987299.4312</v>
      </c>
      <c r="O294" s="12" t="n">
        <v>998423.3232</v>
      </c>
      <c r="P294" s="12" t="n">
        <v>3059999.9964</v>
      </c>
      <c r="Q294" s="9" t="inlineStr">
        <is>
          <t>Low</t>
        </is>
      </c>
      <c r="R294" s="11">
        <f>IFERROR(O294/K294,0)</f>
        <v/>
      </c>
    </row>
    <row r="295">
      <c r="A295" s="9" t="inlineStr">
        <is>
          <t>T0294</t>
        </is>
      </c>
      <c r="B295" s="9" t="inlineStr">
        <is>
          <t>Pioneer Insurance</t>
        </is>
      </c>
      <c r="C295" s="9" t="inlineStr">
        <is>
          <t>Financial Lines</t>
        </is>
      </c>
      <c r="D295" s="9" t="inlineStr">
        <is>
          <t>Europe</t>
        </is>
      </c>
      <c r="E295" s="9" t="inlineStr">
        <is>
          <t>Hannah Weber</t>
        </is>
      </c>
      <c r="F295" s="9" t="inlineStr">
        <is>
          <t>Excess of Loss</t>
        </is>
      </c>
      <c r="G295" s="9" t="n">
        <v>2026</v>
      </c>
      <c r="H295" s="12" t="n">
        <v>78600000.00240001</v>
      </c>
      <c r="I295" s="12" t="n">
        <v>1414112.3532</v>
      </c>
      <c r="J295" s="12" t="n">
        <v>83547.12600000002</v>
      </c>
      <c r="K295" s="12" t="n">
        <v>1382687.6364</v>
      </c>
      <c r="L295" s="12" t="n">
        <v>107459.3204878703</v>
      </c>
      <c r="M295" s="9" t="n">
        <v>3</v>
      </c>
      <c r="N295" s="12" t="n">
        <v>76835.9844</v>
      </c>
      <c r="O295" s="12" t="n">
        <v>355125.8916</v>
      </c>
      <c r="P295" s="12" t="n">
        <v>78600000.00240001</v>
      </c>
      <c r="Q295" s="9" t="inlineStr">
        <is>
          <t>Low</t>
        </is>
      </c>
      <c r="R295" s="11">
        <f>IFERROR(O295/K295,0)</f>
        <v/>
      </c>
    </row>
    <row r="296">
      <c r="A296" s="9" t="inlineStr">
        <is>
          <t>T0295</t>
        </is>
      </c>
      <c r="B296" s="9" t="inlineStr">
        <is>
          <t>Evergreen General</t>
        </is>
      </c>
      <c r="C296" s="9" t="inlineStr">
        <is>
          <t>Property</t>
        </is>
      </c>
      <c r="D296" s="9" t="inlineStr">
        <is>
          <t>North America</t>
        </is>
      </c>
      <c r="E296" s="9" t="inlineStr">
        <is>
          <t>Aarav Mehta</t>
        </is>
      </c>
      <c r="F296" s="9" t="inlineStr">
        <is>
          <t>Excess of Loss</t>
        </is>
      </c>
      <c r="G296" s="9" t="n">
        <v>2023</v>
      </c>
      <c r="H296" s="12" t="n">
        <v>12400000</v>
      </c>
      <c r="I296" s="12" t="n">
        <v>1969852.8</v>
      </c>
      <c r="J296" s="12" t="n">
        <v>109022.16</v>
      </c>
      <c r="K296" s="12" t="n">
        <v>1969852.8</v>
      </c>
      <c r="L296" s="12" t="n">
        <v>170455.56</v>
      </c>
      <c r="M296" s="9" t="n">
        <v>7</v>
      </c>
      <c r="N296" s="12" t="n">
        <v>3215533.01</v>
      </c>
      <c r="O296" s="12" t="n">
        <v>3215533.01</v>
      </c>
      <c r="P296" s="12" t="n">
        <v>12400000</v>
      </c>
      <c r="Q296" s="9" t="inlineStr">
        <is>
          <t>Medium</t>
        </is>
      </c>
      <c r="R296" s="11">
        <f>IFERROR(O296/K296,0)</f>
        <v/>
      </c>
    </row>
    <row r="297">
      <c r="A297" s="9" t="inlineStr">
        <is>
          <t>T0296</t>
        </is>
      </c>
      <c r="B297" s="9" t="inlineStr">
        <is>
          <t>Cobalt Indemnity</t>
        </is>
      </c>
      <c r="C297" s="9" t="inlineStr">
        <is>
          <t>Property</t>
        </is>
      </c>
      <c r="D297" s="9" t="inlineStr">
        <is>
          <t>North America</t>
        </is>
      </c>
      <c r="E297" s="9" t="inlineStr">
        <is>
          <t>Priya Nair</t>
        </is>
      </c>
      <c r="F297" s="9" t="inlineStr">
        <is>
          <t>Proportional</t>
        </is>
      </c>
      <c r="G297" s="9" t="n">
        <v>2022</v>
      </c>
      <c r="H297" s="12" t="n">
        <v>8800000</v>
      </c>
      <c r="I297" s="12" t="n">
        <v>985021.08</v>
      </c>
      <c r="J297" s="12" t="n">
        <v>81434.39999999999</v>
      </c>
      <c r="K297" s="12" t="n">
        <v>985021.08</v>
      </c>
      <c r="L297" s="12" t="n">
        <v>273958.68</v>
      </c>
      <c r="M297" s="9" t="n">
        <v>10</v>
      </c>
      <c r="N297" s="12" t="n">
        <v>545349</v>
      </c>
      <c r="O297" s="12" t="n">
        <v>657507.3</v>
      </c>
      <c r="P297" s="12" t="n">
        <v>2200000</v>
      </c>
      <c r="Q297" s="9" t="inlineStr">
        <is>
          <t>Low</t>
        </is>
      </c>
      <c r="R297" s="11">
        <f>IFERROR(O297/K297,0)</f>
        <v/>
      </c>
    </row>
    <row r="298">
      <c r="A298" s="9" t="inlineStr">
        <is>
          <t>T0297</t>
        </is>
      </c>
      <c r="B298" s="9" t="inlineStr">
        <is>
          <t>Meridian General</t>
        </is>
      </c>
      <c r="C298" s="9" t="inlineStr">
        <is>
          <t>Unmapped</t>
        </is>
      </c>
      <c r="D298" s="9" t="inlineStr">
        <is>
          <t>North America</t>
        </is>
      </c>
      <c r="E298" s="9" t="inlineStr">
        <is>
          <t>James Whitfield</t>
        </is>
      </c>
      <c r="F298" s="9" t="inlineStr">
        <is>
          <t>Proportional</t>
        </is>
      </c>
      <c r="G298" s="9" t="n">
        <v>2026</v>
      </c>
      <c r="H298" s="12" t="n">
        <v>13100000</v>
      </c>
      <c r="I298" s="12" t="n">
        <v>1226170.88</v>
      </c>
      <c r="J298" s="12" t="n">
        <v>76788.64</v>
      </c>
      <c r="K298" s="12" t="n">
        <v>1108662.84</v>
      </c>
      <c r="L298" s="12" t="n">
        <v>245471.9919237671</v>
      </c>
      <c r="M298" s="9" t="n">
        <v>10</v>
      </c>
      <c r="N298" s="12" t="n">
        <v>528899.8099999999</v>
      </c>
      <c r="O298" s="12" t="n">
        <v>1046054.77</v>
      </c>
      <c r="P298" s="12" t="n">
        <v>5240000</v>
      </c>
      <c r="Q298" s="9" t="inlineStr">
        <is>
          <t>Low</t>
        </is>
      </c>
      <c r="R298" s="11">
        <f>IFERROR(O298/K298,0)</f>
        <v/>
      </c>
    </row>
    <row r="299">
      <c r="A299" s="9" t="inlineStr">
        <is>
          <t>T0298</t>
        </is>
      </c>
      <c r="B299" s="9" t="inlineStr">
        <is>
          <t>Meridian Assurance</t>
        </is>
      </c>
      <c r="C299" s="9" t="inlineStr">
        <is>
          <t>Casualty</t>
        </is>
      </c>
      <c r="D299" s="9" t="inlineStr">
        <is>
          <t>Europe</t>
        </is>
      </c>
      <c r="E299" s="9" t="inlineStr">
        <is>
          <t>Omar Haddad</t>
        </is>
      </c>
      <c r="F299" s="9" t="inlineStr">
        <is>
          <t>Proportional</t>
        </is>
      </c>
      <c r="G299" s="9" t="n">
        <v>2025</v>
      </c>
      <c r="H299" s="12" t="n">
        <v>8800000.002</v>
      </c>
      <c r="I299" s="12" t="n">
        <v>934340.3136</v>
      </c>
      <c r="J299" s="12" t="n">
        <v>107527.4352</v>
      </c>
      <c r="K299" s="12" t="n">
        <v>934340.3136</v>
      </c>
      <c r="L299" s="12" t="n">
        <v>219800.4336</v>
      </c>
      <c r="M299" s="9" t="n">
        <v>10</v>
      </c>
      <c r="N299" s="12" t="n">
        <v>343951.8012</v>
      </c>
      <c r="O299" s="12" t="n">
        <v>410265.5724000001</v>
      </c>
      <c r="P299" s="12" t="n">
        <v>1319999.9976</v>
      </c>
      <c r="Q299" s="9" t="inlineStr">
        <is>
          <t>Low</t>
        </is>
      </c>
      <c r="R299" s="11">
        <f>IFERROR(O299/K299,0)</f>
        <v/>
      </c>
    </row>
    <row r="300">
      <c r="A300" s="9" t="inlineStr">
        <is>
          <t>T0299</t>
        </is>
      </c>
      <c r="B300" s="9" t="inlineStr">
        <is>
          <t>Northwind Mutual</t>
        </is>
      </c>
      <c r="C300" s="9" t="inlineStr">
        <is>
          <t>Specialty</t>
        </is>
      </c>
      <c r="D300" s="9" t="inlineStr">
        <is>
          <t>Asia Pacific</t>
        </is>
      </c>
      <c r="E300" s="9" t="inlineStr">
        <is>
          <t>Priya Nair</t>
        </is>
      </c>
      <c r="F300" s="9" t="inlineStr">
        <is>
          <t>Excess of Loss</t>
        </is>
      </c>
      <c r="G300" s="9" t="n">
        <v>2024</v>
      </c>
      <c r="H300" s="12" t="n">
        <v>8199999.999960001</v>
      </c>
      <c r="I300" s="12" t="n">
        <v>1414970.85312</v>
      </c>
      <c r="J300" s="12" t="n">
        <v>149636.93904</v>
      </c>
      <c r="K300" s="12" t="n">
        <v>1414970.85312</v>
      </c>
      <c r="L300" s="12" t="n">
        <v>89902.96848000001</v>
      </c>
      <c r="M300" s="9" t="n">
        <v>12</v>
      </c>
      <c r="N300" s="12" t="n">
        <v>1415590.45728</v>
      </c>
      <c r="O300" s="12" t="n">
        <v>1593865.91364</v>
      </c>
      <c r="P300" s="12" t="n">
        <v>8199999.999960001</v>
      </c>
      <c r="Q300" s="9" t="inlineStr">
        <is>
          <t>Low</t>
        </is>
      </c>
      <c r="R300" s="11">
        <f>IFERROR(O300/K300,0)</f>
        <v/>
      </c>
    </row>
    <row r="301">
      <c r="A301" s="9" t="inlineStr">
        <is>
          <t>T0300</t>
        </is>
      </c>
      <c r="B301" s="9" t="inlineStr">
        <is>
          <t>Evergreen Assurance</t>
        </is>
      </c>
      <c r="C301" s="9" t="inlineStr">
        <is>
          <t>Specialty</t>
        </is>
      </c>
      <c r="D301" s="9" t="inlineStr">
        <is>
          <t>North America</t>
        </is>
      </c>
      <c r="E301" s="9" t="inlineStr">
        <is>
          <t>Unassigned</t>
        </is>
      </c>
      <c r="F301" s="9" t="inlineStr">
        <is>
          <t>Facultative</t>
        </is>
      </c>
      <c r="G301" s="9" t="n">
        <v>2024</v>
      </c>
      <c r="H301" s="12" t="n">
        <v>37300000</v>
      </c>
      <c r="I301" s="12" t="n">
        <v>3881581.08</v>
      </c>
      <c r="J301" s="12" t="n">
        <v>279212.88</v>
      </c>
      <c r="K301" s="12" t="n">
        <v>3881581.08</v>
      </c>
      <c r="L301" s="12" t="n">
        <v>706520.52</v>
      </c>
      <c r="M301" s="9" t="n">
        <v>9</v>
      </c>
      <c r="N301" s="12" t="n">
        <v>2611854.45</v>
      </c>
      <c r="O301" s="12" t="n">
        <v>2809739.47</v>
      </c>
      <c r="P301" s="12" t="n">
        <v>37300000</v>
      </c>
      <c r="Q301" s="9" t="inlineStr">
        <is>
          <t>Low</t>
        </is>
      </c>
      <c r="R301" s="11">
        <f>IFERROR(O301/K301,0)</f>
        <v/>
      </c>
    </row>
    <row r="302">
      <c r="A302" s="9" t="inlineStr">
        <is>
          <t>T0301</t>
        </is>
      </c>
      <c r="B302" s="9" t="inlineStr">
        <is>
          <t>Orion Indemnity</t>
        </is>
      </c>
      <c r="C302" s="9" t="inlineStr">
        <is>
          <t>Casualty</t>
        </is>
      </c>
      <c r="D302" s="9" t="inlineStr">
        <is>
          <t>Latin America</t>
        </is>
      </c>
      <c r="E302" s="9" t="inlineStr">
        <is>
          <t>James Whitfield</t>
        </is>
      </c>
      <c r="F302" s="9" t="inlineStr">
        <is>
          <t>Excess of Loss</t>
        </is>
      </c>
      <c r="G302" s="9" t="n">
        <v>2025</v>
      </c>
      <c r="H302" s="12" t="n">
        <v>1600000</v>
      </c>
      <c r="I302" s="12" t="n">
        <v>262359.24</v>
      </c>
      <c r="J302" s="12" t="n">
        <v>19852.92</v>
      </c>
      <c r="K302" s="12" t="n">
        <v>262359.24</v>
      </c>
      <c r="L302" s="12" t="n">
        <v>17889.24</v>
      </c>
      <c r="M302" s="9" t="n">
        <v>15</v>
      </c>
      <c r="N302" s="12" t="n">
        <v>65988.92999999999</v>
      </c>
      <c r="O302" s="12" t="n">
        <v>144542.9</v>
      </c>
      <c r="P302" s="12" t="n">
        <v>1600000</v>
      </c>
      <c r="Q302" s="9" t="inlineStr">
        <is>
          <t>Low</t>
        </is>
      </c>
      <c r="R302" s="11">
        <f>IFERROR(O302/K302,0)</f>
        <v/>
      </c>
    </row>
    <row r="303">
      <c r="A303" s="9" t="inlineStr">
        <is>
          <t>T0302</t>
        </is>
      </c>
      <c r="B303" s="9" t="inlineStr">
        <is>
          <t>Meridian Assurance</t>
        </is>
      </c>
      <c r="C303" s="9" t="inlineStr">
        <is>
          <t>Financial Lines</t>
        </is>
      </c>
      <c r="D303" s="9" t="inlineStr">
        <is>
          <t>Europe</t>
        </is>
      </c>
      <c r="E303" s="9" t="inlineStr">
        <is>
          <t>Priya Nair</t>
        </is>
      </c>
      <c r="F303" s="9" t="inlineStr">
        <is>
          <t>Excess of Loss</t>
        </is>
      </c>
      <c r="G303" s="9" t="n">
        <v>2024</v>
      </c>
      <c r="H303" s="12" t="n">
        <v>10199999.9952</v>
      </c>
      <c r="I303" s="12" t="n">
        <v>820262.1168000002</v>
      </c>
      <c r="J303" s="12" t="n">
        <v>96526.33920000002</v>
      </c>
      <c r="K303" s="12" t="n">
        <v>820262.1168000002</v>
      </c>
      <c r="L303" s="12" t="n">
        <v>95756.90400000001</v>
      </c>
      <c r="M303" s="9" t="n">
        <v>9</v>
      </c>
      <c r="N303" s="12" t="n">
        <v>229317.0156</v>
      </c>
      <c r="O303" s="12" t="n">
        <v>268388.2404</v>
      </c>
      <c r="P303" s="12" t="n">
        <v>10199999.9952</v>
      </c>
      <c r="Q303" s="9" t="inlineStr">
        <is>
          <t>Low</t>
        </is>
      </c>
      <c r="R303" s="11">
        <f>IFERROR(O303/K303,0)</f>
        <v/>
      </c>
    </row>
    <row r="304">
      <c r="A304" s="9" t="inlineStr">
        <is>
          <t>T0303</t>
        </is>
      </c>
      <c r="B304" s="9" t="inlineStr">
        <is>
          <t>Evergreen General</t>
        </is>
      </c>
      <c r="C304" s="9" t="inlineStr">
        <is>
          <t>Property</t>
        </is>
      </c>
      <c r="D304" s="9" t="inlineStr">
        <is>
          <t>North America</t>
        </is>
      </c>
      <c r="E304" s="9" t="inlineStr">
        <is>
          <t>Priya Nair</t>
        </is>
      </c>
      <c r="F304" s="9" t="inlineStr">
        <is>
          <t>Excess of Loss</t>
        </is>
      </c>
      <c r="G304" s="9" t="n">
        <v>2024</v>
      </c>
      <c r="H304" s="12" t="n">
        <v>2800000</v>
      </c>
      <c r="I304" s="12" t="n">
        <v>370583.28</v>
      </c>
      <c r="J304" s="12" t="n">
        <v>29415.48</v>
      </c>
      <c r="K304" s="12" t="n">
        <v>370583.28</v>
      </c>
      <c r="L304" s="12" t="n">
        <v>23224.68</v>
      </c>
      <c r="M304" s="9" t="n">
        <v>4</v>
      </c>
      <c r="N304" s="12" t="n">
        <v>223794.86</v>
      </c>
      <c r="O304" s="12" t="n">
        <v>391846.89</v>
      </c>
      <c r="P304" s="12" t="n">
        <v>2800000</v>
      </c>
      <c r="Q304" s="9" t="inlineStr">
        <is>
          <t>Low</t>
        </is>
      </c>
      <c r="R304" s="11">
        <f>IFERROR(O304/K304,0)</f>
        <v/>
      </c>
    </row>
    <row r="305">
      <c r="A305" s="9" t="inlineStr">
        <is>
          <t>T0304</t>
        </is>
      </c>
      <c r="B305" s="9" t="inlineStr">
        <is>
          <t>Evergreen Indemnity</t>
        </is>
      </c>
      <c r="C305" s="9" t="inlineStr">
        <is>
          <t>Property</t>
        </is>
      </c>
      <c r="D305" s="9" t="inlineStr">
        <is>
          <t>North America</t>
        </is>
      </c>
      <c r="E305" s="9" t="inlineStr">
        <is>
          <t>Aarav Mehta</t>
        </is>
      </c>
      <c r="F305" s="9" t="inlineStr">
        <is>
          <t>Excess of Loss</t>
        </is>
      </c>
      <c r="G305" s="9" t="n">
        <v>2023</v>
      </c>
      <c r="H305" s="12" t="n">
        <v>6600000</v>
      </c>
      <c r="I305" s="12" t="n">
        <v>1033107.96</v>
      </c>
      <c r="J305" s="12" t="n">
        <v>90717.12</v>
      </c>
      <c r="K305" s="12" t="n">
        <v>1033107.96</v>
      </c>
      <c r="L305" s="12" t="n">
        <v>71485.08</v>
      </c>
      <c r="M305" s="9" t="n">
        <v>12</v>
      </c>
      <c r="N305" s="12" t="n">
        <v>1293928.19</v>
      </c>
      <c r="O305" s="12" t="n">
        <v>1293928.19</v>
      </c>
      <c r="P305" s="12" t="n">
        <v>6600000</v>
      </c>
      <c r="Q305" s="9" t="inlineStr">
        <is>
          <t>Low</t>
        </is>
      </c>
      <c r="R305" s="11">
        <f>IFERROR(O305/K305,0)</f>
        <v/>
      </c>
    </row>
    <row r="306">
      <c r="A306" s="9" t="inlineStr">
        <is>
          <t>T0305</t>
        </is>
      </c>
      <c r="B306" s="9" t="inlineStr">
        <is>
          <t>Harbor Indemnity</t>
        </is>
      </c>
      <c r="C306" s="9" t="inlineStr">
        <is>
          <t>Casualty</t>
        </is>
      </c>
      <c r="D306" s="9" t="inlineStr">
        <is>
          <t>North America</t>
        </is>
      </c>
      <c r="E306" s="9" t="inlineStr">
        <is>
          <t>Aarav Mehta</t>
        </is>
      </c>
      <c r="F306" s="9" t="inlineStr">
        <is>
          <t>Proportional</t>
        </is>
      </c>
      <c r="G306" s="9" t="n">
        <v>2024</v>
      </c>
      <c r="H306" s="12" t="n">
        <v>27700000</v>
      </c>
      <c r="I306" s="12" t="n">
        <v>2335167.24</v>
      </c>
      <c r="J306" s="12" t="n">
        <v>213376.92</v>
      </c>
      <c r="K306" s="12" t="n">
        <v>2335167.24</v>
      </c>
      <c r="L306" s="12" t="n">
        <v>708938.3999999999</v>
      </c>
      <c r="M306" s="9" t="n">
        <v>8</v>
      </c>
      <c r="N306" s="12" t="n">
        <v>2593990.57</v>
      </c>
      <c r="O306" s="12" t="n">
        <v>3324745.79</v>
      </c>
      <c r="P306" s="12" t="n">
        <v>6925000</v>
      </c>
      <c r="Q306" s="9" t="inlineStr">
        <is>
          <t>Low</t>
        </is>
      </c>
      <c r="R306" s="11">
        <f>IFERROR(O306/K306,0)</f>
        <v/>
      </c>
    </row>
    <row r="307">
      <c r="A307" s="9" t="inlineStr">
        <is>
          <t>T0306</t>
        </is>
      </c>
      <c r="B307" s="9" t="inlineStr">
        <is>
          <t>Northwind Indemnity</t>
        </is>
      </c>
      <c r="C307" s="9" t="inlineStr">
        <is>
          <t>Specialty</t>
        </is>
      </c>
      <c r="D307" s="9" t="inlineStr">
        <is>
          <t>North America</t>
        </is>
      </c>
      <c r="E307" s="9" t="inlineStr">
        <is>
          <t>Unassigned</t>
        </is>
      </c>
      <c r="F307" s="9" t="inlineStr">
        <is>
          <t>Excess of Loss</t>
        </is>
      </c>
      <c r="G307" s="9" t="n">
        <v>2026</v>
      </c>
      <c r="H307" s="12" t="n">
        <v>16200000</v>
      </c>
      <c r="I307" s="12" t="n">
        <v>1043486.22</v>
      </c>
      <c r="J307" s="12" t="n">
        <v>119033.46</v>
      </c>
      <c r="K307" s="12" t="n">
        <v>944934.74</v>
      </c>
      <c r="L307" s="12" t="n">
        <v>94342.33496725313</v>
      </c>
      <c r="M307" s="9" t="n">
        <v>6</v>
      </c>
      <c r="N307" s="12" t="n">
        <v>76979.78999999999</v>
      </c>
      <c r="O307" s="12" t="n">
        <v>171195.59</v>
      </c>
      <c r="P307" s="12" t="n">
        <v>16200000</v>
      </c>
      <c r="Q307" s="9" t="inlineStr">
        <is>
          <t>Low</t>
        </is>
      </c>
      <c r="R307" s="11">
        <f>IFERROR(O307/K307,0)</f>
        <v/>
      </c>
    </row>
    <row r="308">
      <c r="A308" s="9" t="inlineStr">
        <is>
          <t>T0307</t>
        </is>
      </c>
      <c r="B308" s="9" t="inlineStr">
        <is>
          <t>Crown Insurance</t>
        </is>
      </c>
      <c r="C308" s="9" t="inlineStr">
        <is>
          <t>Casualty</t>
        </is>
      </c>
      <c r="D308" s="9" t="inlineStr">
        <is>
          <t>Asia Pacific</t>
        </is>
      </c>
      <c r="E308" s="9" t="inlineStr">
        <is>
          <t>Kenji Sato</t>
        </is>
      </c>
      <c r="F308" s="9" t="inlineStr">
        <is>
          <t>Excess of Loss</t>
        </is>
      </c>
      <c r="G308" s="9" t="n">
        <v>2025</v>
      </c>
      <c r="H308" s="12" t="n">
        <v>10400000</v>
      </c>
      <c r="I308" s="12" t="n">
        <v>1289003.32</v>
      </c>
      <c r="J308" s="12" t="n">
        <v>150263.19</v>
      </c>
      <c r="K308" s="12" t="n">
        <v>1206975.84</v>
      </c>
      <c r="L308" s="12" t="n">
        <v>87214.73528903557</v>
      </c>
      <c r="M308" s="9" t="n">
        <v>9</v>
      </c>
      <c r="N308" s="12" t="n">
        <v>593080.61</v>
      </c>
      <c r="O308" s="12" t="n">
        <v>1548955.96</v>
      </c>
      <c r="P308" s="12" t="n">
        <v>10400000</v>
      </c>
      <c r="Q308" s="9" t="inlineStr">
        <is>
          <t>Low</t>
        </is>
      </c>
      <c r="R308" s="11">
        <f>IFERROR(O308/K308,0)</f>
        <v/>
      </c>
    </row>
    <row r="309">
      <c r="A309" s="9" t="inlineStr">
        <is>
          <t>T0308</t>
        </is>
      </c>
      <c r="B309" s="9" t="inlineStr">
        <is>
          <t>Orion Assurance</t>
        </is>
      </c>
      <c r="C309" s="9" t="inlineStr">
        <is>
          <t>Financial Lines</t>
        </is>
      </c>
      <c r="D309" s="9" t="inlineStr">
        <is>
          <t>North America</t>
        </is>
      </c>
      <c r="E309" s="9" t="inlineStr">
        <is>
          <t>Unassigned</t>
        </is>
      </c>
      <c r="F309" s="9" t="inlineStr">
        <is>
          <t>Excess of Loss</t>
        </is>
      </c>
      <c r="G309" s="9" t="n">
        <v>2023</v>
      </c>
      <c r="H309" s="12" t="n">
        <v>8800000</v>
      </c>
      <c r="I309" s="12" t="n">
        <v>945611.28</v>
      </c>
      <c r="J309" s="12" t="n">
        <v>75573.24000000001</v>
      </c>
      <c r="K309" s="12" t="n">
        <v>945611.28</v>
      </c>
      <c r="L309" s="12" t="n">
        <v>95676.72</v>
      </c>
      <c r="M309" s="9" t="n">
        <v>9</v>
      </c>
      <c r="N309" s="12" t="n">
        <v>669969.46</v>
      </c>
      <c r="O309" s="12" t="n">
        <v>669969.46</v>
      </c>
      <c r="P309" s="12" t="n">
        <v>8800000</v>
      </c>
      <c r="Q309" s="9" t="inlineStr">
        <is>
          <t>Low</t>
        </is>
      </c>
      <c r="R309" s="11">
        <f>IFERROR(O309/K309,0)</f>
        <v/>
      </c>
    </row>
    <row r="310">
      <c r="A310" s="9" t="inlineStr">
        <is>
          <t>T0309</t>
        </is>
      </c>
      <c r="B310" s="9" t="inlineStr">
        <is>
          <t>Sterling Indemnity</t>
        </is>
      </c>
      <c r="C310" s="9" t="inlineStr">
        <is>
          <t>Casualty</t>
        </is>
      </c>
      <c r="D310" s="9" t="inlineStr">
        <is>
          <t>Europe</t>
        </is>
      </c>
      <c r="E310" s="9" t="inlineStr">
        <is>
          <t>Carlos Ibarra</t>
        </is>
      </c>
      <c r="F310" s="9" t="inlineStr">
        <is>
          <t>Excess of Loss</t>
        </is>
      </c>
      <c r="G310" s="9" t="n">
        <v>2021</v>
      </c>
      <c r="H310" s="12" t="n">
        <v>5000000.0004</v>
      </c>
      <c r="I310" s="12" t="n">
        <v>410467.9536000001</v>
      </c>
      <c r="J310" s="12" t="n">
        <v>34154.6544</v>
      </c>
      <c r="K310" s="12" t="n">
        <v>410467.9536000001</v>
      </c>
      <c r="L310" s="12" t="n">
        <v>21485.4768</v>
      </c>
      <c r="M310" s="9" t="n">
        <v>8</v>
      </c>
      <c r="N310" s="12" t="n">
        <v>147197.5848</v>
      </c>
      <c r="O310" s="12" t="n">
        <v>147197.5848</v>
      </c>
      <c r="P310" s="12" t="n">
        <v>5000000.0004</v>
      </c>
      <c r="Q310" s="9" t="inlineStr">
        <is>
          <t>Low</t>
        </is>
      </c>
      <c r="R310" s="11">
        <f>IFERROR(O310/K310,0)</f>
        <v/>
      </c>
    </row>
    <row r="311">
      <c r="A311" s="9" t="inlineStr">
        <is>
          <t>T0310</t>
        </is>
      </c>
      <c r="B311" s="9" t="inlineStr">
        <is>
          <t>Evergreen Mutual</t>
        </is>
      </c>
      <c r="C311" s="9" t="inlineStr">
        <is>
          <t>Property</t>
        </is>
      </c>
      <c r="D311" s="9" t="inlineStr">
        <is>
          <t>Latin America</t>
        </is>
      </c>
      <c r="E311" s="9" t="inlineStr">
        <is>
          <t>Priya Nair</t>
        </is>
      </c>
      <c r="F311" s="9" t="inlineStr">
        <is>
          <t>Proportional</t>
        </is>
      </c>
      <c r="G311" s="9" t="n">
        <v>2025</v>
      </c>
      <c r="H311" s="12" t="n">
        <v>19000000</v>
      </c>
      <c r="I311" s="12" t="n">
        <v>1926766.08</v>
      </c>
      <c r="J311" s="12" t="n">
        <v>105926.16</v>
      </c>
      <c r="K311" s="12" t="n">
        <v>1851836.29</v>
      </c>
      <c r="L311" s="12" t="n">
        <v>488519.361194272</v>
      </c>
      <c r="M311" s="9" t="n">
        <v>9</v>
      </c>
      <c r="N311" s="12" t="n">
        <v>608478.99</v>
      </c>
      <c r="O311" s="12" t="n">
        <v>1040704.64</v>
      </c>
      <c r="P311" s="12" t="n">
        <v>4750000</v>
      </c>
      <c r="Q311" s="9" t="inlineStr">
        <is>
          <t>Low</t>
        </is>
      </c>
      <c r="R311" s="11">
        <f>IFERROR(O311/K311,0)</f>
        <v/>
      </c>
    </row>
    <row r="312">
      <c r="A312" s="9" t="inlineStr">
        <is>
          <t>T0311</t>
        </is>
      </c>
      <c r="B312" s="9" t="inlineStr">
        <is>
          <t>Northwind General</t>
        </is>
      </c>
      <c r="C312" s="9" t="inlineStr">
        <is>
          <t>Property</t>
        </is>
      </c>
      <c r="D312" s="9" t="inlineStr">
        <is>
          <t>Asia Pacific</t>
        </is>
      </c>
      <c r="E312" s="9" t="inlineStr">
        <is>
          <t>Priya Nair</t>
        </is>
      </c>
      <c r="F312" s="9" t="inlineStr">
        <is>
          <t>Excess of Loss</t>
        </is>
      </c>
      <c r="G312" s="9" t="n">
        <v>2024</v>
      </c>
      <c r="H312" s="12" t="n">
        <v>17100000</v>
      </c>
      <c r="I312" s="12" t="n">
        <v>1992639.16368</v>
      </c>
      <c r="J312" s="12" t="n">
        <v>163731.77424</v>
      </c>
      <c r="K312" s="12" t="n">
        <v>1992639.16368</v>
      </c>
      <c r="L312" s="12" t="n">
        <v>102338.82</v>
      </c>
      <c r="M312" s="9" t="n">
        <v>8</v>
      </c>
      <c r="N312" s="12" t="n">
        <v>922412.60028</v>
      </c>
      <c r="O312" s="12" t="n">
        <v>1093883.33748</v>
      </c>
      <c r="P312" s="12" t="n">
        <v>17100000</v>
      </c>
      <c r="Q312" s="9" t="inlineStr">
        <is>
          <t>Low</t>
        </is>
      </c>
      <c r="R312" s="11">
        <f>IFERROR(O312/K312,0)</f>
        <v/>
      </c>
    </row>
    <row r="313">
      <c r="A313" s="9" t="inlineStr">
        <is>
          <t>T0312</t>
        </is>
      </c>
      <c r="B313" s="9" t="inlineStr">
        <is>
          <t>Evergreen Assurance</t>
        </is>
      </c>
      <c r="C313" s="9" t="inlineStr">
        <is>
          <t>Professional</t>
        </is>
      </c>
      <c r="D313" s="9" t="inlineStr">
        <is>
          <t>North America</t>
        </is>
      </c>
      <c r="E313" s="9" t="inlineStr">
        <is>
          <t>Sophie Laurent</t>
        </is>
      </c>
      <c r="F313" s="9" t="inlineStr">
        <is>
          <t>Excess of Loss</t>
        </is>
      </c>
      <c r="G313" s="9" t="n">
        <v>2026</v>
      </c>
      <c r="H313" s="12" t="n">
        <v>9300000</v>
      </c>
      <c r="I313" s="12" t="n">
        <v>387602.2</v>
      </c>
      <c r="J313" s="12" t="n">
        <v>22836.35</v>
      </c>
      <c r="K313" s="12" t="n">
        <v>359178.04</v>
      </c>
      <c r="L313" s="12" t="n">
        <v>34401.75879437217</v>
      </c>
      <c r="M313" s="9" t="n">
        <v>5</v>
      </c>
      <c r="N313" s="12" t="n">
        <v>71281.39</v>
      </c>
      <c r="O313" s="12" t="n">
        <v>216820.37</v>
      </c>
      <c r="P313" s="12" t="n">
        <v>9300000</v>
      </c>
      <c r="Q313" s="9" t="inlineStr">
        <is>
          <t>Low</t>
        </is>
      </c>
      <c r="R313" s="11">
        <f>IFERROR(O313/K313,0)</f>
        <v/>
      </c>
    </row>
    <row r="314">
      <c r="A314" s="9" t="inlineStr">
        <is>
          <t>T0313</t>
        </is>
      </c>
      <c r="B314" s="9" t="inlineStr">
        <is>
          <t>Evergreen General</t>
        </is>
      </c>
      <c r="C314" s="9" t="inlineStr">
        <is>
          <t>Casualty</t>
        </is>
      </c>
      <c r="D314" s="9" t="inlineStr">
        <is>
          <t>North America</t>
        </is>
      </c>
      <c r="E314" s="9" t="inlineStr">
        <is>
          <t>Sophie Laurent</t>
        </is>
      </c>
      <c r="F314" s="9" t="inlineStr">
        <is>
          <t>Proportional</t>
        </is>
      </c>
      <c r="G314" s="9" t="n">
        <v>2026</v>
      </c>
      <c r="H314" s="12" t="n">
        <v>15000000</v>
      </c>
      <c r="I314" s="12" t="n">
        <v>886306.04</v>
      </c>
      <c r="J314" s="12" t="n">
        <v>96174.8</v>
      </c>
      <c r="K314" s="12" t="n">
        <v>694273.0600000001</v>
      </c>
      <c r="L314" s="12" t="n">
        <v>186984.7360764857</v>
      </c>
      <c r="M314" s="9" t="n">
        <v>2</v>
      </c>
      <c r="N314" s="12" t="n">
        <v>52218.34</v>
      </c>
      <c r="O314" s="12" t="n">
        <v>283073.52</v>
      </c>
      <c r="P314" s="12" t="n">
        <v>7500000</v>
      </c>
      <c r="Q314" s="9" t="inlineStr">
        <is>
          <t>Low</t>
        </is>
      </c>
      <c r="R314" s="11">
        <f>IFERROR(O314/K314,0)</f>
        <v/>
      </c>
    </row>
    <row r="315">
      <c r="A315" s="9" t="inlineStr">
        <is>
          <t>T0314</t>
        </is>
      </c>
      <c r="B315" s="9" t="inlineStr">
        <is>
          <t>Orion General</t>
        </is>
      </c>
      <c r="C315" s="9" t="inlineStr">
        <is>
          <t>Casualty</t>
        </is>
      </c>
      <c r="D315" s="9" t="inlineStr">
        <is>
          <t>North America</t>
        </is>
      </c>
      <c r="E315" s="9" t="inlineStr">
        <is>
          <t>Omar Haddad</t>
        </is>
      </c>
      <c r="F315" s="9" t="inlineStr">
        <is>
          <t>Proportional</t>
        </is>
      </c>
      <c r="G315" s="9" t="n">
        <v>2021</v>
      </c>
      <c r="H315" s="12" t="n">
        <v>4900000</v>
      </c>
      <c r="I315" s="12" t="n">
        <v>722575.6799999999</v>
      </c>
      <c r="J315" s="12" t="n">
        <v>45742.08</v>
      </c>
      <c r="K315" s="12" t="n">
        <v>722575.6799999999</v>
      </c>
      <c r="L315" s="12" t="n">
        <v>217222.92</v>
      </c>
      <c r="M315" s="9" t="n">
        <v>12</v>
      </c>
      <c r="N315" s="12" t="n">
        <v>470648.96</v>
      </c>
      <c r="O315" s="12" t="n">
        <v>543508.54</v>
      </c>
      <c r="P315" s="12" t="n">
        <v>2450000</v>
      </c>
      <c r="Q315" s="9" t="inlineStr">
        <is>
          <t>Low</t>
        </is>
      </c>
      <c r="R315" s="11">
        <f>IFERROR(O315/K315,0)</f>
        <v/>
      </c>
    </row>
    <row r="316">
      <c r="A316" s="9" t="inlineStr">
        <is>
          <t>T0315</t>
        </is>
      </c>
      <c r="B316" s="9" t="inlineStr">
        <is>
          <t>Atlas Indemnity</t>
        </is>
      </c>
      <c r="C316" s="9" t="inlineStr">
        <is>
          <t>Casualty</t>
        </is>
      </c>
      <c r="D316" s="9" t="inlineStr">
        <is>
          <t>North America</t>
        </is>
      </c>
      <c r="E316" s="9" t="inlineStr">
        <is>
          <t>Priya Nair</t>
        </is>
      </c>
      <c r="F316" s="9" t="inlineStr">
        <is>
          <t>Proportional</t>
        </is>
      </c>
      <c r="G316" s="9" t="n">
        <v>2022</v>
      </c>
      <c r="H316" s="12" t="n">
        <v>4200000</v>
      </c>
      <c r="I316" s="12" t="n">
        <v>704079.72</v>
      </c>
      <c r="J316" s="12" t="n">
        <v>83301.48</v>
      </c>
      <c r="K316" s="12" t="n">
        <v>704079.72</v>
      </c>
      <c r="L316" s="12" t="n">
        <v>194857.56</v>
      </c>
      <c r="M316" s="9" t="n">
        <v>10</v>
      </c>
      <c r="N316" s="12" t="n">
        <v>160755.68</v>
      </c>
      <c r="O316" s="12" t="n">
        <v>209938.1</v>
      </c>
      <c r="P316" s="12" t="n">
        <v>420000</v>
      </c>
      <c r="Q316" s="9" t="inlineStr">
        <is>
          <t>Low</t>
        </is>
      </c>
      <c r="R316" s="11">
        <f>IFERROR(O316/K316,0)</f>
        <v/>
      </c>
    </row>
    <row r="317">
      <c r="A317" s="9" t="inlineStr">
        <is>
          <t>T0316</t>
        </is>
      </c>
      <c r="B317" s="9" t="inlineStr">
        <is>
          <t>Evergreen General</t>
        </is>
      </c>
      <c r="C317" s="9" t="inlineStr">
        <is>
          <t>Property</t>
        </is>
      </c>
      <c r="D317" s="9" t="inlineStr">
        <is>
          <t>North America</t>
        </is>
      </c>
      <c r="E317" s="9" t="inlineStr">
        <is>
          <t>Hannah Weber</t>
        </is>
      </c>
      <c r="F317" s="9" t="inlineStr">
        <is>
          <t>Proportional</t>
        </is>
      </c>
      <c r="G317" s="9" t="n">
        <v>2021</v>
      </c>
      <c r="H317" s="12" t="n">
        <v>13900000</v>
      </c>
      <c r="I317" s="12" t="n">
        <v>990839.4099999999</v>
      </c>
      <c r="J317" s="12" t="n">
        <v>51813.96</v>
      </c>
      <c r="K317" s="12" t="n">
        <v>990839.4099999999</v>
      </c>
      <c r="L317" s="12" t="n">
        <v>277752.53</v>
      </c>
      <c r="M317" s="9" t="n">
        <v>11</v>
      </c>
      <c r="N317" s="12" t="n">
        <v>923586.8200000001</v>
      </c>
      <c r="O317" s="12" t="n">
        <v>1359225.07</v>
      </c>
      <c r="P317" s="12" t="n">
        <v>2780000</v>
      </c>
      <c r="Q317" s="9" t="inlineStr">
        <is>
          <t>Low</t>
        </is>
      </c>
      <c r="R317" s="11">
        <f>IFERROR(O317/K317,0)</f>
        <v/>
      </c>
    </row>
    <row r="318">
      <c r="A318" s="9" t="inlineStr">
        <is>
          <t>T0317</t>
        </is>
      </c>
      <c r="B318" s="9" t="inlineStr">
        <is>
          <t>Cobalt General</t>
        </is>
      </c>
      <c r="C318" s="9" t="inlineStr">
        <is>
          <t>Professional</t>
        </is>
      </c>
      <c r="D318" s="9" t="inlineStr">
        <is>
          <t>North America</t>
        </is>
      </c>
      <c r="E318" s="9" t="inlineStr">
        <is>
          <t>Kenji Sato</t>
        </is>
      </c>
      <c r="F318" s="9" t="inlineStr">
        <is>
          <t>Proportional</t>
        </is>
      </c>
      <c r="G318" s="9" t="n">
        <v>2021</v>
      </c>
      <c r="H318" s="12" t="n">
        <v>17800000</v>
      </c>
      <c r="I318" s="12" t="n">
        <v>1814847.24</v>
      </c>
      <c r="J318" s="12" t="n">
        <v>155379.12</v>
      </c>
      <c r="K318" s="12" t="n">
        <v>1814847.24</v>
      </c>
      <c r="L318" s="12" t="n">
        <v>518194.5599999999</v>
      </c>
      <c r="M318" s="9" t="n">
        <v>7</v>
      </c>
      <c r="N318" s="12" t="n">
        <v>1184561.69</v>
      </c>
      <c r="O318" s="12" t="n">
        <v>1184561.69</v>
      </c>
      <c r="P318" s="12" t="n">
        <v>7120000</v>
      </c>
      <c r="Q318" s="9" t="inlineStr">
        <is>
          <t>Low</t>
        </is>
      </c>
      <c r="R318" s="11">
        <f>IFERROR(O318/K318,0)</f>
        <v/>
      </c>
    </row>
    <row r="319">
      <c r="A319" s="9" t="inlineStr">
        <is>
          <t>T0318</t>
        </is>
      </c>
      <c r="B319" s="9" t="inlineStr">
        <is>
          <t>Meridian Assurance</t>
        </is>
      </c>
      <c r="C319" s="9" t="inlineStr">
        <is>
          <t>Property</t>
        </is>
      </c>
      <c r="D319" s="9" t="inlineStr">
        <is>
          <t>Europe</t>
        </is>
      </c>
      <c r="E319" s="9" t="inlineStr">
        <is>
          <t>Aarav Mehta</t>
        </is>
      </c>
      <c r="F319" s="9" t="inlineStr">
        <is>
          <t>Excess of Loss</t>
        </is>
      </c>
      <c r="G319" s="9" t="n">
        <v>2025</v>
      </c>
      <c r="H319" s="12" t="n">
        <v>38900000.0016</v>
      </c>
      <c r="I319" s="12" t="n">
        <v>4820186.232000001</v>
      </c>
      <c r="J319" s="12" t="n">
        <v>264847.8384</v>
      </c>
      <c r="K319" s="12" t="n">
        <v>4820186.232000001</v>
      </c>
      <c r="L319" s="12" t="n">
        <v>420093.4752</v>
      </c>
      <c r="M319" s="9" t="n">
        <v>10</v>
      </c>
      <c r="N319" s="12" t="n">
        <v>1600414.4376</v>
      </c>
      <c r="O319" s="12" t="n">
        <v>3193007.58</v>
      </c>
      <c r="P319" s="12" t="n">
        <v>38900000.0016</v>
      </c>
      <c r="Q319" s="9" t="inlineStr">
        <is>
          <t>Low</t>
        </is>
      </c>
      <c r="R319" s="11">
        <f>IFERROR(O319/K319,0)</f>
        <v/>
      </c>
    </row>
    <row r="320">
      <c r="A320" s="9" t="inlineStr">
        <is>
          <t>T0319</t>
        </is>
      </c>
      <c r="B320" s="9" t="inlineStr">
        <is>
          <t>Summit Indemnity</t>
        </is>
      </c>
      <c r="C320" s="9" t="inlineStr">
        <is>
          <t>Casualty</t>
        </is>
      </c>
      <c r="D320" s="9" t="inlineStr">
        <is>
          <t>Asia Pacific</t>
        </is>
      </c>
      <c r="E320" s="9" t="inlineStr">
        <is>
          <t>James Whitfield</t>
        </is>
      </c>
      <c r="F320" s="9" t="inlineStr">
        <is>
          <t>Excess of Loss</t>
        </is>
      </c>
      <c r="G320" s="9" t="n">
        <v>2026</v>
      </c>
      <c r="H320" s="12" t="n">
        <v>3400000</v>
      </c>
      <c r="I320" s="12" t="n">
        <v>74352.52</v>
      </c>
      <c r="J320" s="12" t="n">
        <v>7962.06</v>
      </c>
      <c r="K320" s="12" t="n">
        <v>57003.60000000001</v>
      </c>
      <c r="L320" s="12" t="n">
        <v>4892.483447770162</v>
      </c>
      <c r="M320" s="9" t="n">
        <v>0</v>
      </c>
      <c r="N320" s="12" t="n">
        <v>0</v>
      </c>
      <c r="O320" s="12" t="n">
        <v>0</v>
      </c>
      <c r="P320" s="12" t="n">
        <v>3400000</v>
      </c>
      <c r="Q320" s="9" t="inlineStr">
        <is>
          <t>Low</t>
        </is>
      </c>
      <c r="R320" s="11">
        <f>IFERROR(O320/K320,0)</f>
        <v/>
      </c>
    </row>
    <row r="321">
      <c r="A321" s="9" t="inlineStr">
        <is>
          <t>T0320</t>
        </is>
      </c>
      <c r="B321" s="9" t="inlineStr">
        <is>
          <t>Orion Assurance</t>
        </is>
      </c>
      <c r="C321" s="9" t="inlineStr">
        <is>
          <t>Professional</t>
        </is>
      </c>
      <c r="D321" s="9" t="inlineStr">
        <is>
          <t>North America</t>
        </is>
      </c>
      <c r="E321" s="9" t="inlineStr">
        <is>
          <t>Priya Nair</t>
        </is>
      </c>
      <c r="F321" s="9" t="inlineStr">
        <is>
          <t>Excess of Loss</t>
        </is>
      </c>
      <c r="G321" s="9" t="n">
        <v>2026</v>
      </c>
      <c r="H321" s="12" t="n">
        <v>5100000</v>
      </c>
      <c r="I321" s="12" t="n">
        <v>371227.38</v>
      </c>
      <c r="J321" s="12" t="n">
        <v>36751.8</v>
      </c>
      <c r="K321" s="12" t="n">
        <v>319668.02</v>
      </c>
      <c r="L321" s="12" t="n">
        <v>35154.41315004729</v>
      </c>
      <c r="M321" s="9" t="n">
        <v>4</v>
      </c>
      <c r="N321" s="12" t="n">
        <v>66588.06</v>
      </c>
      <c r="O321" s="12" t="n">
        <v>211525.93</v>
      </c>
      <c r="P321" s="12" t="n">
        <v>5100000</v>
      </c>
      <c r="Q321" s="9" t="inlineStr">
        <is>
          <t>Low</t>
        </is>
      </c>
      <c r="R321" s="11">
        <f>IFERROR(O321/K321,0)</f>
        <v/>
      </c>
    </row>
    <row r="322">
      <c r="A322" s="9" t="inlineStr">
        <is>
          <t>T0321</t>
        </is>
      </c>
      <c r="B322" s="9" t="inlineStr">
        <is>
          <t>Granite General</t>
        </is>
      </c>
      <c r="C322" s="9" t="inlineStr">
        <is>
          <t>Casualty</t>
        </is>
      </c>
      <c r="D322" s="9" t="inlineStr">
        <is>
          <t>Asia Pacific</t>
        </is>
      </c>
      <c r="E322" s="9" t="inlineStr">
        <is>
          <t>James Whitfield</t>
        </is>
      </c>
      <c r="F322" s="9" t="inlineStr">
        <is>
          <t>Proportional</t>
        </is>
      </c>
      <c r="G322" s="9" t="n">
        <v>2024</v>
      </c>
      <c r="H322" s="12" t="n">
        <v>25600000</v>
      </c>
      <c r="I322" s="12" t="n">
        <v>1940908.32</v>
      </c>
      <c r="J322" s="12" t="n">
        <v>107224.56</v>
      </c>
      <c r="K322" s="12" t="n">
        <v>1940908.32</v>
      </c>
      <c r="L322" s="12" t="n">
        <v>468999</v>
      </c>
      <c r="M322" s="9" t="n">
        <v>6</v>
      </c>
      <c r="N322" s="12" t="n">
        <v>1326517.74</v>
      </c>
      <c r="O322" s="12" t="n">
        <v>1359479.56</v>
      </c>
      <c r="P322" s="12" t="n">
        <v>2560000</v>
      </c>
      <c r="Q322" s="9" t="inlineStr">
        <is>
          <t>Low</t>
        </is>
      </c>
      <c r="R322" s="11">
        <f>IFERROR(O322/K322,0)</f>
        <v/>
      </c>
    </row>
    <row r="323">
      <c r="A323" s="9" t="inlineStr">
        <is>
          <t>T0322</t>
        </is>
      </c>
      <c r="B323" s="9" t="inlineStr">
        <is>
          <t>Granite Insurance</t>
        </is>
      </c>
      <c r="C323" s="9" t="inlineStr">
        <is>
          <t>Professional</t>
        </is>
      </c>
      <c r="D323" s="9" t="inlineStr">
        <is>
          <t>Asia Pacific</t>
        </is>
      </c>
      <c r="E323" s="9" t="inlineStr">
        <is>
          <t>James Whitfield</t>
        </is>
      </c>
      <c r="F323" s="9" t="inlineStr">
        <is>
          <t>Excess of Loss</t>
        </is>
      </c>
      <c r="G323" s="9" t="n">
        <v>2023</v>
      </c>
      <c r="H323" s="12" t="n">
        <v>3400000</v>
      </c>
      <c r="I323" s="12" t="n">
        <v>347493.6</v>
      </c>
      <c r="J323" s="12" t="n">
        <v>17671.8</v>
      </c>
      <c r="K323" s="12" t="n">
        <v>347493.6</v>
      </c>
      <c r="L323" s="12" t="n">
        <v>34739.04</v>
      </c>
      <c r="M323" s="9" t="n">
        <v>12</v>
      </c>
      <c r="N323" s="12" t="n">
        <v>126380.85</v>
      </c>
      <c r="O323" s="12" t="n">
        <v>130405.05</v>
      </c>
      <c r="P323" s="12" t="n">
        <v>3400000</v>
      </c>
      <c r="Q323" s="9" t="inlineStr">
        <is>
          <t>Low</t>
        </is>
      </c>
      <c r="R323" s="11">
        <f>IFERROR(O323/K323,0)</f>
        <v/>
      </c>
    </row>
    <row r="324">
      <c r="A324" s="9" t="inlineStr">
        <is>
          <t>T0323</t>
        </is>
      </c>
      <c r="B324" s="9" t="inlineStr">
        <is>
          <t>Meridian Mutual</t>
        </is>
      </c>
      <c r="C324" s="9" t="inlineStr">
        <is>
          <t>Specialty</t>
        </is>
      </c>
      <c r="D324" s="9" t="inlineStr">
        <is>
          <t>North America</t>
        </is>
      </c>
      <c r="E324" s="9" t="inlineStr">
        <is>
          <t>Priya Nair</t>
        </is>
      </c>
      <c r="F324" s="9" t="inlineStr">
        <is>
          <t>Excess of Loss</t>
        </is>
      </c>
      <c r="G324" s="9" t="n">
        <v>2023</v>
      </c>
      <c r="H324" s="12" t="n">
        <v>10100000</v>
      </c>
      <c r="I324" s="12" t="n">
        <v>1045470.36</v>
      </c>
      <c r="J324" s="12" t="n">
        <v>120681.84</v>
      </c>
      <c r="K324" s="12" t="n">
        <v>1045470.36</v>
      </c>
      <c r="L324" s="12" t="n">
        <v>112264.44</v>
      </c>
      <c r="M324" s="9" t="n">
        <v>6</v>
      </c>
      <c r="N324" s="12" t="n">
        <v>354802.01</v>
      </c>
      <c r="O324" s="12" t="n">
        <v>354802.01</v>
      </c>
      <c r="P324" s="12" t="n">
        <v>10100000</v>
      </c>
      <c r="Q324" s="9" t="inlineStr">
        <is>
          <t>Low</t>
        </is>
      </c>
      <c r="R324" s="11">
        <f>IFERROR(O324/K324,0)</f>
        <v/>
      </c>
    </row>
    <row r="325">
      <c r="A325" s="9" t="inlineStr">
        <is>
          <t>T0324</t>
        </is>
      </c>
      <c r="B325" s="9" t="inlineStr">
        <is>
          <t>Orion Assurance</t>
        </is>
      </c>
      <c r="C325" s="9" t="inlineStr">
        <is>
          <t>Financial Lines</t>
        </is>
      </c>
      <c r="D325" s="9" t="inlineStr">
        <is>
          <t>North America</t>
        </is>
      </c>
      <c r="E325" s="9" t="inlineStr">
        <is>
          <t>Aarav Mehta</t>
        </is>
      </c>
      <c r="F325" s="9" t="inlineStr">
        <is>
          <t>Excess of Loss</t>
        </is>
      </c>
      <c r="G325" s="9" t="n">
        <v>2023</v>
      </c>
      <c r="H325" s="12" t="n">
        <v>58800000</v>
      </c>
      <c r="I325" s="12" t="n">
        <v>5562233.16</v>
      </c>
      <c r="J325" s="12" t="n">
        <v>605193.12</v>
      </c>
      <c r="K325" s="12" t="n">
        <v>5562233.16</v>
      </c>
      <c r="L325" s="12" t="n">
        <v>492633.12</v>
      </c>
      <c r="M325" s="9" t="n">
        <v>8</v>
      </c>
      <c r="N325" s="12" t="n">
        <v>1652259.84</v>
      </c>
      <c r="O325" s="12" t="n">
        <v>1702536.19</v>
      </c>
      <c r="P325" s="12" t="n">
        <v>58800000</v>
      </c>
      <c r="Q325" s="9" t="inlineStr">
        <is>
          <t>Low</t>
        </is>
      </c>
      <c r="R325" s="11">
        <f>IFERROR(O325/K325,0)</f>
        <v/>
      </c>
    </row>
    <row r="326">
      <c r="A326" s="9" t="inlineStr">
        <is>
          <t>T0325</t>
        </is>
      </c>
      <c r="B326" s="9" t="inlineStr">
        <is>
          <t>Harbor Indemnity</t>
        </is>
      </c>
      <c r="C326" s="9" t="inlineStr">
        <is>
          <t>Property</t>
        </is>
      </c>
      <c r="D326" s="9" t="inlineStr">
        <is>
          <t>North America</t>
        </is>
      </c>
      <c r="E326" s="9" t="inlineStr">
        <is>
          <t>Carlos Ibarra</t>
        </is>
      </c>
      <c r="F326" s="9" t="inlineStr">
        <is>
          <t>Excess of Loss</t>
        </is>
      </c>
      <c r="G326" s="9" t="n">
        <v>2026</v>
      </c>
      <c r="H326" s="12" t="n">
        <v>7800000</v>
      </c>
      <c r="I326" s="12" t="n">
        <v>206183.88</v>
      </c>
      <c r="J326" s="12" t="n">
        <v>12148.32</v>
      </c>
      <c r="K326" s="12" t="n">
        <v>154637.91</v>
      </c>
      <c r="L326" s="12" t="n">
        <v>8001.960000000002</v>
      </c>
      <c r="M326" s="9" t="n">
        <v>7</v>
      </c>
      <c r="N326" s="12" t="n">
        <v>42470.29</v>
      </c>
      <c r="O326" s="12" t="n">
        <v>123029.41</v>
      </c>
      <c r="P326" s="12" t="n">
        <v>7800000</v>
      </c>
      <c r="Q326" s="9" t="inlineStr">
        <is>
          <t>Low</t>
        </is>
      </c>
      <c r="R326" s="11">
        <f>IFERROR(O326/K326,0)</f>
        <v/>
      </c>
    </row>
    <row r="327">
      <c r="A327" s="9" t="inlineStr">
        <is>
          <t>T0326</t>
        </is>
      </c>
      <c r="B327" s="9" t="inlineStr">
        <is>
          <t>Meridian Mutual</t>
        </is>
      </c>
      <c r="C327" s="9" t="inlineStr">
        <is>
          <t>Specialty</t>
        </is>
      </c>
      <c r="D327" s="9" t="inlineStr">
        <is>
          <t>North America</t>
        </is>
      </c>
      <c r="E327" s="9" t="inlineStr">
        <is>
          <t>Omar Haddad</t>
        </is>
      </c>
      <c r="F327" s="9" t="inlineStr">
        <is>
          <t>Facultative</t>
        </is>
      </c>
      <c r="G327" s="9" t="n">
        <v>2022</v>
      </c>
      <c r="H327" s="12" t="n">
        <v>6800000</v>
      </c>
      <c r="I327" s="12" t="n">
        <v>574169.52</v>
      </c>
      <c r="J327" s="12" t="n">
        <v>55072.44</v>
      </c>
      <c r="K327" s="12" t="n">
        <v>574169.52</v>
      </c>
      <c r="L327" s="12" t="n">
        <v>101041.92</v>
      </c>
      <c r="M327" s="9" t="n">
        <v>7</v>
      </c>
      <c r="N327" s="12" t="n">
        <v>366327.45</v>
      </c>
      <c r="O327" s="12" t="n">
        <v>372073.14</v>
      </c>
      <c r="P327" s="12" t="n">
        <v>6800000</v>
      </c>
      <c r="Q327" s="9" t="inlineStr">
        <is>
          <t>Low</t>
        </is>
      </c>
      <c r="R327" s="11">
        <f>IFERROR(O327/K327,0)</f>
        <v/>
      </c>
    </row>
    <row r="328">
      <c r="A328" s="9" t="inlineStr">
        <is>
          <t>T0327</t>
        </is>
      </c>
      <c r="B328" s="9" t="inlineStr">
        <is>
          <t>Northwind Mutual</t>
        </is>
      </c>
      <c r="C328" s="9" t="inlineStr">
        <is>
          <t>Financial Lines</t>
        </is>
      </c>
      <c r="D328" s="9" t="inlineStr">
        <is>
          <t>Asia Pacific</t>
        </is>
      </c>
      <c r="E328" s="9" t="inlineStr">
        <is>
          <t>Priya Nair</t>
        </is>
      </c>
      <c r="F328" s="9" t="inlineStr">
        <is>
          <t>Proportional</t>
        </is>
      </c>
      <c r="G328" s="9" t="n">
        <v>2025</v>
      </c>
      <c r="H328" s="12" t="n">
        <v>8300000.000039999</v>
      </c>
      <c r="I328" s="12" t="n">
        <v>714993.3432</v>
      </c>
      <c r="J328" s="12" t="n">
        <v>73021.72031999999</v>
      </c>
      <c r="K328" s="12" t="n">
        <v>714993.3432</v>
      </c>
      <c r="L328" s="12" t="n">
        <v>174657.07152</v>
      </c>
      <c r="M328" s="9" t="n">
        <v>4</v>
      </c>
      <c r="N328" s="12" t="n">
        <v>468895.4828400001</v>
      </c>
      <c r="O328" s="12" t="n">
        <v>607131.201</v>
      </c>
      <c r="P328" s="12" t="n">
        <v>2490000</v>
      </c>
      <c r="Q328" s="9" t="inlineStr">
        <is>
          <t>Low</t>
        </is>
      </c>
      <c r="R328" s="11">
        <f>IFERROR(O328/K328,0)</f>
        <v/>
      </c>
    </row>
    <row r="329">
      <c r="A329" s="9" t="inlineStr">
        <is>
          <t>T0328</t>
        </is>
      </c>
      <c r="B329" s="9" t="inlineStr">
        <is>
          <t>Crown General</t>
        </is>
      </c>
      <c r="C329" s="9" t="inlineStr">
        <is>
          <t>Casualty</t>
        </is>
      </c>
      <c r="D329" s="9" t="inlineStr">
        <is>
          <t>North America</t>
        </is>
      </c>
      <c r="E329" s="9" t="inlineStr">
        <is>
          <t>Priya Nair</t>
        </is>
      </c>
      <c r="F329" s="9" t="inlineStr">
        <is>
          <t>Proportional</t>
        </is>
      </c>
      <c r="G329" s="9" t="n">
        <v>2024</v>
      </c>
      <c r="H329" s="12" t="n">
        <v>4300000</v>
      </c>
      <c r="I329" s="12" t="n">
        <v>709663.92</v>
      </c>
      <c r="J329" s="12" t="n">
        <v>45182.16</v>
      </c>
      <c r="K329" s="12" t="n">
        <v>709663.92</v>
      </c>
      <c r="L329" s="12" t="n">
        <v>192463.8</v>
      </c>
      <c r="M329" s="9" t="n">
        <v>13</v>
      </c>
      <c r="N329" s="12" t="n">
        <v>326237.96</v>
      </c>
      <c r="O329" s="12" t="n">
        <v>339620.83</v>
      </c>
      <c r="P329" s="12" t="n">
        <v>645000</v>
      </c>
      <c r="Q329" s="9" t="inlineStr">
        <is>
          <t>Low</t>
        </is>
      </c>
      <c r="R329" s="11">
        <f>IFERROR(O329/K329,0)</f>
        <v/>
      </c>
    </row>
    <row r="330">
      <c r="A330" s="9" t="inlineStr">
        <is>
          <t>T0329</t>
        </is>
      </c>
      <c r="B330" s="9" t="inlineStr">
        <is>
          <t>Harbor Mutual</t>
        </is>
      </c>
      <c r="C330" s="9" t="inlineStr">
        <is>
          <t>Property</t>
        </is>
      </c>
      <c r="D330" s="9" t="inlineStr">
        <is>
          <t>North America</t>
        </is>
      </c>
      <c r="E330" s="9" t="inlineStr">
        <is>
          <t>Priya Nair</t>
        </is>
      </c>
      <c r="F330" s="9" t="inlineStr">
        <is>
          <t>Proportional</t>
        </is>
      </c>
      <c r="G330" s="9" t="n">
        <v>2024</v>
      </c>
      <c r="H330" s="12" t="n">
        <v>12800000</v>
      </c>
      <c r="I330" s="12" t="n">
        <v>1015041.84</v>
      </c>
      <c r="J330" s="12" t="n">
        <v>92104.79999999999</v>
      </c>
      <c r="K330" s="12" t="n">
        <v>1015041.84</v>
      </c>
      <c r="L330" s="12" t="n">
        <v>316213.68</v>
      </c>
      <c r="M330" s="9" t="n">
        <v>10</v>
      </c>
      <c r="N330" s="12" t="n">
        <v>592785.85</v>
      </c>
      <c r="O330" s="12" t="n">
        <v>706229.71</v>
      </c>
      <c r="P330" s="12" t="n">
        <v>1920000</v>
      </c>
      <c r="Q330" s="9" t="inlineStr">
        <is>
          <t>Low</t>
        </is>
      </c>
      <c r="R330" s="11">
        <f>IFERROR(O330/K330,0)</f>
        <v/>
      </c>
    </row>
    <row r="331">
      <c r="A331" s="9" t="inlineStr">
        <is>
          <t>T0330</t>
        </is>
      </c>
      <c r="B331" s="9" t="inlineStr">
        <is>
          <t>Cobalt Indemnity</t>
        </is>
      </c>
      <c r="C331" s="9" t="inlineStr">
        <is>
          <t>Professional</t>
        </is>
      </c>
      <c r="D331" s="9" t="inlineStr">
        <is>
          <t>North America</t>
        </is>
      </c>
      <c r="E331" s="9" t="inlineStr">
        <is>
          <t>Hannah Weber</t>
        </is>
      </c>
      <c r="F331" s="9" t="inlineStr">
        <is>
          <t>Excess of Loss</t>
        </is>
      </c>
      <c r="G331" s="9" t="n">
        <v>2024</v>
      </c>
      <c r="H331" s="12" t="n">
        <v>2400000</v>
      </c>
      <c r="I331" s="12" t="n">
        <v>367398.6</v>
      </c>
      <c r="J331" s="12" t="n">
        <v>37570.92</v>
      </c>
      <c r="K331" s="12" t="n">
        <v>367398.6</v>
      </c>
      <c r="L331" s="12" t="n">
        <v>38386.2</v>
      </c>
      <c r="M331" s="9" t="n">
        <v>6</v>
      </c>
      <c r="N331" s="12" t="n">
        <v>361345.24</v>
      </c>
      <c r="O331" s="12" t="n">
        <v>361345.24</v>
      </c>
      <c r="P331" s="12" t="n">
        <v>2400000</v>
      </c>
      <c r="Q331" s="9" t="inlineStr">
        <is>
          <t>Low</t>
        </is>
      </c>
      <c r="R331" s="11">
        <f>IFERROR(O331/K331,0)</f>
        <v/>
      </c>
    </row>
    <row r="332">
      <c r="A332" s="9" t="inlineStr">
        <is>
          <t>T0331</t>
        </is>
      </c>
      <c r="B332" s="9" t="inlineStr">
        <is>
          <t>Granite General</t>
        </is>
      </c>
      <c r="C332" s="9" t="inlineStr">
        <is>
          <t>Property</t>
        </is>
      </c>
      <c r="D332" s="9" t="inlineStr">
        <is>
          <t>Asia Pacific</t>
        </is>
      </c>
      <c r="E332" s="9" t="inlineStr">
        <is>
          <t>Sophie Laurent</t>
        </is>
      </c>
      <c r="F332" s="9" t="inlineStr">
        <is>
          <t>Proportional</t>
        </is>
      </c>
      <c r="G332" s="9" t="n">
        <v>2023</v>
      </c>
      <c r="H332" s="12" t="n">
        <v>10900000</v>
      </c>
      <c r="I332" s="12" t="n">
        <v>844470</v>
      </c>
      <c r="J332" s="12" t="n">
        <v>57416.64</v>
      </c>
      <c r="K332" s="12" t="n">
        <v>844470</v>
      </c>
      <c r="L332" s="12" t="n">
        <v>199584.48</v>
      </c>
      <c r="M332" s="9" t="n">
        <v>5</v>
      </c>
      <c r="N332" s="12" t="n">
        <v>796395</v>
      </c>
      <c r="O332" s="12" t="n">
        <v>796395</v>
      </c>
      <c r="P332" s="12" t="n">
        <v>3270000</v>
      </c>
      <c r="Q332" s="9" t="inlineStr">
        <is>
          <t>Low</t>
        </is>
      </c>
      <c r="R332" s="11">
        <f>IFERROR(O332/K332,0)</f>
        <v/>
      </c>
    </row>
    <row r="333">
      <c r="A333" s="9" t="inlineStr">
        <is>
          <t>T0332</t>
        </is>
      </c>
      <c r="B333" s="9" t="inlineStr">
        <is>
          <t>Vantage Assurance</t>
        </is>
      </c>
      <c r="C333" s="9" t="inlineStr">
        <is>
          <t>Casualty</t>
        </is>
      </c>
      <c r="D333" s="9" t="inlineStr">
        <is>
          <t>Europe</t>
        </is>
      </c>
      <c r="E333" s="9" t="inlineStr">
        <is>
          <t>James Whitfield</t>
        </is>
      </c>
      <c r="F333" s="9" t="inlineStr">
        <is>
          <t>Excess of Loss</t>
        </is>
      </c>
      <c r="G333" s="9" t="n">
        <v>2021</v>
      </c>
      <c r="H333" s="12" t="n">
        <v>10599999.9948</v>
      </c>
      <c r="I333" s="12" t="n">
        <v>1366285.4496</v>
      </c>
      <c r="J333" s="12" t="n">
        <v>86174.66880000001</v>
      </c>
      <c r="K333" s="12" t="n">
        <v>1366285.4496</v>
      </c>
      <c r="L333" s="12" t="n">
        <v>90161.94240000001</v>
      </c>
      <c r="M333" s="9" t="n">
        <v>13</v>
      </c>
      <c r="N333" s="12" t="n">
        <v>1071985.644</v>
      </c>
      <c r="O333" s="12" t="n">
        <v>1103894.0388</v>
      </c>
      <c r="P333" s="12" t="n">
        <v>10599999.9948</v>
      </c>
      <c r="Q333" s="9" t="inlineStr">
        <is>
          <t>Low</t>
        </is>
      </c>
      <c r="R333" s="11">
        <f>IFERROR(O333/K333,0)</f>
        <v/>
      </c>
    </row>
    <row r="334">
      <c r="A334" s="9" t="inlineStr">
        <is>
          <t>T0333</t>
        </is>
      </c>
      <c r="B334" s="9" t="inlineStr">
        <is>
          <t>Granite Assurance</t>
        </is>
      </c>
      <c r="C334" s="9" t="inlineStr">
        <is>
          <t>Property</t>
        </is>
      </c>
      <c r="D334" s="9" t="inlineStr">
        <is>
          <t>Asia Pacific</t>
        </is>
      </c>
      <c r="E334" s="9" t="inlineStr">
        <is>
          <t>Priya Nair</t>
        </is>
      </c>
      <c r="F334" s="9" t="inlineStr">
        <is>
          <t>Facultative</t>
        </is>
      </c>
      <c r="G334" s="9" t="n">
        <v>2021</v>
      </c>
      <c r="H334" s="12" t="n">
        <v>42500000</v>
      </c>
      <c r="I334" s="12" t="n">
        <v>3743748.48</v>
      </c>
      <c r="J334" s="12" t="n">
        <v>264859.44</v>
      </c>
      <c r="K334" s="12" t="n">
        <v>3743748.48</v>
      </c>
      <c r="L334" s="12" t="n">
        <v>669351.12</v>
      </c>
      <c r="M334" s="9" t="n">
        <v>11</v>
      </c>
      <c r="N334" s="12" t="n">
        <v>2129791.73</v>
      </c>
      <c r="O334" s="12" t="n">
        <v>2129791.73</v>
      </c>
      <c r="P334" s="12" t="n">
        <v>42500000</v>
      </c>
      <c r="Q334" s="9" t="inlineStr">
        <is>
          <t>Low</t>
        </is>
      </c>
      <c r="R334" s="11">
        <f>IFERROR(O334/K334,0)</f>
        <v/>
      </c>
    </row>
    <row r="335">
      <c r="A335" s="9" t="inlineStr">
        <is>
          <t>T0334</t>
        </is>
      </c>
      <c r="B335" s="9" t="inlineStr">
        <is>
          <t>Orion General</t>
        </is>
      </c>
      <c r="C335" s="9" t="inlineStr">
        <is>
          <t>Property</t>
        </is>
      </c>
      <c r="D335" s="9" t="inlineStr">
        <is>
          <t>North America</t>
        </is>
      </c>
      <c r="E335" s="9" t="inlineStr">
        <is>
          <t>Hannah Weber</t>
        </is>
      </c>
      <c r="F335" s="9" t="inlineStr">
        <is>
          <t>Facultative</t>
        </is>
      </c>
      <c r="G335" s="9" t="n">
        <v>2023</v>
      </c>
      <c r="H335" s="12" t="n">
        <v>8600000</v>
      </c>
      <c r="I335" s="12" t="n">
        <v>1434987.12</v>
      </c>
      <c r="J335" s="12" t="n">
        <v>156351.84</v>
      </c>
      <c r="K335" s="12" t="n">
        <v>1434987.12</v>
      </c>
      <c r="L335" s="12" t="n">
        <v>242609.64</v>
      </c>
      <c r="M335" s="9" t="n">
        <v>10</v>
      </c>
      <c r="N335" s="12" t="n">
        <v>958821.12</v>
      </c>
      <c r="O335" s="12" t="n">
        <v>1070522.94</v>
      </c>
      <c r="P335" s="12" t="n">
        <v>8600000</v>
      </c>
      <c r="Q335" s="9" t="inlineStr">
        <is>
          <t>Low</t>
        </is>
      </c>
      <c r="R335" s="11">
        <f>IFERROR(O335/K335,0)</f>
        <v/>
      </c>
    </row>
    <row r="336">
      <c r="A336" s="9" t="inlineStr">
        <is>
          <t>T0335</t>
        </is>
      </c>
      <c r="B336" s="9" t="inlineStr">
        <is>
          <t>Sterling Assurance</t>
        </is>
      </c>
      <c r="C336" s="9" t="inlineStr">
        <is>
          <t>Specialty</t>
        </is>
      </c>
      <c r="D336" s="9" t="inlineStr">
        <is>
          <t>Unassigned</t>
        </is>
      </c>
      <c r="E336" s="9" t="inlineStr">
        <is>
          <t>Sophie Laurent</t>
        </is>
      </c>
      <c r="F336" s="9" t="inlineStr">
        <is>
          <t>Proportional</t>
        </is>
      </c>
      <c r="G336" s="9" t="n">
        <v>2024</v>
      </c>
      <c r="H336" s="12" t="n">
        <v>12100000</v>
      </c>
      <c r="I336" s="12" t="n">
        <v>1181500.44</v>
      </c>
      <c r="J336" s="12" t="n">
        <v>86133.72</v>
      </c>
      <c r="K336" s="12" t="n">
        <v>1181500.44</v>
      </c>
      <c r="L336" s="12" t="n">
        <v>265239.96</v>
      </c>
      <c r="M336" s="9" t="n">
        <v>8</v>
      </c>
      <c r="N336" s="12" t="n">
        <v>1125504.97</v>
      </c>
      <c r="O336" s="12" t="n">
        <v>1125504.97</v>
      </c>
      <c r="P336" s="12" t="n">
        <v>3630000</v>
      </c>
      <c r="Q336" s="9" t="inlineStr">
        <is>
          <t>Low</t>
        </is>
      </c>
      <c r="R336" s="11">
        <f>IFERROR(O336/K336,0)</f>
        <v/>
      </c>
    </row>
    <row r="337">
      <c r="A337" s="9" t="inlineStr">
        <is>
          <t>T0336</t>
        </is>
      </c>
      <c r="B337" s="9" t="inlineStr">
        <is>
          <t>Evergreen Assurance</t>
        </is>
      </c>
      <c r="C337" s="9" t="inlineStr">
        <is>
          <t>Property</t>
        </is>
      </c>
      <c r="D337" s="9" t="inlineStr">
        <is>
          <t>North America</t>
        </is>
      </c>
      <c r="E337" s="9" t="inlineStr">
        <is>
          <t>Sophie Laurent</t>
        </is>
      </c>
      <c r="F337" s="9" t="inlineStr">
        <is>
          <t>Facultative</t>
        </is>
      </c>
      <c r="G337" s="9" t="n">
        <v>2022</v>
      </c>
      <c r="H337" s="12" t="n">
        <v>6000000</v>
      </c>
      <c r="I337" s="12" t="n">
        <v>843290.52</v>
      </c>
      <c r="J337" s="12" t="n">
        <v>71423.16</v>
      </c>
      <c r="K337" s="12" t="n">
        <v>843290.52</v>
      </c>
      <c r="L337" s="12" t="n">
        <v>138241.32</v>
      </c>
      <c r="M337" s="9" t="n">
        <v>15</v>
      </c>
      <c r="N337" s="12" t="n">
        <v>1163035.09</v>
      </c>
      <c r="O337" s="12" t="n">
        <v>1335732.82</v>
      </c>
      <c r="P337" s="12" t="n">
        <v>6000000</v>
      </c>
      <c r="Q337" s="9" t="inlineStr">
        <is>
          <t>Medium</t>
        </is>
      </c>
      <c r="R337" s="11">
        <f>IFERROR(O337/K337,0)</f>
        <v/>
      </c>
    </row>
    <row r="338">
      <c r="A338" s="9" t="inlineStr">
        <is>
          <t>T0337</t>
        </is>
      </c>
      <c r="B338" s="9" t="inlineStr">
        <is>
          <t>Harbor Insurance</t>
        </is>
      </c>
      <c r="C338" s="9" t="inlineStr">
        <is>
          <t>Casualty</t>
        </is>
      </c>
      <c r="D338" s="9" t="inlineStr">
        <is>
          <t>North America</t>
        </is>
      </c>
      <c r="E338" s="9" t="inlineStr">
        <is>
          <t>Kenji Sato</t>
        </is>
      </c>
      <c r="F338" s="9" t="inlineStr">
        <is>
          <t>Excess of Loss</t>
        </is>
      </c>
      <c r="G338" s="9" t="n">
        <v>2022</v>
      </c>
      <c r="H338" s="12" t="n">
        <v>2300000</v>
      </c>
      <c r="I338" s="12" t="n">
        <v>215279.88</v>
      </c>
      <c r="J338" s="12" t="n">
        <v>22455.48</v>
      </c>
      <c r="K338" s="12" t="n">
        <v>215279.88</v>
      </c>
      <c r="L338" s="12" t="n">
        <v>23790.96</v>
      </c>
      <c r="M338" s="9" t="n">
        <v>9</v>
      </c>
      <c r="N338" s="12" t="n">
        <v>156647.35</v>
      </c>
      <c r="O338" s="12" t="n">
        <v>156647.35</v>
      </c>
      <c r="P338" s="12" t="n">
        <v>2300000</v>
      </c>
      <c r="Q338" s="9" t="inlineStr">
        <is>
          <t>Low</t>
        </is>
      </c>
      <c r="R338" s="11">
        <f>IFERROR(O338/K338,0)</f>
        <v/>
      </c>
    </row>
    <row r="339">
      <c r="A339" s="9" t="inlineStr">
        <is>
          <t>T0338</t>
        </is>
      </c>
      <c r="B339" s="9" t="inlineStr">
        <is>
          <t>Crown General</t>
        </is>
      </c>
      <c r="C339" s="9" t="inlineStr">
        <is>
          <t>Property</t>
        </is>
      </c>
      <c r="D339" s="9" t="inlineStr">
        <is>
          <t>North America</t>
        </is>
      </c>
      <c r="E339" s="9" t="inlineStr">
        <is>
          <t>Carlos Ibarra</t>
        </is>
      </c>
      <c r="F339" s="9" t="inlineStr">
        <is>
          <t>Facultative</t>
        </is>
      </c>
      <c r="G339" s="9" t="n">
        <v>2024</v>
      </c>
      <c r="H339" s="12" t="n">
        <v>14000000</v>
      </c>
      <c r="I339" s="12" t="n">
        <v>2353312.44</v>
      </c>
      <c r="J339" s="12" t="n">
        <v>258708.24</v>
      </c>
      <c r="K339" s="12" t="n">
        <v>2353312.44</v>
      </c>
      <c r="L339" s="12" t="n">
        <v>395073.84</v>
      </c>
      <c r="M339" s="9" t="n">
        <v>10</v>
      </c>
      <c r="N339" s="12" t="n">
        <v>893599.34</v>
      </c>
      <c r="O339" s="12" t="n">
        <v>1236952.12</v>
      </c>
      <c r="P339" s="12" t="n">
        <v>14000000</v>
      </c>
      <c r="Q339" s="9" t="inlineStr">
        <is>
          <t>Low</t>
        </is>
      </c>
      <c r="R339" s="11">
        <f>IFERROR(O339/K339,0)</f>
        <v/>
      </c>
    </row>
    <row r="340">
      <c r="A340" s="9" t="inlineStr">
        <is>
          <t>T0339</t>
        </is>
      </c>
      <c r="B340" s="9" t="inlineStr">
        <is>
          <t>Vantage Assurance</t>
        </is>
      </c>
      <c r="C340" s="9" t="inlineStr">
        <is>
          <t>Property</t>
        </is>
      </c>
      <c r="D340" s="9" t="inlineStr">
        <is>
          <t>Europe</t>
        </is>
      </c>
      <c r="E340" s="9" t="inlineStr">
        <is>
          <t>Kenji Sato</t>
        </is>
      </c>
      <c r="F340" s="9" t="inlineStr">
        <is>
          <t>Proportional</t>
        </is>
      </c>
      <c r="G340" s="9" t="n">
        <v>2023</v>
      </c>
      <c r="H340" s="12" t="n">
        <v>4100000.004</v>
      </c>
      <c r="I340" s="12" t="n">
        <v>477049.6944</v>
      </c>
      <c r="J340" s="12" t="n">
        <v>41074.5168</v>
      </c>
      <c r="K340" s="12" t="n">
        <v>477049.6944</v>
      </c>
      <c r="L340" s="12" t="n">
        <v>124589.016</v>
      </c>
      <c r="M340" s="9" t="n">
        <v>8</v>
      </c>
      <c r="N340" s="12" t="n">
        <v>125159.5476</v>
      </c>
      <c r="O340" s="12" t="n">
        <v>174041.082</v>
      </c>
      <c r="P340" s="12" t="n">
        <v>1230000.0012</v>
      </c>
      <c r="Q340" s="9" t="inlineStr">
        <is>
          <t>Low</t>
        </is>
      </c>
      <c r="R340" s="11">
        <f>IFERROR(O340/K340,0)</f>
        <v/>
      </c>
    </row>
    <row r="341">
      <c r="A341" s="9" t="inlineStr">
        <is>
          <t>T0340</t>
        </is>
      </c>
      <c r="B341" s="9" t="inlineStr">
        <is>
          <t>Orion Insurance</t>
        </is>
      </c>
      <c r="C341" s="9" t="inlineStr">
        <is>
          <t>Property</t>
        </is>
      </c>
      <c r="D341" s="9" t="inlineStr">
        <is>
          <t>Asia Pacific</t>
        </is>
      </c>
      <c r="E341" s="9" t="inlineStr">
        <is>
          <t>Omar Haddad</t>
        </is>
      </c>
      <c r="F341" s="9" t="inlineStr">
        <is>
          <t>Excess of Loss</t>
        </is>
      </c>
      <c r="G341" s="9" t="n">
        <v>2021</v>
      </c>
      <c r="H341" s="12" t="n">
        <v>9600000</v>
      </c>
      <c r="I341" s="12" t="n">
        <v>1248061.68</v>
      </c>
      <c r="J341" s="12" t="n">
        <v>136711.8</v>
      </c>
      <c r="K341" s="12" t="n">
        <v>1248061.68</v>
      </c>
      <c r="L341" s="12" t="n">
        <v>69809.39999999999</v>
      </c>
      <c r="M341" s="9" t="n">
        <v>8</v>
      </c>
      <c r="N341" s="12" t="n">
        <v>861987.4399999999</v>
      </c>
      <c r="O341" s="12" t="n">
        <v>891517.4299999999</v>
      </c>
      <c r="P341" s="12" t="n">
        <v>9600000</v>
      </c>
      <c r="Q341" s="9" t="inlineStr">
        <is>
          <t>Low</t>
        </is>
      </c>
      <c r="R341" s="11">
        <f>IFERROR(O341/K341,0)</f>
        <v/>
      </c>
    </row>
    <row r="342">
      <c r="A342" s="9" t="inlineStr">
        <is>
          <t>T0341</t>
        </is>
      </c>
      <c r="B342" s="9" t="inlineStr">
        <is>
          <t>Cobalt General</t>
        </is>
      </c>
      <c r="C342" s="9" t="inlineStr">
        <is>
          <t>Specialty</t>
        </is>
      </c>
      <c r="D342" s="9" t="inlineStr">
        <is>
          <t>North America</t>
        </is>
      </c>
      <c r="E342" s="9" t="inlineStr">
        <is>
          <t>Carlos Ibarra</t>
        </is>
      </c>
      <c r="F342" s="9" t="inlineStr">
        <is>
          <t>Proportional</t>
        </is>
      </c>
      <c r="G342" s="9" t="n">
        <v>2025</v>
      </c>
      <c r="H342" s="12" t="n">
        <v>9300000</v>
      </c>
      <c r="I342" s="12" t="n">
        <v>775028.88</v>
      </c>
      <c r="J342" s="12" t="n">
        <v>43637.16</v>
      </c>
      <c r="K342" s="12" t="n">
        <v>755653.1599999999</v>
      </c>
      <c r="L342" s="12" t="n">
        <v>190207.0175034241</v>
      </c>
      <c r="M342" s="9" t="n">
        <v>12</v>
      </c>
      <c r="N342" s="12" t="n">
        <v>125094.91</v>
      </c>
      <c r="O342" s="12" t="n">
        <v>221425.08</v>
      </c>
      <c r="P342" s="12" t="n">
        <v>4650000</v>
      </c>
      <c r="Q342" s="9" t="inlineStr">
        <is>
          <t>Low</t>
        </is>
      </c>
      <c r="R342" s="11">
        <f>IFERROR(O342/K342,0)</f>
        <v/>
      </c>
    </row>
    <row r="343">
      <c r="A343" s="9" t="inlineStr">
        <is>
          <t>T0342</t>
        </is>
      </c>
      <c r="B343" s="9" t="inlineStr">
        <is>
          <t>Cobalt Assurance</t>
        </is>
      </c>
      <c r="C343" s="9" t="inlineStr">
        <is>
          <t>Financial Lines</t>
        </is>
      </c>
      <c r="D343" s="9" t="inlineStr">
        <is>
          <t>Europe</t>
        </is>
      </c>
      <c r="E343" s="9" t="inlineStr">
        <is>
          <t>Sophie Laurent</t>
        </is>
      </c>
      <c r="F343" s="9" t="inlineStr">
        <is>
          <t>Proportional</t>
        </is>
      </c>
      <c r="G343" s="9" t="n">
        <v>2022</v>
      </c>
      <c r="H343" s="12" t="n">
        <v>40000000.0032</v>
      </c>
      <c r="I343" s="12" t="n">
        <v>2638348.5348</v>
      </c>
      <c r="J343" s="12" t="n">
        <v>265944.492</v>
      </c>
      <c r="K343" s="12" t="n">
        <v>2638348.5348</v>
      </c>
      <c r="L343" s="12" t="n">
        <v>710631.6624</v>
      </c>
      <c r="M343" s="9" t="n">
        <v>8</v>
      </c>
      <c r="N343" s="12" t="n">
        <v>2239709.4</v>
      </c>
      <c r="O343" s="12" t="n">
        <v>2239709.4</v>
      </c>
      <c r="P343" s="12" t="n">
        <v>8000000.002800001</v>
      </c>
      <c r="Q343" s="9" t="inlineStr">
        <is>
          <t>Low</t>
        </is>
      </c>
      <c r="R343" s="11">
        <f>IFERROR(O343/K343,0)</f>
        <v/>
      </c>
    </row>
    <row r="344">
      <c r="A344" s="9" t="inlineStr">
        <is>
          <t>T0343</t>
        </is>
      </c>
      <c r="B344" s="9" t="inlineStr">
        <is>
          <t>Orion General</t>
        </is>
      </c>
      <c r="C344" s="9" t="inlineStr">
        <is>
          <t>Property</t>
        </is>
      </c>
      <c r="D344" s="9" t="inlineStr">
        <is>
          <t>North America</t>
        </is>
      </c>
      <c r="E344" s="9" t="inlineStr">
        <is>
          <t>James Whitfield</t>
        </is>
      </c>
      <c r="F344" s="9" t="inlineStr">
        <is>
          <t>Excess of Loss</t>
        </is>
      </c>
      <c r="G344" s="9" t="n">
        <v>2024</v>
      </c>
      <c r="H344" s="12" t="n">
        <v>10300000</v>
      </c>
      <c r="I344" s="12" t="n">
        <v>1423189.56</v>
      </c>
      <c r="J344" s="12" t="n">
        <v>169801.08</v>
      </c>
      <c r="K344" s="12" t="n">
        <v>1423189.56</v>
      </c>
      <c r="L344" s="12" t="n">
        <v>143297.4</v>
      </c>
      <c r="M344" s="9" t="n">
        <v>4</v>
      </c>
      <c r="N344" s="12" t="n">
        <v>1091684.8</v>
      </c>
      <c r="O344" s="12" t="n">
        <v>1129362.25</v>
      </c>
      <c r="P344" s="12" t="n">
        <v>10300000</v>
      </c>
      <c r="Q344" s="9" t="inlineStr">
        <is>
          <t>Low</t>
        </is>
      </c>
      <c r="R344" s="11">
        <f>IFERROR(O344/K344,0)</f>
        <v/>
      </c>
    </row>
    <row r="345">
      <c r="A345" s="9" t="inlineStr">
        <is>
          <t>T0344</t>
        </is>
      </c>
      <c r="B345" s="9" t="inlineStr">
        <is>
          <t>Atlas Assurance</t>
        </is>
      </c>
      <c r="C345" s="9" t="inlineStr">
        <is>
          <t>Property</t>
        </is>
      </c>
      <c r="D345" s="9" t="inlineStr">
        <is>
          <t>North America</t>
        </is>
      </c>
      <c r="E345" s="9" t="inlineStr">
        <is>
          <t>Aarav Mehta</t>
        </is>
      </c>
      <c r="F345" s="9" t="inlineStr">
        <is>
          <t>Excess of Loss</t>
        </is>
      </c>
      <c r="G345" s="9" t="n">
        <v>2025</v>
      </c>
      <c r="H345" s="12" t="n">
        <v>19800000</v>
      </c>
      <c r="I345" s="12" t="n">
        <v>1676601.6</v>
      </c>
      <c r="J345" s="12" t="n">
        <v>102930.72</v>
      </c>
      <c r="K345" s="12" t="n">
        <v>1676601.6</v>
      </c>
      <c r="L345" s="12" t="n">
        <v>151416.24</v>
      </c>
      <c r="M345" s="9" t="n">
        <v>12</v>
      </c>
      <c r="N345" s="12" t="n">
        <v>329359.25</v>
      </c>
      <c r="O345" s="12" t="n">
        <v>721790.1</v>
      </c>
      <c r="P345" s="12" t="n">
        <v>19800000</v>
      </c>
      <c r="Q345" s="9" t="inlineStr">
        <is>
          <t>Low</t>
        </is>
      </c>
      <c r="R345" s="11">
        <f>IFERROR(O345/K345,0)</f>
        <v/>
      </c>
    </row>
    <row r="346">
      <c r="A346" s="9" t="inlineStr">
        <is>
          <t>T0345</t>
        </is>
      </c>
      <c r="B346" s="9" t="inlineStr">
        <is>
          <t>Atlas Mutual</t>
        </is>
      </c>
      <c r="C346" s="9" t="inlineStr">
        <is>
          <t>Professional</t>
        </is>
      </c>
      <c r="D346" s="9" t="inlineStr">
        <is>
          <t>Europe</t>
        </is>
      </c>
      <c r="E346" s="9" t="inlineStr">
        <is>
          <t>Priya Nair</t>
        </is>
      </c>
      <c r="F346" s="9" t="inlineStr">
        <is>
          <t>Proportional</t>
        </is>
      </c>
      <c r="G346" s="9" t="n">
        <v>2022</v>
      </c>
      <c r="H346" s="12" t="n">
        <v>4200000.001200001</v>
      </c>
      <c r="I346" s="12" t="n">
        <v>739919.4480000001</v>
      </c>
      <c r="J346" s="12" t="n">
        <v>71802.5472</v>
      </c>
      <c r="K346" s="12" t="n">
        <v>739919.4480000001</v>
      </c>
      <c r="L346" s="12" t="n">
        <v>212941.7424</v>
      </c>
      <c r="M346" s="9" t="n">
        <v>8</v>
      </c>
      <c r="N346" s="12" t="n">
        <v>364065.0408</v>
      </c>
      <c r="O346" s="12" t="n">
        <v>364065.0408</v>
      </c>
      <c r="P346" s="12" t="n">
        <v>1680000.0048</v>
      </c>
      <c r="Q346" s="9" t="inlineStr">
        <is>
          <t>Low</t>
        </is>
      </c>
      <c r="R346" s="11">
        <f>IFERROR(O346/K346,0)</f>
        <v/>
      </c>
    </row>
    <row r="347">
      <c r="A347" s="9" t="inlineStr">
        <is>
          <t>T0346</t>
        </is>
      </c>
      <c r="B347" s="9" t="inlineStr">
        <is>
          <t>Vantage Assurance</t>
        </is>
      </c>
      <c r="C347" s="9" t="inlineStr">
        <is>
          <t>Casualty</t>
        </is>
      </c>
      <c r="D347" s="9" t="inlineStr">
        <is>
          <t>Europe</t>
        </is>
      </c>
      <c r="E347" s="9" t="inlineStr">
        <is>
          <t>Kenji Sato</t>
        </is>
      </c>
      <c r="F347" s="9" t="inlineStr">
        <is>
          <t>Proportional</t>
        </is>
      </c>
      <c r="G347" s="9" t="n">
        <v>2026</v>
      </c>
      <c r="H347" s="12" t="n">
        <v>13899999.9996</v>
      </c>
      <c r="I347" s="12" t="n">
        <v>1104087.8016</v>
      </c>
      <c r="J347" s="12" t="n">
        <v>69256.1664</v>
      </c>
      <c r="K347" s="12" t="n">
        <v>1030481.946</v>
      </c>
      <c r="L347" s="12" t="n">
        <v>301912.5305671592</v>
      </c>
      <c r="M347" s="9" t="n">
        <v>11</v>
      </c>
      <c r="N347" s="12" t="n">
        <v>419190.2928000001</v>
      </c>
      <c r="O347" s="12" t="n">
        <v>782261.2152</v>
      </c>
      <c r="P347" s="12" t="n">
        <v>4169999.9988</v>
      </c>
      <c r="Q347" s="9" t="inlineStr">
        <is>
          <t>Low</t>
        </is>
      </c>
      <c r="R347" s="11">
        <f>IFERROR(O347/K347,0)</f>
        <v/>
      </c>
    </row>
    <row r="348">
      <c r="A348" s="9" t="inlineStr">
        <is>
          <t>T0347</t>
        </is>
      </c>
      <c r="B348" s="9" t="inlineStr">
        <is>
          <t>Summit Insurance</t>
        </is>
      </c>
      <c r="C348" s="9" t="inlineStr">
        <is>
          <t>Casualty</t>
        </is>
      </c>
      <c r="D348" s="9" t="inlineStr">
        <is>
          <t>Europe</t>
        </is>
      </c>
      <c r="E348" s="9" t="inlineStr">
        <is>
          <t>Hannah Weber</t>
        </is>
      </c>
      <c r="F348" s="9" t="inlineStr">
        <is>
          <t>Facultative</t>
        </is>
      </c>
      <c r="G348" s="9" t="n">
        <v>2024</v>
      </c>
      <c r="H348" s="12" t="n">
        <v>10099999.998</v>
      </c>
      <c r="I348" s="12" t="n">
        <v>932135.5584</v>
      </c>
      <c r="J348" s="12" t="n">
        <v>110111.2704</v>
      </c>
      <c r="K348" s="12" t="n">
        <v>932135.5584</v>
      </c>
      <c r="L348" s="12" t="n">
        <v>154819.7712</v>
      </c>
      <c r="M348" s="9" t="n">
        <v>7</v>
      </c>
      <c r="N348" s="12" t="n">
        <v>205590.9168</v>
      </c>
      <c r="O348" s="12" t="n">
        <v>781835.0040000001</v>
      </c>
      <c r="P348" s="12" t="n">
        <v>10099999.998</v>
      </c>
      <c r="Q348" s="9" t="inlineStr">
        <is>
          <t>Low</t>
        </is>
      </c>
      <c r="R348" s="11">
        <f>IFERROR(O348/K348,0)</f>
        <v/>
      </c>
    </row>
    <row r="349">
      <c r="A349" s="9" t="inlineStr">
        <is>
          <t>T0348</t>
        </is>
      </c>
      <c r="B349" s="9" t="inlineStr">
        <is>
          <t>Orion Insurance</t>
        </is>
      </c>
      <c r="C349" s="9" t="inlineStr">
        <is>
          <t>Property</t>
        </is>
      </c>
      <c r="D349" s="9" t="inlineStr">
        <is>
          <t>Asia Pacific</t>
        </is>
      </c>
      <c r="E349" s="9" t="inlineStr">
        <is>
          <t>James Whitfield</t>
        </is>
      </c>
      <c r="F349" s="9" t="inlineStr">
        <is>
          <t>Proportional</t>
        </is>
      </c>
      <c r="G349" s="9" t="n">
        <v>2024</v>
      </c>
      <c r="H349" s="12" t="n">
        <v>4000000</v>
      </c>
      <c r="I349" s="12" t="n">
        <v>642076.4400000001</v>
      </c>
      <c r="J349" s="12" t="n">
        <v>74289.95999999999</v>
      </c>
      <c r="K349" s="12" t="n">
        <v>642076.4400000001</v>
      </c>
      <c r="L349" s="12" t="n">
        <v>176527.2</v>
      </c>
      <c r="M349" s="9" t="n">
        <v>9</v>
      </c>
      <c r="N349" s="12" t="n">
        <v>229022.25</v>
      </c>
      <c r="O349" s="12" t="n">
        <v>229022.25</v>
      </c>
      <c r="P349" s="12" t="n">
        <v>1000000</v>
      </c>
      <c r="Q349" s="9" t="inlineStr">
        <is>
          <t>Low</t>
        </is>
      </c>
      <c r="R349" s="11">
        <f>IFERROR(O349/K349,0)</f>
        <v/>
      </c>
    </row>
    <row r="350">
      <c r="A350" s="9" t="inlineStr">
        <is>
          <t>T0349</t>
        </is>
      </c>
      <c r="B350" s="9" t="inlineStr">
        <is>
          <t>Harbor Insurance</t>
        </is>
      </c>
      <c r="C350" s="9" t="inlineStr">
        <is>
          <t>Financial Lines</t>
        </is>
      </c>
      <c r="D350" s="9" t="inlineStr">
        <is>
          <t>North America</t>
        </is>
      </c>
      <c r="E350" s="9" t="inlineStr">
        <is>
          <t>Carlos Ibarra</t>
        </is>
      </c>
      <c r="F350" s="9" t="inlineStr">
        <is>
          <t>Proportional</t>
        </is>
      </c>
      <c r="G350" s="9" t="n">
        <v>2021</v>
      </c>
      <c r="H350" s="12" t="n">
        <v>18400000</v>
      </c>
      <c r="I350" s="12" t="n">
        <v>2729214.72</v>
      </c>
      <c r="J350" s="12" t="n">
        <v>260355.84</v>
      </c>
      <c r="K350" s="12" t="n">
        <v>2729214.72</v>
      </c>
      <c r="L350" s="12" t="n">
        <v>672757.2</v>
      </c>
      <c r="M350" s="9" t="n">
        <v>12</v>
      </c>
      <c r="N350" s="12" t="n">
        <v>958216.9299999999</v>
      </c>
      <c r="O350" s="12" t="n">
        <v>971531.14</v>
      </c>
      <c r="P350" s="12" t="n">
        <v>5520000</v>
      </c>
      <c r="Q350" s="9" t="inlineStr">
        <is>
          <t>Low</t>
        </is>
      </c>
      <c r="R350" s="11">
        <f>IFERROR(O350/K350,0)</f>
        <v/>
      </c>
    </row>
    <row r="351">
      <c r="A351" s="9" t="inlineStr">
        <is>
          <t>T0350</t>
        </is>
      </c>
      <c r="B351" s="9" t="inlineStr">
        <is>
          <t>Northwind Mutual</t>
        </is>
      </c>
      <c r="C351" s="9" t="inlineStr">
        <is>
          <t>Casualty</t>
        </is>
      </c>
      <c r="D351" s="9" t="inlineStr">
        <is>
          <t>Asia Pacific</t>
        </is>
      </c>
      <c r="E351" s="9" t="inlineStr">
        <is>
          <t>Sophie Laurent</t>
        </is>
      </c>
      <c r="F351" s="9" t="inlineStr">
        <is>
          <t>Proportional</t>
        </is>
      </c>
      <c r="G351" s="9" t="n">
        <v>2024</v>
      </c>
      <c r="H351" s="12" t="n">
        <v>9000000</v>
      </c>
      <c r="I351" s="12" t="n">
        <v>1791557.87904</v>
      </c>
      <c r="J351" s="12" t="n">
        <v>204753.09168</v>
      </c>
      <c r="K351" s="12" t="n">
        <v>1791557.87904</v>
      </c>
      <c r="L351" s="12" t="n">
        <v>479020.9680000001</v>
      </c>
      <c r="M351" s="9" t="n">
        <v>8</v>
      </c>
      <c r="N351" s="12" t="n">
        <v>339885.3937200001</v>
      </c>
      <c r="O351" s="12" t="n">
        <v>361319.64084</v>
      </c>
      <c r="P351" s="12" t="n">
        <v>2250000</v>
      </c>
      <c r="Q351" s="9" t="inlineStr">
        <is>
          <t>Low</t>
        </is>
      </c>
      <c r="R351" s="11">
        <f>IFERROR(O351/K351,0)</f>
        <v/>
      </c>
    </row>
    <row r="352">
      <c r="A352" s="9" t="inlineStr">
        <is>
          <t>T0351</t>
        </is>
      </c>
      <c r="B352" s="9" t="inlineStr">
        <is>
          <t>Vantage Mutual</t>
        </is>
      </c>
      <c r="C352" s="9" t="inlineStr">
        <is>
          <t>Property</t>
        </is>
      </c>
      <c r="D352" s="9" t="inlineStr">
        <is>
          <t>Asia Pacific</t>
        </is>
      </c>
      <c r="E352" s="9" t="inlineStr">
        <is>
          <t>Omar Haddad</t>
        </is>
      </c>
      <c r="F352" s="9" t="inlineStr">
        <is>
          <t>Proportional</t>
        </is>
      </c>
      <c r="G352" s="9" t="n">
        <v>2023</v>
      </c>
      <c r="H352" s="12" t="n">
        <v>13800000</v>
      </c>
      <c r="I352" s="12" t="n">
        <v>2262512.088</v>
      </c>
      <c r="J352" s="12" t="n">
        <v>137780.79552</v>
      </c>
      <c r="K352" s="12" t="n">
        <v>2262512.088</v>
      </c>
      <c r="L352" s="12" t="n">
        <v>592038.8352</v>
      </c>
      <c r="M352" s="9" t="n">
        <v>7</v>
      </c>
      <c r="N352" s="12" t="n">
        <v>1172593.79676</v>
      </c>
      <c r="O352" s="12" t="n">
        <v>1246466.76564</v>
      </c>
      <c r="P352" s="12" t="n">
        <v>5520000</v>
      </c>
      <c r="Q352" s="9" t="inlineStr">
        <is>
          <t>Low</t>
        </is>
      </c>
      <c r="R352" s="11">
        <f>IFERROR(O352/K352,0)</f>
        <v/>
      </c>
    </row>
    <row r="353">
      <c r="A353" s="9" t="inlineStr">
        <is>
          <t>T0352</t>
        </is>
      </c>
      <c r="B353" s="9" t="inlineStr">
        <is>
          <t>Evergreen General</t>
        </is>
      </c>
      <c r="C353" s="9" t="inlineStr">
        <is>
          <t>Financial Lines</t>
        </is>
      </c>
      <c r="D353" s="9" t="inlineStr">
        <is>
          <t>North America</t>
        </is>
      </c>
      <c r="E353" s="9" t="inlineStr">
        <is>
          <t>Hannah Weber</t>
        </is>
      </c>
      <c r="F353" s="9" t="inlineStr">
        <is>
          <t>Excess of Loss</t>
        </is>
      </c>
      <c r="G353" s="9" t="n">
        <v>2023</v>
      </c>
      <c r="H353" s="12" t="n">
        <v>48300000</v>
      </c>
      <c r="I353" s="12" t="n">
        <v>5565135.48</v>
      </c>
      <c r="J353" s="12" t="n">
        <v>397649.16</v>
      </c>
      <c r="K353" s="12" t="n">
        <v>5565135.48</v>
      </c>
      <c r="L353" s="12" t="n">
        <v>619081.3200000001</v>
      </c>
      <c r="M353" s="9" t="n">
        <v>6</v>
      </c>
      <c r="N353" s="12" t="n">
        <v>988038.0600000001</v>
      </c>
      <c r="O353" s="12" t="n">
        <v>1078789.49</v>
      </c>
      <c r="P353" s="12" t="n">
        <v>48300000</v>
      </c>
      <c r="Q353" s="9" t="inlineStr">
        <is>
          <t>Low</t>
        </is>
      </c>
      <c r="R353" s="11">
        <f>IFERROR(O353/K353,0)</f>
        <v/>
      </c>
    </row>
    <row r="354">
      <c r="A354" s="9" t="inlineStr">
        <is>
          <t>T0353</t>
        </is>
      </c>
      <c r="B354" s="9" t="inlineStr">
        <is>
          <t>Summit Indemnity</t>
        </is>
      </c>
      <c r="C354" s="9" t="inlineStr">
        <is>
          <t>Property</t>
        </is>
      </c>
      <c r="D354" s="9" t="inlineStr">
        <is>
          <t>Asia Pacific</t>
        </is>
      </c>
      <c r="E354" s="9" t="inlineStr">
        <is>
          <t>Sophie Laurent</t>
        </is>
      </c>
      <c r="F354" s="9" t="inlineStr">
        <is>
          <t>Proportional</t>
        </is>
      </c>
      <c r="G354" s="9" t="n">
        <v>2024</v>
      </c>
      <c r="H354" s="12" t="n">
        <v>8800000</v>
      </c>
      <c r="I354" s="12" t="n">
        <v>1547839.68</v>
      </c>
      <c r="J354" s="12" t="n">
        <v>157261.44</v>
      </c>
      <c r="K354" s="12" t="n">
        <v>1547839.68</v>
      </c>
      <c r="L354" s="12" t="n">
        <v>475904.28</v>
      </c>
      <c r="M354" s="9" t="n">
        <v>7</v>
      </c>
      <c r="N354" s="12" t="n">
        <v>1435741.89</v>
      </c>
      <c r="O354" s="12" t="n">
        <v>1435741.89</v>
      </c>
      <c r="P354" s="12" t="n">
        <v>1760000</v>
      </c>
      <c r="Q354" s="9" t="inlineStr">
        <is>
          <t>Low</t>
        </is>
      </c>
      <c r="R354" s="11">
        <f>IFERROR(O354/K354,0)</f>
        <v/>
      </c>
    </row>
    <row r="355">
      <c r="A355" s="9" t="inlineStr">
        <is>
          <t>T0354</t>
        </is>
      </c>
      <c r="B355" s="9" t="inlineStr">
        <is>
          <t>Meridian General</t>
        </is>
      </c>
      <c r="C355" s="9" t="inlineStr">
        <is>
          <t>Casualty</t>
        </is>
      </c>
      <c r="D355" s="9" t="inlineStr">
        <is>
          <t>North America</t>
        </is>
      </c>
      <c r="E355" s="9" t="inlineStr">
        <is>
          <t>Priya Nair</t>
        </is>
      </c>
      <c r="F355" s="9" t="inlineStr">
        <is>
          <t>Excess of Loss</t>
        </is>
      </c>
      <c r="G355" s="9" t="n">
        <v>2022</v>
      </c>
      <c r="H355" s="12" t="n">
        <v>31400000</v>
      </c>
      <c r="I355" s="12" t="n">
        <v>3401751.12</v>
      </c>
      <c r="J355" s="12" t="n">
        <v>329292.84</v>
      </c>
      <c r="K355" s="12" t="n">
        <v>3401751.12</v>
      </c>
      <c r="L355" s="12" t="n">
        <v>373569.72</v>
      </c>
      <c r="M355" s="9" t="n">
        <v>18</v>
      </c>
      <c r="N355" s="12" t="n">
        <v>1321992.74</v>
      </c>
      <c r="O355" s="12" t="n">
        <v>1321992.74</v>
      </c>
      <c r="P355" s="12" t="n">
        <v>31400000</v>
      </c>
      <c r="Q355" s="9" t="inlineStr">
        <is>
          <t>Low</t>
        </is>
      </c>
      <c r="R355" s="11">
        <f>IFERROR(O355/K355,0)</f>
        <v/>
      </c>
    </row>
    <row r="356">
      <c r="A356" s="9" t="inlineStr">
        <is>
          <t>T0355</t>
        </is>
      </c>
      <c r="B356" s="9" t="inlineStr">
        <is>
          <t>Pioneer Indemnity</t>
        </is>
      </c>
      <c r="C356" s="9" t="inlineStr">
        <is>
          <t>Casualty</t>
        </is>
      </c>
      <c r="D356" s="9" t="inlineStr">
        <is>
          <t>Latin America</t>
        </is>
      </c>
      <c r="E356" s="9" t="inlineStr">
        <is>
          <t>Kenji Sato</t>
        </is>
      </c>
      <c r="F356" s="9" t="inlineStr">
        <is>
          <t>Excess of Loss</t>
        </is>
      </c>
      <c r="G356" s="9" t="n">
        <v>2024</v>
      </c>
      <c r="H356" s="12" t="n">
        <v>17400000</v>
      </c>
      <c r="I356" s="12" t="n">
        <v>2152165.44</v>
      </c>
      <c r="J356" s="12" t="n">
        <v>172071.24</v>
      </c>
      <c r="K356" s="12" t="n">
        <v>2152165.44</v>
      </c>
      <c r="L356" s="12" t="n">
        <v>152342.52</v>
      </c>
      <c r="M356" s="9" t="n">
        <v>10</v>
      </c>
      <c r="N356" s="12" t="n">
        <v>1275351.93</v>
      </c>
      <c r="O356" s="12" t="n">
        <v>1810278.16</v>
      </c>
      <c r="P356" s="12" t="n">
        <v>17400000</v>
      </c>
      <c r="Q356" s="9" t="inlineStr">
        <is>
          <t>Low</t>
        </is>
      </c>
      <c r="R356" s="11">
        <f>IFERROR(O356/K356,0)</f>
        <v/>
      </c>
    </row>
    <row r="357">
      <c r="A357" s="9" t="inlineStr">
        <is>
          <t>T0356</t>
        </is>
      </c>
      <c r="B357" s="9" t="inlineStr">
        <is>
          <t>Evergreen Indemnity</t>
        </is>
      </c>
      <c r="C357" s="9" t="inlineStr">
        <is>
          <t>Casualty</t>
        </is>
      </c>
      <c r="D357" s="9" t="inlineStr">
        <is>
          <t>Unassigned</t>
        </is>
      </c>
      <c r="E357" s="9" t="inlineStr">
        <is>
          <t>Sophie Laurent</t>
        </is>
      </c>
      <c r="F357" s="9" t="inlineStr">
        <is>
          <t>Facultative</t>
        </is>
      </c>
      <c r="G357" s="9" t="n">
        <v>2025</v>
      </c>
      <c r="H357" s="12" t="n">
        <v>29600000</v>
      </c>
      <c r="I357" s="12" t="n">
        <v>2929610.64</v>
      </c>
      <c r="J357" s="12" t="n">
        <v>176958.36</v>
      </c>
      <c r="K357" s="12" t="n">
        <v>2929610.64</v>
      </c>
      <c r="L357" s="12" t="n">
        <v>489943.0800000001</v>
      </c>
      <c r="M357" s="9" t="n">
        <v>14</v>
      </c>
      <c r="N357" s="12" t="n">
        <v>908805.84</v>
      </c>
      <c r="O357" s="12" t="n">
        <v>1030624.71</v>
      </c>
      <c r="P357" s="12" t="n">
        <v>29600000</v>
      </c>
      <c r="Q357" s="9" t="inlineStr">
        <is>
          <t>Low</t>
        </is>
      </c>
      <c r="R357" s="11">
        <f>IFERROR(O357/K357,0)</f>
        <v/>
      </c>
    </row>
    <row r="358">
      <c r="A358" s="9" t="inlineStr">
        <is>
          <t>T0357</t>
        </is>
      </c>
      <c r="B358" s="9" t="inlineStr">
        <is>
          <t>Northwind General</t>
        </is>
      </c>
      <c r="C358" s="9" t="inlineStr">
        <is>
          <t>Specialty</t>
        </is>
      </c>
      <c r="D358" s="9" t="inlineStr">
        <is>
          <t>Asia Pacific</t>
        </is>
      </c>
      <c r="E358" s="9" t="inlineStr">
        <is>
          <t>Priya Nair</t>
        </is>
      </c>
      <c r="F358" s="9" t="inlineStr">
        <is>
          <t>Proportional</t>
        </is>
      </c>
      <c r="G358" s="9" t="n">
        <v>2022</v>
      </c>
      <c r="H358" s="12" t="n">
        <v>51600000</v>
      </c>
      <c r="I358" s="12" t="n">
        <v>4216354.33824</v>
      </c>
      <c r="J358" s="12" t="n">
        <v>312129.6292800001</v>
      </c>
      <c r="K358" s="12" t="n">
        <v>4216354.33824</v>
      </c>
      <c r="L358" s="12" t="n">
        <v>1036921.61376</v>
      </c>
      <c r="M358" s="9" t="n">
        <v>9</v>
      </c>
      <c r="N358" s="12" t="n">
        <v>3057718.65552</v>
      </c>
      <c r="O358" s="12" t="n">
        <v>3310595.445</v>
      </c>
      <c r="P358" s="12" t="n">
        <v>15480000</v>
      </c>
      <c r="Q358" s="9" t="inlineStr">
        <is>
          <t>Low</t>
        </is>
      </c>
      <c r="R358" s="11">
        <f>IFERROR(O358/K358,0)</f>
        <v/>
      </c>
    </row>
    <row r="359">
      <c r="A359" s="9" t="inlineStr">
        <is>
          <t>T0358</t>
        </is>
      </c>
      <c r="B359" s="9" t="inlineStr">
        <is>
          <t>Atlas Assurance</t>
        </is>
      </c>
      <c r="C359" s="9" t="inlineStr">
        <is>
          <t>Financial Lines</t>
        </is>
      </c>
      <c r="D359" s="9" t="inlineStr">
        <is>
          <t>North America</t>
        </is>
      </c>
      <c r="E359" s="9" t="inlineStr">
        <is>
          <t>Sophie Laurent</t>
        </is>
      </c>
      <c r="F359" s="9" t="inlineStr">
        <is>
          <t>Proportional</t>
        </is>
      </c>
      <c r="G359" s="9" t="n">
        <v>2025</v>
      </c>
      <c r="H359" s="12" t="n">
        <v>24900000</v>
      </c>
      <c r="I359" s="12" t="n">
        <v>2120624.55</v>
      </c>
      <c r="J359" s="12" t="n">
        <v>116657.86</v>
      </c>
      <c r="K359" s="12" t="n">
        <v>1927840.5</v>
      </c>
      <c r="L359" s="12" t="n">
        <v>464500.2000000001</v>
      </c>
      <c r="M359" s="9" t="n">
        <v>5</v>
      </c>
      <c r="N359" s="12" t="n">
        <v>613508.0600000001</v>
      </c>
      <c r="O359" s="12" t="n">
        <v>1888223.55</v>
      </c>
      <c r="P359" s="12" t="n">
        <v>4980000</v>
      </c>
      <c r="Q359" s="9" t="inlineStr">
        <is>
          <t>Low</t>
        </is>
      </c>
      <c r="R359" s="11">
        <f>IFERROR(O359/K359,0)</f>
        <v/>
      </c>
    </row>
    <row r="360">
      <c r="A360" s="9" t="inlineStr">
        <is>
          <t>T0359</t>
        </is>
      </c>
      <c r="B360" s="9" t="inlineStr">
        <is>
          <t>Summit Indemnity</t>
        </is>
      </c>
      <c r="C360" s="9" t="inlineStr">
        <is>
          <t>Casualty</t>
        </is>
      </c>
      <c r="D360" s="9" t="inlineStr">
        <is>
          <t>Asia Pacific</t>
        </is>
      </c>
      <c r="E360" s="9" t="inlineStr">
        <is>
          <t>Priya Nair</t>
        </is>
      </c>
      <c r="F360" s="9" t="inlineStr">
        <is>
          <t>Proportional</t>
        </is>
      </c>
      <c r="G360" s="9" t="n">
        <v>2024</v>
      </c>
      <c r="H360" s="12" t="n">
        <v>6400000</v>
      </c>
      <c r="I360" s="12" t="n">
        <v>653439</v>
      </c>
      <c r="J360" s="12" t="n">
        <v>77929.68000000001</v>
      </c>
      <c r="K360" s="12" t="n">
        <v>653439</v>
      </c>
      <c r="L360" s="12" t="n">
        <v>167548.8</v>
      </c>
      <c r="M360" s="9" t="n">
        <v>6</v>
      </c>
      <c r="N360" s="12" t="n">
        <v>210068.47</v>
      </c>
      <c r="O360" s="12" t="n">
        <v>542813.1900000001</v>
      </c>
      <c r="P360" s="12" t="n">
        <v>3200000</v>
      </c>
      <c r="Q360" s="9" t="inlineStr">
        <is>
          <t>Low</t>
        </is>
      </c>
      <c r="R360" s="11">
        <f>IFERROR(O360/K360,0)</f>
        <v/>
      </c>
    </row>
    <row r="361">
      <c r="A361" s="9" t="inlineStr">
        <is>
          <t>T0360</t>
        </is>
      </c>
      <c r="B361" s="9" t="inlineStr">
        <is>
          <t>Atlas Indemnity</t>
        </is>
      </c>
      <c r="C361" s="9" t="inlineStr">
        <is>
          <t>Financial Lines</t>
        </is>
      </c>
      <c r="D361" s="9" t="inlineStr">
        <is>
          <t>North America</t>
        </is>
      </c>
      <c r="E361" s="9" t="inlineStr">
        <is>
          <t>Hannah Weber</t>
        </is>
      </c>
      <c r="F361" s="9" t="inlineStr">
        <is>
          <t>Facultative</t>
        </is>
      </c>
      <c r="G361" s="9" t="n">
        <v>2024</v>
      </c>
      <c r="H361" s="12" t="n">
        <v>12900000</v>
      </c>
      <c r="I361" s="12" t="n">
        <v>1350551.76</v>
      </c>
      <c r="J361" s="12" t="n">
        <v>134594.52</v>
      </c>
      <c r="K361" s="12" t="n">
        <v>1350551.76</v>
      </c>
      <c r="L361" s="12" t="n">
        <v>220983.24</v>
      </c>
      <c r="M361" s="9" t="n">
        <v>9</v>
      </c>
      <c r="N361" s="12" t="n">
        <v>752764.39</v>
      </c>
      <c r="O361" s="12" t="n">
        <v>897375.8899999999</v>
      </c>
      <c r="P361" s="12" t="n">
        <v>12900000</v>
      </c>
      <c r="Q361" s="9" t="inlineStr">
        <is>
          <t>Low</t>
        </is>
      </c>
      <c r="R361" s="11">
        <f>IFERROR(O361/K361,0)</f>
        <v/>
      </c>
    </row>
    <row r="362">
      <c r="A362" s="9" t="inlineStr">
        <is>
          <t>T0361</t>
        </is>
      </c>
      <c r="B362" s="9" t="inlineStr">
        <is>
          <t>Harbor Insurance</t>
        </is>
      </c>
      <c r="C362" s="9" t="inlineStr">
        <is>
          <t>Casualty</t>
        </is>
      </c>
      <c r="D362" s="9" t="inlineStr">
        <is>
          <t>Unassigned</t>
        </is>
      </c>
      <c r="E362" s="9" t="inlineStr">
        <is>
          <t>Aarav Mehta</t>
        </is>
      </c>
      <c r="F362" s="9" t="inlineStr">
        <is>
          <t>Proportional</t>
        </is>
      </c>
      <c r="G362" s="9" t="n">
        <v>2021</v>
      </c>
      <c r="H362" s="12" t="n">
        <v>5900000</v>
      </c>
      <c r="I362" s="12" t="n">
        <v>669663.36</v>
      </c>
      <c r="J362" s="12" t="n">
        <v>80249.39999999999</v>
      </c>
      <c r="K362" s="12" t="n">
        <v>669663.36</v>
      </c>
      <c r="L362" s="12" t="n">
        <v>152811.84</v>
      </c>
      <c r="M362" s="9" t="n">
        <v>11</v>
      </c>
      <c r="N362" s="12" t="n">
        <v>456310.41</v>
      </c>
      <c r="O362" s="12" t="n">
        <v>456310.41</v>
      </c>
      <c r="P362" s="12" t="n">
        <v>2360000</v>
      </c>
      <c r="Q362" s="9" t="inlineStr">
        <is>
          <t>Low</t>
        </is>
      </c>
      <c r="R362" s="11">
        <f>IFERROR(O362/K362,0)</f>
        <v/>
      </c>
    </row>
    <row r="363">
      <c r="A363" s="9" t="inlineStr">
        <is>
          <t>T0362</t>
        </is>
      </c>
      <c r="B363" s="9" t="inlineStr">
        <is>
          <t>Harbor Indemnity</t>
        </is>
      </c>
      <c r="C363" s="9" t="inlineStr">
        <is>
          <t>Specialty</t>
        </is>
      </c>
      <c r="D363" s="9" t="inlineStr">
        <is>
          <t>North America</t>
        </is>
      </c>
      <c r="E363" s="9" t="inlineStr">
        <is>
          <t>Unassigned</t>
        </is>
      </c>
      <c r="F363" s="9" t="inlineStr">
        <is>
          <t>Excess of Loss</t>
        </is>
      </c>
      <c r="G363" s="9" t="n">
        <v>2026</v>
      </c>
      <c r="H363" s="12" t="n">
        <v>4500000</v>
      </c>
      <c r="I363" s="12" t="n">
        <v>119523.9</v>
      </c>
      <c r="J363" s="12" t="n">
        <v>13969.56</v>
      </c>
      <c r="K363" s="12" t="n">
        <v>81674.66</v>
      </c>
      <c r="L363" s="12" t="n">
        <v>4179.936077443925</v>
      </c>
      <c r="M363" s="9" t="n">
        <v>0</v>
      </c>
      <c r="N363" s="12" t="n">
        <v>0</v>
      </c>
      <c r="O363" s="12" t="n">
        <v>0</v>
      </c>
      <c r="P363" s="12" t="n">
        <v>4500000</v>
      </c>
      <c r="Q363" s="9" t="inlineStr">
        <is>
          <t>Low</t>
        </is>
      </c>
      <c r="R363" s="11">
        <f>IFERROR(O363/K363,0)</f>
        <v/>
      </c>
    </row>
    <row r="364">
      <c r="A364" s="9" t="inlineStr">
        <is>
          <t>T0363</t>
        </is>
      </c>
      <c r="B364" s="9" t="inlineStr">
        <is>
          <t>Granite Indemnity</t>
        </is>
      </c>
      <c r="C364" s="9" t="inlineStr">
        <is>
          <t>Property</t>
        </is>
      </c>
      <c r="D364" s="9" t="inlineStr">
        <is>
          <t>Europe</t>
        </is>
      </c>
      <c r="E364" s="9" t="inlineStr">
        <is>
          <t>Priya Nair</t>
        </is>
      </c>
      <c r="F364" s="9" t="inlineStr">
        <is>
          <t>Excess of Loss</t>
        </is>
      </c>
      <c r="G364" s="9" t="n">
        <v>2022</v>
      </c>
      <c r="H364" s="12" t="n">
        <v>49300000.002</v>
      </c>
      <c r="I364" s="12" t="n">
        <v>6072553.9296</v>
      </c>
      <c r="J364" s="12" t="n">
        <v>613800.1152000001</v>
      </c>
      <c r="K364" s="12" t="n">
        <v>6072553.9296</v>
      </c>
      <c r="L364" s="12" t="n">
        <v>500281.92</v>
      </c>
      <c r="M364" s="9" t="n">
        <v>12</v>
      </c>
      <c r="N364" s="12" t="n">
        <v>3395984.724</v>
      </c>
      <c r="O364" s="12" t="n">
        <v>3665130.0444</v>
      </c>
      <c r="P364" s="12" t="n">
        <v>49300000.002</v>
      </c>
      <c r="Q364" s="9" t="inlineStr">
        <is>
          <t>Low</t>
        </is>
      </c>
      <c r="R364" s="11">
        <f>IFERROR(O364/K364,0)</f>
        <v/>
      </c>
    </row>
    <row r="365">
      <c r="A365" s="9" t="inlineStr">
        <is>
          <t>T0364</t>
        </is>
      </c>
      <c r="B365" s="9" t="inlineStr">
        <is>
          <t>Pioneer Insurance</t>
        </is>
      </c>
      <c r="C365" s="9" t="inlineStr">
        <is>
          <t>Specialty</t>
        </is>
      </c>
      <c r="D365" s="9" t="inlineStr">
        <is>
          <t>Europe</t>
        </is>
      </c>
      <c r="E365" s="9" t="inlineStr">
        <is>
          <t>Carlos Ibarra</t>
        </is>
      </c>
      <c r="F365" s="9" t="inlineStr">
        <is>
          <t>Excess of Loss</t>
        </is>
      </c>
      <c r="G365" s="9" t="n">
        <v>2023</v>
      </c>
      <c r="H365" s="12" t="n">
        <v>16800000.0048</v>
      </c>
      <c r="I365" s="12" t="n">
        <v>1754163.7344</v>
      </c>
      <c r="J365" s="12" t="n">
        <v>149178.4128</v>
      </c>
      <c r="K365" s="12" t="n">
        <v>1754163.7344</v>
      </c>
      <c r="L365" s="12" t="n">
        <v>89662.59360000001</v>
      </c>
      <c r="M365" s="9" t="n">
        <v>5</v>
      </c>
      <c r="N365" s="12" t="n">
        <v>827513.4204000001</v>
      </c>
      <c r="O365" s="12" t="n">
        <v>1158744.2256</v>
      </c>
      <c r="P365" s="12" t="n">
        <v>16800000.0048</v>
      </c>
      <c r="Q365" s="9" t="inlineStr">
        <is>
          <t>Low</t>
        </is>
      </c>
      <c r="R365" s="11">
        <f>IFERROR(O365/K365,0)</f>
        <v/>
      </c>
    </row>
    <row r="366">
      <c r="A366" s="9" t="inlineStr">
        <is>
          <t>T0365</t>
        </is>
      </c>
      <c r="B366" s="9" t="inlineStr">
        <is>
          <t>Meridian Indemnity</t>
        </is>
      </c>
      <c r="C366" s="9" t="inlineStr">
        <is>
          <t>Specialty</t>
        </is>
      </c>
      <c r="D366" s="9" t="inlineStr">
        <is>
          <t>Europe</t>
        </is>
      </c>
      <c r="E366" s="9" t="inlineStr">
        <is>
          <t>James Whitfield</t>
        </is>
      </c>
      <c r="F366" s="9" t="inlineStr">
        <is>
          <t>Excess of Loss</t>
        </is>
      </c>
      <c r="G366" s="9" t="n">
        <v>2025</v>
      </c>
      <c r="H366" s="12" t="n">
        <v>22600000.0044</v>
      </c>
      <c r="I366" s="12" t="n">
        <v>2593472.3856</v>
      </c>
      <c r="J366" s="12" t="n">
        <v>294691.3488</v>
      </c>
      <c r="K366" s="12" t="n">
        <v>2593472.3856</v>
      </c>
      <c r="L366" s="12" t="n">
        <v>204830.208</v>
      </c>
      <c r="M366" s="9" t="n">
        <v>9</v>
      </c>
      <c r="N366" s="12" t="n">
        <v>596606.4072</v>
      </c>
      <c r="O366" s="12" t="n">
        <v>1066248.576</v>
      </c>
      <c r="P366" s="12" t="n">
        <v>22600000.0044</v>
      </c>
      <c r="Q366" s="9" t="inlineStr">
        <is>
          <t>Low</t>
        </is>
      </c>
      <c r="R366" s="11">
        <f>IFERROR(O366/K366,0)</f>
        <v/>
      </c>
    </row>
    <row r="367">
      <c r="A367" s="9" t="inlineStr">
        <is>
          <t>T0366</t>
        </is>
      </c>
      <c r="B367" s="9" t="inlineStr">
        <is>
          <t>Granite Insurance</t>
        </is>
      </c>
      <c r="C367" s="9" t="inlineStr">
        <is>
          <t>Property</t>
        </is>
      </c>
      <c r="D367" s="9" t="inlineStr">
        <is>
          <t>Unassigned</t>
        </is>
      </c>
      <c r="E367" s="9" t="inlineStr">
        <is>
          <t>Hannah Weber</t>
        </is>
      </c>
      <c r="F367" s="9" t="inlineStr">
        <is>
          <t>Excess of Loss</t>
        </is>
      </c>
      <c r="G367" s="9" t="n">
        <v>2024</v>
      </c>
      <c r="H367" s="12" t="n">
        <v>16600000</v>
      </c>
      <c r="I367" s="12" t="n">
        <v>2929309.92</v>
      </c>
      <c r="J367" s="12" t="n">
        <v>233608.68</v>
      </c>
      <c r="K367" s="12" t="n">
        <v>2929309.92</v>
      </c>
      <c r="L367" s="12" t="n">
        <v>178455.24</v>
      </c>
      <c r="M367" s="9" t="n">
        <v>6</v>
      </c>
      <c r="N367" s="12" t="n">
        <v>913527.1899999999</v>
      </c>
      <c r="O367" s="12" t="n">
        <v>1431527.49</v>
      </c>
      <c r="P367" s="12" t="n">
        <v>16600000</v>
      </c>
      <c r="Q367" s="9" t="inlineStr">
        <is>
          <t>Low</t>
        </is>
      </c>
      <c r="R367" s="11">
        <f>IFERROR(O367/K367,0)</f>
        <v/>
      </c>
    </row>
    <row r="368">
      <c r="A368" s="9" t="inlineStr">
        <is>
          <t>T0367</t>
        </is>
      </c>
      <c r="B368" s="9" t="inlineStr">
        <is>
          <t>Orion General</t>
        </is>
      </c>
      <c r="C368" s="9" t="inlineStr">
        <is>
          <t>Casualty</t>
        </is>
      </c>
      <c r="D368" s="9" t="inlineStr">
        <is>
          <t>North America</t>
        </is>
      </c>
      <c r="E368" s="9" t="inlineStr">
        <is>
          <t>James Whitfield</t>
        </is>
      </c>
      <c r="F368" s="9" t="inlineStr">
        <is>
          <t>Excess of Loss</t>
        </is>
      </c>
      <c r="G368" s="9" t="n">
        <v>2023</v>
      </c>
      <c r="H368" s="12" t="n">
        <v>11500000</v>
      </c>
      <c r="I368" s="12" t="n">
        <v>1845215.64</v>
      </c>
      <c r="J368" s="12" t="n">
        <v>108448.56</v>
      </c>
      <c r="K368" s="12" t="n">
        <v>1845215.64</v>
      </c>
      <c r="L368" s="12" t="n">
        <v>186728.4</v>
      </c>
      <c r="M368" s="9" t="n">
        <v>5</v>
      </c>
      <c r="N368" s="12" t="n">
        <v>1208957.02</v>
      </c>
      <c r="O368" s="12" t="n">
        <v>1403421.36</v>
      </c>
      <c r="P368" s="12" t="n">
        <v>11500000</v>
      </c>
      <c r="Q368" s="9" t="inlineStr">
        <is>
          <t>Low</t>
        </is>
      </c>
      <c r="R368" s="11">
        <f>IFERROR(O368/K368,0)</f>
        <v/>
      </c>
    </row>
    <row r="369">
      <c r="A369" s="9" t="inlineStr">
        <is>
          <t>T0368</t>
        </is>
      </c>
      <c r="B369" s="9" t="inlineStr">
        <is>
          <t>Granite Mutual</t>
        </is>
      </c>
      <c r="C369" s="9" t="inlineStr">
        <is>
          <t>Financial Lines</t>
        </is>
      </c>
      <c r="D369" s="9" t="inlineStr">
        <is>
          <t>Europe</t>
        </is>
      </c>
      <c r="E369" s="9" t="inlineStr">
        <is>
          <t>Omar Haddad</t>
        </is>
      </c>
      <c r="F369" s="9" t="inlineStr">
        <is>
          <t>Proportional</t>
        </is>
      </c>
      <c r="G369" s="9" t="n">
        <v>2023</v>
      </c>
      <c r="H369" s="12" t="n">
        <v>10599999.9963</v>
      </c>
      <c r="I369" s="12" t="n">
        <v>1112266.254</v>
      </c>
      <c r="J369" s="12" t="n">
        <v>78455.0628</v>
      </c>
      <c r="K369" s="12" t="n">
        <v>1112266.254</v>
      </c>
      <c r="L369" s="12" t="n">
        <v>343269.7224</v>
      </c>
      <c r="M369" s="9" t="n">
        <v>4</v>
      </c>
      <c r="N369" s="12" t="n">
        <v>787537.1981</v>
      </c>
      <c r="O369" s="12" t="n">
        <v>787537.1981</v>
      </c>
      <c r="P369" s="12" t="n">
        <v>3180000.0027</v>
      </c>
      <c r="Q369" s="9" t="inlineStr">
        <is>
          <t>Low</t>
        </is>
      </c>
      <c r="R369" s="11">
        <f>IFERROR(O369/K369,0)</f>
        <v/>
      </c>
    </row>
    <row r="370">
      <c r="A370" s="9" t="inlineStr">
        <is>
          <t>T0369</t>
        </is>
      </c>
      <c r="B370" s="9" t="inlineStr">
        <is>
          <t>Atlas Assurance</t>
        </is>
      </c>
      <c r="C370" s="9" t="inlineStr">
        <is>
          <t>Unmapped</t>
        </is>
      </c>
      <c r="D370" s="9" t="inlineStr">
        <is>
          <t>North America</t>
        </is>
      </c>
      <c r="E370" s="9" t="inlineStr">
        <is>
          <t>Hannah Weber</t>
        </is>
      </c>
      <c r="F370" s="9" t="inlineStr">
        <is>
          <t>Proportional</t>
        </is>
      </c>
      <c r="G370" s="9" t="n">
        <v>2024</v>
      </c>
      <c r="H370" s="12" t="n">
        <v>22100000</v>
      </c>
      <c r="I370" s="12" t="n">
        <v>2151036.12</v>
      </c>
      <c r="J370" s="12" t="n">
        <v>165898.8</v>
      </c>
      <c r="K370" s="12" t="n">
        <v>2151036.12</v>
      </c>
      <c r="L370" s="12" t="n">
        <v>584934.24</v>
      </c>
      <c r="M370" s="9" t="n">
        <v>11</v>
      </c>
      <c r="N370" s="12" t="n">
        <v>794369.39</v>
      </c>
      <c r="O370" s="12" t="n">
        <v>794369.39</v>
      </c>
      <c r="P370" s="12" t="n">
        <v>5525000</v>
      </c>
      <c r="Q370" s="9" t="inlineStr">
        <is>
          <t>Low</t>
        </is>
      </c>
      <c r="R370" s="11">
        <f>IFERROR(O370/K370,0)</f>
        <v/>
      </c>
    </row>
    <row r="371">
      <c r="A371" s="9" t="inlineStr">
        <is>
          <t>T0370</t>
        </is>
      </c>
      <c r="B371" s="9" t="inlineStr">
        <is>
          <t>Atlas Mutual</t>
        </is>
      </c>
      <c r="C371" s="9" t="inlineStr">
        <is>
          <t>Property</t>
        </is>
      </c>
      <c r="D371" s="9" t="inlineStr">
        <is>
          <t>Europe</t>
        </is>
      </c>
      <c r="E371" s="9" t="inlineStr">
        <is>
          <t>Carlos Ibarra</t>
        </is>
      </c>
      <c r="F371" s="9" t="inlineStr">
        <is>
          <t>Excess of Loss</t>
        </is>
      </c>
      <c r="G371" s="9" t="n">
        <v>2024</v>
      </c>
      <c r="H371" s="12" t="n">
        <v>24099999.9948</v>
      </c>
      <c r="I371" s="12" t="n">
        <v>1914163.6176</v>
      </c>
      <c r="J371" s="12" t="n">
        <v>125859.4848</v>
      </c>
      <c r="K371" s="12" t="n">
        <v>1914163.6176</v>
      </c>
      <c r="L371" s="12" t="n">
        <v>148478.7024</v>
      </c>
      <c r="M371" s="9" t="n">
        <v>12</v>
      </c>
      <c r="N371" s="12" t="n">
        <v>663388.974</v>
      </c>
      <c r="O371" s="12" t="n">
        <v>863481.5676000001</v>
      </c>
      <c r="P371" s="12" t="n">
        <v>24099999.9948</v>
      </c>
      <c r="Q371" s="9" t="inlineStr">
        <is>
          <t>Low</t>
        </is>
      </c>
      <c r="R371" s="11">
        <f>IFERROR(O371/K371,0)</f>
        <v/>
      </c>
    </row>
    <row r="372">
      <c r="A372" s="9" t="inlineStr">
        <is>
          <t>T0371</t>
        </is>
      </c>
      <c r="B372" s="9" t="inlineStr">
        <is>
          <t>Orion General</t>
        </is>
      </c>
      <c r="C372" s="9" t="inlineStr">
        <is>
          <t>Casualty</t>
        </is>
      </c>
      <c r="D372" s="9" t="inlineStr">
        <is>
          <t>North America</t>
        </is>
      </c>
      <c r="E372" s="9" t="inlineStr">
        <is>
          <t>Omar Haddad</t>
        </is>
      </c>
      <c r="F372" s="9" t="inlineStr">
        <is>
          <t>Proportional</t>
        </is>
      </c>
      <c r="G372" s="9" t="n">
        <v>2022</v>
      </c>
      <c r="H372" s="12" t="n">
        <v>6500000</v>
      </c>
      <c r="I372" s="12" t="n">
        <v>679737.72</v>
      </c>
      <c r="J372" s="12" t="n">
        <v>75781.79999999999</v>
      </c>
      <c r="K372" s="12" t="n">
        <v>679737.72</v>
      </c>
      <c r="L372" s="12" t="n">
        <v>209956.56</v>
      </c>
      <c r="M372" s="9" t="n">
        <v>9</v>
      </c>
      <c r="N372" s="12" t="n">
        <v>424213.65</v>
      </c>
      <c r="O372" s="12" t="n">
        <v>767700.38</v>
      </c>
      <c r="P372" s="12" t="n">
        <v>1950000</v>
      </c>
      <c r="Q372" s="9" t="inlineStr">
        <is>
          <t>Low</t>
        </is>
      </c>
      <c r="R372" s="11">
        <f>IFERROR(O372/K372,0)</f>
        <v/>
      </c>
    </row>
    <row r="373">
      <c r="A373" s="9" t="inlineStr">
        <is>
          <t>T0372</t>
        </is>
      </c>
      <c r="B373" s="9" t="inlineStr">
        <is>
          <t>Meridian Assurance</t>
        </is>
      </c>
      <c r="C373" s="9" t="inlineStr">
        <is>
          <t>Specialty</t>
        </is>
      </c>
      <c r="D373" s="9" t="inlineStr">
        <is>
          <t>Europe</t>
        </is>
      </c>
      <c r="E373" s="9" t="inlineStr">
        <is>
          <t>Kenji Sato</t>
        </is>
      </c>
      <c r="F373" s="9" t="inlineStr">
        <is>
          <t>Excess of Loss</t>
        </is>
      </c>
      <c r="G373" s="9" t="n">
        <v>2025</v>
      </c>
      <c r="H373" s="12" t="n">
        <v>52400000.0016</v>
      </c>
      <c r="I373" s="12" t="n">
        <v>7542036.489600001</v>
      </c>
      <c r="J373" s="12" t="n">
        <v>807323.3711999999</v>
      </c>
      <c r="K373" s="12" t="n">
        <v>7542036.489600001</v>
      </c>
      <c r="L373" s="12" t="n">
        <v>581623.0272000001</v>
      </c>
      <c r="M373" s="9" t="n">
        <v>5</v>
      </c>
      <c r="N373" s="12" t="n">
        <v>5697372.5568</v>
      </c>
      <c r="O373" s="12" t="n">
        <v>6672678.804</v>
      </c>
      <c r="P373" s="12" t="n">
        <v>52400000.0016</v>
      </c>
      <c r="Q373" s="9" t="inlineStr">
        <is>
          <t>Low</t>
        </is>
      </c>
      <c r="R373" s="11">
        <f>IFERROR(O373/K373,0)</f>
        <v/>
      </c>
    </row>
    <row r="374">
      <c r="A374" s="9" t="inlineStr">
        <is>
          <t>T0373</t>
        </is>
      </c>
      <c r="B374" s="9" t="inlineStr">
        <is>
          <t>Harbor Assurance</t>
        </is>
      </c>
      <c r="C374" s="9" t="inlineStr">
        <is>
          <t>Specialty</t>
        </is>
      </c>
      <c r="D374" s="9" t="inlineStr">
        <is>
          <t>North America</t>
        </is>
      </c>
      <c r="E374" s="9" t="inlineStr">
        <is>
          <t>Sophie Laurent</t>
        </is>
      </c>
      <c r="F374" s="9" t="inlineStr">
        <is>
          <t>Proportional</t>
        </is>
      </c>
      <c r="G374" s="9" t="n">
        <v>2026</v>
      </c>
      <c r="H374" s="12" t="n">
        <v>7300000</v>
      </c>
      <c r="I374" s="12" t="n">
        <v>568532.37</v>
      </c>
      <c r="J374" s="12" t="n">
        <v>47726.7</v>
      </c>
      <c r="K374" s="12" t="n">
        <v>514386.4300000001</v>
      </c>
      <c r="L374" s="12" t="n">
        <v>158419.53</v>
      </c>
      <c r="M374" s="9" t="n">
        <v>2</v>
      </c>
      <c r="N374" s="12" t="n">
        <v>455526.89</v>
      </c>
      <c r="O374" s="12" t="n">
        <v>469617.01</v>
      </c>
      <c r="P374" s="12" t="n">
        <v>2190000</v>
      </c>
      <c r="Q374" s="9" t="inlineStr">
        <is>
          <t>Low</t>
        </is>
      </c>
      <c r="R374" s="11">
        <f>IFERROR(O374/K374,0)</f>
        <v/>
      </c>
    </row>
    <row r="375">
      <c r="A375" s="9" t="inlineStr">
        <is>
          <t>T0374</t>
        </is>
      </c>
      <c r="B375" s="9" t="inlineStr">
        <is>
          <t>Meridian Assurance</t>
        </is>
      </c>
      <c r="C375" s="9" t="inlineStr">
        <is>
          <t>Property</t>
        </is>
      </c>
      <c r="D375" s="9" t="inlineStr">
        <is>
          <t>Europe</t>
        </is>
      </c>
      <c r="E375" s="9" t="inlineStr">
        <is>
          <t>Carlos Ibarra</t>
        </is>
      </c>
      <c r="F375" s="9" t="inlineStr">
        <is>
          <t>Proportional</t>
        </is>
      </c>
      <c r="G375" s="9" t="n">
        <v>2025</v>
      </c>
      <c r="H375" s="12" t="n">
        <v>10800000</v>
      </c>
      <c r="I375" s="12" t="n">
        <v>923836.4388</v>
      </c>
      <c r="J375" s="12" t="n">
        <v>101699.5716</v>
      </c>
      <c r="K375" s="12" t="n">
        <v>893041.8912</v>
      </c>
      <c r="L375" s="12" t="n">
        <v>210198.4276447345</v>
      </c>
      <c r="M375" s="9" t="n">
        <v>11</v>
      </c>
      <c r="N375" s="12" t="n">
        <v>148189.3164</v>
      </c>
      <c r="O375" s="12" t="n">
        <v>414836.4564</v>
      </c>
      <c r="P375" s="12" t="n">
        <v>3240000</v>
      </c>
      <c r="Q375" s="9" t="inlineStr">
        <is>
          <t>Low</t>
        </is>
      </c>
      <c r="R375" s="11">
        <f>IFERROR(O375/K375,0)</f>
        <v/>
      </c>
    </row>
    <row r="376">
      <c r="A376" s="9" t="inlineStr">
        <is>
          <t>T0375</t>
        </is>
      </c>
      <c r="B376" s="9" t="inlineStr">
        <is>
          <t>Lumen Indemnity</t>
        </is>
      </c>
      <c r="C376" s="9" t="inlineStr">
        <is>
          <t>Specialty</t>
        </is>
      </c>
      <c r="D376" s="9" t="inlineStr">
        <is>
          <t>Asia Pacific</t>
        </is>
      </c>
      <c r="E376" s="9" t="inlineStr">
        <is>
          <t>James Whitfield</t>
        </is>
      </c>
      <c r="F376" s="9" t="inlineStr">
        <is>
          <t>Excess of Loss</t>
        </is>
      </c>
      <c r="G376" s="9" t="n">
        <v>2026</v>
      </c>
      <c r="H376" s="12" t="n">
        <v>8800000</v>
      </c>
      <c r="I376" s="12" t="n">
        <v>567261.76</v>
      </c>
      <c r="J376" s="12" t="n">
        <v>37810.08</v>
      </c>
      <c r="K376" s="12" t="n">
        <v>531807.9</v>
      </c>
      <c r="L376" s="12" t="n">
        <v>52318.875</v>
      </c>
      <c r="M376" s="9" t="n">
        <v>6</v>
      </c>
      <c r="N376" s="12" t="n">
        <v>111308.4</v>
      </c>
      <c r="O376" s="12" t="n">
        <v>267008.23</v>
      </c>
      <c r="P376" s="12" t="n">
        <v>8800000</v>
      </c>
      <c r="Q376" s="9" t="inlineStr">
        <is>
          <t>Low</t>
        </is>
      </c>
      <c r="R376" s="11">
        <f>IFERROR(O376/K376,0)</f>
        <v/>
      </c>
    </row>
    <row r="377">
      <c r="A377" s="9" t="inlineStr">
        <is>
          <t>T0376</t>
        </is>
      </c>
      <c r="B377" s="9" t="inlineStr">
        <is>
          <t>Evergreen Insurance</t>
        </is>
      </c>
      <c r="C377" s="9" t="inlineStr">
        <is>
          <t>Property</t>
        </is>
      </c>
      <c r="D377" s="9" t="inlineStr">
        <is>
          <t>North America</t>
        </is>
      </c>
      <c r="E377" s="9" t="inlineStr">
        <is>
          <t>James Whitfield</t>
        </is>
      </c>
      <c r="F377" s="9" t="inlineStr">
        <is>
          <t>Proportional</t>
        </is>
      </c>
      <c r="G377" s="9" t="n">
        <v>2022</v>
      </c>
      <c r="H377" s="12" t="n">
        <v>8600000</v>
      </c>
      <c r="I377" s="12" t="n">
        <v>750096.6000000001</v>
      </c>
      <c r="J377" s="12" t="n">
        <v>49878.48</v>
      </c>
      <c r="K377" s="12" t="n">
        <v>750096.6000000001</v>
      </c>
      <c r="L377" s="12" t="n">
        <v>176928.96</v>
      </c>
      <c r="M377" s="9" t="n">
        <v>10</v>
      </c>
      <c r="N377" s="12" t="n">
        <v>273165.23</v>
      </c>
      <c r="O377" s="12" t="n">
        <v>450495.01</v>
      </c>
      <c r="P377" s="12" t="n">
        <v>860000</v>
      </c>
      <c r="Q377" s="9" t="inlineStr">
        <is>
          <t>Low</t>
        </is>
      </c>
      <c r="R377" s="11">
        <f>IFERROR(O377/K377,0)</f>
        <v/>
      </c>
    </row>
    <row r="378">
      <c r="A378" s="9" t="inlineStr">
        <is>
          <t>T0377</t>
        </is>
      </c>
      <c r="B378" s="9" t="inlineStr">
        <is>
          <t>Granite General</t>
        </is>
      </c>
      <c r="C378" s="9" t="inlineStr">
        <is>
          <t>Casualty</t>
        </is>
      </c>
      <c r="D378" s="9" t="inlineStr">
        <is>
          <t>Asia Pacific</t>
        </is>
      </c>
      <c r="E378" s="9" t="inlineStr">
        <is>
          <t>Aarav Mehta</t>
        </is>
      </c>
      <c r="F378" s="9" t="inlineStr">
        <is>
          <t>Excess of Loss</t>
        </is>
      </c>
      <c r="G378" s="9" t="n">
        <v>2023</v>
      </c>
      <c r="H378" s="12" t="n">
        <v>4200000</v>
      </c>
      <c r="I378" s="12" t="n">
        <v>747926.04</v>
      </c>
      <c r="J378" s="12" t="n">
        <v>61746.60000000001</v>
      </c>
      <c r="K378" s="12" t="n">
        <v>747926.04</v>
      </c>
      <c r="L378" s="12" t="n">
        <v>67875.60000000001</v>
      </c>
      <c r="M378" s="9" t="n">
        <v>8</v>
      </c>
      <c r="N378" s="12" t="n">
        <v>432886.97</v>
      </c>
      <c r="O378" s="12" t="n">
        <v>432886.97</v>
      </c>
      <c r="P378" s="12" t="n">
        <v>4200000</v>
      </c>
      <c r="Q378" s="9" t="inlineStr">
        <is>
          <t>Low</t>
        </is>
      </c>
      <c r="R378" s="11">
        <f>IFERROR(O378/K378,0)</f>
        <v/>
      </c>
    </row>
    <row r="379">
      <c r="A379" s="9" t="inlineStr">
        <is>
          <t>T0378</t>
        </is>
      </c>
      <c r="B379" s="9" t="inlineStr">
        <is>
          <t>Vantage Mutual</t>
        </is>
      </c>
      <c r="C379" s="9" t="inlineStr">
        <is>
          <t>Professional</t>
        </is>
      </c>
      <c r="D379" s="9" t="inlineStr">
        <is>
          <t>Asia Pacific</t>
        </is>
      </c>
      <c r="E379" s="9" t="inlineStr">
        <is>
          <t>Sophie Laurent</t>
        </is>
      </c>
      <c r="F379" s="9" t="inlineStr">
        <is>
          <t>Proportional</t>
        </is>
      </c>
      <c r="G379" s="9" t="n">
        <v>2026</v>
      </c>
      <c r="H379" s="12" t="n">
        <v>2300000.00004</v>
      </c>
      <c r="I379" s="12" t="n">
        <v>270421.50132</v>
      </c>
      <c r="J379" s="12" t="n">
        <v>15472.69668</v>
      </c>
      <c r="K379" s="12" t="n">
        <v>243379.3512</v>
      </c>
      <c r="L379" s="12" t="n">
        <v>61020.09839100865</v>
      </c>
      <c r="M379" s="9" t="n">
        <v>9</v>
      </c>
      <c r="N379" s="12" t="n">
        <v>722464.11216</v>
      </c>
      <c r="O379" s="12" t="n">
        <v>3044036.4996</v>
      </c>
      <c r="P379" s="12" t="n">
        <v>1149999.99996</v>
      </c>
      <c r="Q379" s="9" t="inlineStr">
        <is>
          <t>Critical</t>
        </is>
      </c>
      <c r="R379" s="11">
        <f>IFERROR(O379/K379,0)</f>
        <v/>
      </c>
    </row>
    <row r="380">
      <c r="A380" s="9" t="inlineStr">
        <is>
          <t>T0379</t>
        </is>
      </c>
      <c r="B380" s="9" t="inlineStr">
        <is>
          <t>Granite General</t>
        </is>
      </c>
      <c r="C380" s="9" t="inlineStr">
        <is>
          <t>Financial Lines</t>
        </is>
      </c>
      <c r="D380" s="9" t="inlineStr">
        <is>
          <t>Asia Pacific</t>
        </is>
      </c>
      <c r="E380" s="9" t="inlineStr">
        <is>
          <t>James Whitfield</t>
        </is>
      </c>
      <c r="F380" s="9" t="inlineStr">
        <is>
          <t>Excess of Loss</t>
        </is>
      </c>
      <c r="G380" s="9" t="n">
        <v>2025</v>
      </c>
      <c r="H380" s="12" t="n">
        <v>3100000</v>
      </c>
      <c r="I380" s="12" t="n">
        <v>369769.3</v>
      </c>
      <c r="J380" s="12" t="n">
        <v>35647.60000000001</v>
      </c>
      <c r="K380" s="12" t="n">
        <v>368536.74</v>
      </c>
      <c r="L380" s="12" t="n">
        <v>27538.1993238</v>
      </c>
      <c r="M380" s="9" t="n">
        <v>12</v>
      </c>
      <c r="N380" s="12" t="n">
        <v>83204.05</v>
      </c>
      <c r="O380" s="12" t="n">
        <v>244400.42</v>
      </c>
      <c r="P380" s="12" t="n">
        <v>3100000</v>
      </c>
      <c r="Q380" s="9" t="inlineStr">
        <is>
          <t>Low</t>
        </is>
      </c>
      <c r="R380" s="11">
        <f>IFERROR(O380/K380,0)</f>
        <v/>
      </c>
    </row>
    <row r="381">
      <c r="A381" s="9" t="inlineStr">
        <is>
          <t>T0380</t>
        </is>
      </c>
      <c r="B381" s="9" t="inlineStr">
        <is>
          <t>Vantage Assurance</t>
        </is>
      </c>
      <c r="C381" s="9" t="inlineStr">
        <is>
          <t>Property</t>
        </is>
      </c>
      <c r="D381" s="9" t="inlineStr">
        <is>
          <t>Europe</t>
        </is>
      </c>
      <c r="E381" s="9" t="inlineStr">
        <is>
          <t>Aarav Mehta</t>
        </is>
      </c>
      <c r="F381" s="9" t="inlineStr">
        <is>
          <t>Excess of Loss</t>
        </is>
      </c>
      <c r="G381" s="9" t="n">
        <v>2021</v>
      </c>
      <c r="H381" s="12" t="n">
        <v>22099999.9968</v>
      </c>
      <c r="I381" s="12" t="n">
        <v>2037303.576</v>
      </c>
      <c r="J381" s="12" t="n">
        <v>205433.6256</v>
      </c>
      <c r="K381" s="12" t="n">
        <v>2037303.576</v>
      </c>
      <c r="L381" s="12" t="n">
        <v>135371.088</v>
      </c>
      <c r="M381" s="9" t="n">
        <v>12</v>
      </c>
      <c r="N381" s="12" t="n">
        <v>561426.9732</v>
      </c>
      <c r="O381" s="12" t="n">
        <v>838992.0600000001</v>
      </c>
      <c r="P381" s="12" t="n">
        <v>22099999.9968</v>
      </c>
      <c r="Q381" s="9" t="inlineStr">
        <is>
          <t>Low</t>
        </is>
      </c>
      <c r="R381" s="11">
        <f>IFERROR(O381/K381,0)</f>
        <v/>
      </c>
    </row>
    <row r="382">
      <c r="A382" s="9" t="inlineStr">
        <is>
          <t>T0381</t>
        </is>
      </c>
      <c r="B382" s="9" t="inlineStr">
        <is>
          <t>Cobalt Indemnity</t>
        </is>
      </c>
      <c r="C382" s="9" t="inlineStr">
        <is>
          <t>Property</t>
        </is>
      </c>
      <c r="D382" s="9" t="inlineStr">
        <is>
          <t>North America</t>
        </is>
      </c>
      <c r="E382" s="9" t="inlineStr">
        <is>
          <t>James Whitfield</t>
        </is>
      </c>
      <c r="F382" s="9" t="inlineStr">
        <is>
          <t>Excess of Loss</t>
        </is>
      </c>
      <c r="G382" s="9" t="n">
        <v>2024</v>
      </c>
      <c r="H382" s="12" t="n">
        <v>21100000</v>
      </c>
      <c r="I382" s="12" t="n">
        <v>2360609.16</v>
      </c>
      <c r="J382" s="12" t="n">
        <v>218696.04</v>
      </c>
      <c r="K382" s="12" t="n">
        <v>2360609.16</v>
      </c>
      <c r="L382" s="12" t="n">
        <v>263297.52</v>
      </c>
      <c r="M382" s="9" t="n">
        <v>5</v>
      </c>
      <c r="N382" s="12" t="n">
        <v>1647446.65</v>
      </c>
      <c r="O382" s="12" t="n">
        <v>1647446.65</v>
      </c>
      <c r="P382" s="12" t="n">
        <v>21100000</v>
      </c>
      <c r="Q382" s="9" t="inlineStr">
        <is>
          <t>Low</t>
        </is>
      </c>
      <c r="R382" s="11">
        <f>IFERROR(O382/K382,0)</f>
        <v/>
      </c>
    </row>
    <row r="383">
      <c r="A383" s="9" t="inlineStr">
        <is>
          <t>T0382</t>
        </is>
      </c>
      <c r="B383" s="9" t="inlineStr">
        <is>
          <t>Pioneer Insurance</t>
        </is>
      </c>
      <c r="C383" s="9" t="inlineStr">
        <is>
          <t>Casualty</t>
        </is>
      </c>
      <c r="D383" s="9" t="inlineStr">
        <is>
          <t>Europe</t>
        </is>
      </c>
      <c r="E383" s="9" t="inlineStr">
        <is>
          <t>Kenji Sato</t>
        </is>
      </c>
      <c r="F383" s="9" t="inlineStr">
        <is>
          <t>Proportional</t>
        </is>
      </c>
      <c r="G383" s="9" t="n">
        <v>2024</v>
      </c>
      <c r="H383" s="12" t="n">
        <v>4900000.0032</v>
      </c>
      <c r="I383" s="12" t="n">
        <v>905223.6000000001</v>
      </c>
      <c r="J383" s="12" t="n">
        <v>57306.7872</v>
      </c>
      <c r="K383" s="12" t="n">
        <v>905223.6000000001</v>
      </c>
      <c r="L383" s="12" t="n">
        <v>246654.8496</v>
      </c>
      <c r="M383" s="9" t="n">
        <v>11</v>
      </c>
      <c r="N383" s="12" t="n">
        <v>574893.1908000001</v>
      </c>
      <c r="O383" s="12" t="n">
        <v>804549.1320000001</v>
      </c>
      <c r="P383" s="12" t="n">
        <v>1959999.9948</v>
      </c>
      <c r="Q383" s="9" t="inlineStr">
        <is>
          <t>Low</t>
        </is>
      </c>
      <c r="R383" s="11">
        <f>IFERROR(O383/K383,0)</f>
        <v/>
      </c>
    </row>
    <row r="384">
      <c r="A384" s="9" t="inlineStr">
        <is>
          <t>T0383</t>
        </is>
      </c>
      <c r="B384" s="9" t="inlineStr">
        <is>
          <t>Harbor Mutual</t>
        </is>
      </c>
      <c r="C384" s="9" t="inlineStr">
        <is>
          <t>Professional</t>
        </is>
      </c>
      <c r="D384" s="9" t="inlineStr">
        <is>
          <t>North America</t>
        </is>
      </c>
      <c r="E384" s="9" t="inlineStr">
        <is>
          <t>Hannah Weber</t>
        </is>
      </c>
      <c r="F384" s="9" t="inlineStr">
        <is>
          <t>Proportional</t>
        </is>
      </c>
      <c r="G384" s="9" t="n">
        <v>2022</v>
      </c>
      <c r="H384" s="12" t="n">
        <v>20400000</v>
      </c>
      <c r="I384" s="12" t="n">
        <v>2829838.8</v>
      </c>
      <c r="J384" s="12" t="n">
        <v>186165.6</v>
      </c>
      <c r="K384" s="12" t="n">
        <v>2829838.8</v>
      </c>
      <c r="L384" s="12" t="n">
        <v>905234.76</v>
      </c>
      <c r="M384" s="9" t="n">
        <v>6</v>
      </c>
      <c r="N384" s="12" t="n">
        <v>1546525.6</v>
      </c>
      <c r="O384" s="12" t="n">
        <v>1546525.6</v>
      </c>
      <c r="P384" s="12" t="n">
        <v>3060000</v>
      </c>
      <c r="Q384" s="9" t="inlineStr">
        <is>
          <t>Low</t>
        </is>
      </c>
      <c r="R384" s="11">
        <f>IFERROR(O384/K384,0)</f>
        <v/>
      </c>
    </row>
    <row r="385">
      <c r="A385" s="9" t="inlineStr">
        <is>
          <t>T0384</t>
        </is>
      </c>
      <c r="B385" s="9" t="inlineStr">
        <is>
          <t>Pioneer Insurance</t>
        </is>
      </c>
      <c r="C385" s="9" t="inlineStr">
        <is>
          <t>Specialty</t>
        </is>
      </c>
      <c r="D385" s="9" t="inlineStr">
        <is>
          <t>Europe</t>
        </is>
      </c>
      <c r="E385" s="9" t="inlineStr">
        <is>
          <t>Carlos Ibarra</t>
        </is>
      </c>
      <c r="F385" s="9" t="inlineStr">
        <is>
          <t>Proportional</t>
        </is>
      </c>
      <c r="G385" s="9" t="n">
        <v>2022</v>
      </c>
      <c r="H385" s="12" t="n">
        <v>21999999.9996</v>
      </c>
      <c r="I385" s="12" t="n">
        <v>2208532.9104</v>
      </c>
      <c r="J385" s="12" t="n">
        <v>157122.8928</v>
      </c>
      <c r="K385" s="12" t="n">
        <v>2208532.9104</v>
      </c>
      <c r="L385" s="12" t="n">
        <v>618972.4512</v>
      </c>
      <c r="M385" s="9" t="n">
        <v>10</v>
      </c>
      <c r="N385" s="12" t="n">
        <v>708173.2476</v>
      </c>
      <c r="O385" s="12" t="n">
        <v>1049638.1004</v>
      </c>
      <c r="P385" s="12" t="n">
        <v>2200000.0032</v>
      </c>
      <c r="Q385" s="9" t="inlineStr">
        <is>
          <t>Low</t>
        </is>
      </c>
      <c r="R385" s="11">
        <f>IFERROR(O385/K385,0)</f>
        <v/>
      </c>
    </row>
    <row r="386">
      <c r="A386" s="9" t="inlineStr">
        <is>
          <t>T0385</t>
        </is>
      </c>
      <c r="B386" s="9" t="inlineStr">
        <is>
          <t>Crown Mutual</t>
        </is>
      </c>
      <c r="C386" s="9" t="inlineStr">
        <is>
          <t>Financial Lines</t>
        </is>
      </c>
      <c r="D386" s="9" t="inlineStr">
        <is>
          <t>North America</t>
        </is>
      </c>
      <c r="E386" s="9" t="inlineStr">
        <is>
          <t>Carlos Ibarra</t>
        </is>
      </c>
      <c r="F386" s="9" t="inlineStr">
        <is>
          <t>Proportional</t>
        </is>
      </c>
      <c r="G386" s="9" t="n">
        <v>2024</v>
      </c>
      <c r="H386" s="12" t="n">
        <v>43300000</v>
      </c>
      <c r="I386" s="12" t="n">
        <v>4543842</v>
      </c>
      <c r="J386" s="12" t="n">
        <v>298224.12</v>
      </c>
      <c r="K386" s="12" t="n">
        <v>4543842</v>
      </c>
      <c r="L386" s="12" t="n">
        <v>1133380.92</v>
      </c>
      <c r="M386" s="9" t="n">
        <v>6</v>
      </c>
      <c r="N386" s="12" t="n">
        <v>867059.66</v>
      </c>
      <c r="O386" s="12" t="n">
        <v>951833.23</v>
      </c>
      <c r="P386" s="12" t="n">
        <v>12990000</v>
      </c>
      <c r="Q386" s="9" t="inlineStr">
        <is>
          <t>Low</t>
        </is>
      </c>
      <c r="R386" s="11">
        <f>IFERROR(O386/K386,0)</f>
        <v/>
      </c>
    </row>
    <row r="387">
      <c r="A387" s="9" t="inlineStr">
        <is>
          <t>T0386</t>
        </is>
      </c>
      <c r="B387" s="9" t="inlineStr">
        <is>
          <t>Sterling Indemnity</t>
        </is>
      </c>
      <c r="C387" s="9" t="inlineStr">
        <is>
          <t>Property</t>
        </is>
      </c>
      <c r="D387" s="9" t="inlineStr">
        <is>
          <t>Europe</t>
        </is>
      </c>
      <c r="E387" s="9" t="inlineStr">
        <is>
          <t>Carlos Ibarra</t>
        </is>
      </c>
      <c r="F387" s="9" t="inlineStr">
        <is>
          <t>Proportional</t>
        </is>
      </c>
      <c r="G387" s="9" t="n">
        <v>2023</v>
      </c>
      <c r="H387" s="12" t="n">
        <v>20599999.9956</v>
      </c>
      <c r="I387" s="12" t="n">
        <v>2349092.664</v>
      </c>
      <c r="J387" s="12" t="n">
        <v>185911.7184</v>
      </c>
      <c r="K387" s="12" t="n">
        <v>2349092.664</v>
      </c>
      <c r="L387" s="12" t="n">
        <v>528916.9104000001</v>
      </c>
      <c r="M387" s="9" t="n">
        <v>10</v>
      </c>
      <c r="N387" s="12" t="n">
        <v>1485510.4188</v>
      </c>
      <c r="O387" s="12" t="n">
        <v>1485510.4188</v>
      </c>
      <c r="P387" s="12" t="n">
        <v>4119999.9948</v>
      </c>
      <c r="Q387" s="9" t="inlineStr">
        <is>
          <t>Low</t>
        </is>
      </c>
      <c r="R387" s="11">
        <f>IFERROR(O387/K387,0)</f>
        <v/>
      </c>
    </row>
    <row r="388">
      <c r="A388" s="9" t="inlineStr">
        <is>
          <t>T0387</t>
        </is>
      </c>
      <c r="B388" s="9" t="inlineStr">
        <is>
          <t>Harbor General</t>
        </is>
      </c>
      <c r="C388" s="9" t="inlineStr">
        <is>
          <t>Property</t>
        </is>
      </c>
      <c r="D388" s="9" t="inlineStr">
        <is>
          <t>North America</t>
        </is>
      </c>
      <c r="E388" s="9" t="inlineStr">
        <is>
          <t>Omar Haddad</t>
        </is>
      </c>
      <c r="F388" s="9" t="inlineStr">
        <is>
          <t>Proportional</t>
        </is>
      </c>
      <c r="G388" s="9" t="n">
        <v>2023</v>
      </c>
      <c r="H388" s="12" t="n">
        <v>5900000</v>
      </c>
      <c r="I388" s="12" t="n">
        <v>421047.36</v>
      </c>
      <c r="J388" s="12" t="n">
        <v>37653.36</v>
      </c>
      <c r="K388" s="12" t="n">
        <v>421047.36</v>
      </c>
      <c r="L388" s="12" t="n">
        <v>116024.4</v>
      </c>
      <c r="M388" s="9" t="n">
        <v>6</v>
      </c>
      <c r="N388" s="12" t="n">
        <v>373997.2</v>
      </c>
      <c r="O388" s="12" t="n">
        <v>410241.34</v>
      </c>
      <c r="P388" s="12" t="n">
        <v>2360000</v>
      </c>
      <c r="Q388" s="9" t="inlineStr">
        <is>
          <t>Low</t>
        </is>
      </c>
      <c r="R388" s="11">
        <f>IFERROR(O388/K388,0)</f>
        <v/>
      </c>
    </row>
    <row r="389">
      <c r="A389" s="9" t="inlineStr">
        <is>
          <t>T0388</t>
        </is>
      </c>
      <c r="B389" s="9" t="inlineStr">
        <is>
          <t>Orion General</t>
        </is>
      </c>
      <c r="C389" s="9" t="inlineStr">
        <is>
          <t>Property</t>
        </is>
      </c>
      <c r="D389" s="9" t="inlineStr">
        <is>
          <t>North America</t>
        </is>
      </c>
      <c r="E389" s="9" t="inlineStr">
        <is>
          <t>Priya Nair</t>
        </is>
      </c>
      <c r="F389" s="9" t="inlineStr">
        <is>
          <t>Excess of Loss</t>
        </is>
      </c>
      <c r="G389" s="9" t="n">
        <v>2024</v>
      </c>
      <c r="H389" s="12" t="n">
        <v>45700000</v>
      </c>
      <c r="I389" s="12" t="n">
        <v>7042276.32</v>
      </c>
      <c r="J389" s="12" t="n">
        <v>723493.92</v>
      </c>
      <c r="K389" s="12" t="n">
        <v>7042276.32</v>
      </c>
      <c r="L389" s="12" t="n">
        <v>764563.6799999999</v>
      </c>
      <c r="M389" s="9" t="n">
        <v>14</v>
      </c>
      <c r="N389" s="12" t="n">
        <v>3304472.15</v>
      </c>
      <c r="O389" s="12" t="n">
        <v>4221369.43</v>
      </c>
      <c r="P389" s="12" t="n">
        <v>45700000</v>
      </c>
      <c r="Q389" s="9" t="inlineStr">
        <is>
          <t>Low</t>
        </is>
      </c>
      <c r="R389" s="11">
        <f>IFERROR(O389/K389,0)</f>
        <v/>
      </c>
    </row>
    <row r="390">
      <c r="A390" s="9" t="inlineStr">
        <is>
          <t>T0389</t>
        </is>
      </c>
      <c r="B390" s="9" t="inlineStr">
        <is>
          <t>Harbor General</t>
        </is>
      </c>
      <c r="C390" s="9" t="inlineStr">
        <is>
          <t>Property</t>
        </is>
      </c>
      <c r="D390" s="9" t="inlineStr">
        <is>
          <t>North America</t>
        </is>
      </c>
      <c r="E390" s="9" t="inlineStr">
        <is>
          <t>James Whitfield</t>
        </is>
      </c>
      <c r="F390" s="9" t="inlineStr">
        <is>
          <t>Excess of Loss</t>
        </is>
      </c>
      <c r="G390" s="9" t="n">
        <v>2026</v>
      </c>
      <c r="H390" s="12" t="n">
        <v>19200000</v>
      </c>
      <c r="I390" s="12" t="n">
        <v>1457700.6</v>
      </c>
      <c r="J390" s="12" t="n">
        <v>129266.5</v>
      </c>
      <c r="K390" s="12" t="n">
        <v>1175878.48</v>
      </c>
      <c r="L390" s="12" t="n">
        <v>84049.86671408656</v>
      </c>
      <c r="M390" s="9" t="n">
        <v>2</v>
      </c>
      <c r="N390" s="12" t="n">
        <v>269751.26</v>
      </c>
      <c r="O390" s="12" t="n">
        <v>718698.76</v>
      </c>
      <c r="P390" s="12" t="n">
        <v>19200000</v>
      </c>
      <c r="Q390" s="9" t="inlineStr">
        <is>
          <t>Low</t>
        </is>
      </c>
      <c r="R390" s="11">
        <f>IFERROR(O390/K390,0)</f>
        <v/>
      </c>
    </row>
    <row r="391">
      <c r="A391" s="9" t="inlineStr">
        <is>
          <t>T0390</t>
        </is>
      </c>
      <c r="B391" s="9" t="inlineStr">
        <is>
          <t>Northwind Mutual</t>
        </is>
      </c>
      <c r="C391" s="9" t="inlineStr">
        <is>
          <t>Casualty</t>
        </is>
      </c>
      <c r="D391" s="9" t="inlineStr">
        <is>
          <t>Asia Pacific</t>
        </is>
      </c>
      <c r="E391" s="9" t="inlineStr">
        <is>
          <t>Omar Haddad</t>
        </is>
      </c>
      <c r="F391" s="9" t="inlineStr">
        <is>
          <t>Facultative</t>
        </is>
      </c>
      <c r="G391" s="9" t="n">
        <v>2022</v>
      </c>
      <c r="H391" s="12" t="n">
        <v>15500000.00004</v>
      </c>
      <c r="I391" s="12" t="n">
        <v>2008632.25872</v>
      </c>
      <c r="J391" s="12" t="n">
        <v>108219.97296</v>
      </c>
      <c r="K391" s="12" t="n">
        <v>2008632.25872</v>
      </c>
      <c r="L391" s="12" t="n">
        <v>323339.99472</v>
      </c>
      <c r="M391" s="9" t="n">
        <v>12</v>
      </c>
      <c r="N391" s="12" t="n">
        <v>1058392.37748</v>
      </c>
      <c r="O391" s="12" t="n">
        <v>1096588.44252</v>
      </c>
      <c r="P391" s="12" t="n">
        <v>15500000.00004</v>
      </c>
      <c r="Q391" s="9" t="inlineStr">
        <is>
          <t>Low</t>
        </is>
      </c>
      <c r="R391" s="11">
        <f>IFERROR(O391/K391,0)</f>
        <v/>
      </c>
    </row>
    <row r="392">
      <c r="A392" s="9" t="inlineStr">
        <is>
          <t>T0391</t>
        </is>
      </c>
      <c r="B392" s="9" t="inlineStr">
        <is>
          <t>Northwind Mutual</t>
        </is>
      </c>
      <c r="C392" s="9" t="inlineStr">
        <is>
          <t>Property</t>
        </is>
      </c>
      <c r="D392" s="9" t="inlineStr">
        <is>
          <t>Asia Pacific</t>
        </is>
      </c>
      <c r="E392" s="9" t="inlineStr">
        <is>
          <t>Kenji Sato</t>
        </is>
      </c>
      <c r="F392" s="9" t="inlineStr">
        <is>
          <t>Excess of Loss</t>
        </is>
      </c>
      <c r="G392" s="9" t="n">
        <v>2025</v>
      </c>
      <c r="H392" s="12" t="n">
        <v>3999999.99996</v>
      </c>
      <c r="I392" s="12" t="n">
        <v>508894.65504</v>
      </c>
      <c r="J392" s="12" t="n">
        <v>57301.66512</v>
      </c>
      <c r="K392" s="12" t="n">
        <v>508894.65504</v>
      </c>
      <c r="L392" s="12" t="n">
        <v>55187.64576</v>
      </c>
      <c r="M392" s="9" t="n">
        <v>11</v>
      </c>
      <c r="N392" s="12" t="n">
        <v>291696.0876</v>
      </c>
      <c r="O392" s="12" t="n">
        <v>498680.8278</v>
      </c>
      <c r="P392" s="12" t="n">
        <v>3999999.99996</v>
      </c>
      <c r="Q392" s="9" t="inlineStr">
        <is>
          <t>Low</t>
        </is>
      </c>
      <c r="R392" s="11">
        <f>IFERROR(O392/K392,0)</f>
        <v/>
      </c>
    </row>
    <row r="393">
      <c r="A393" s="9" t="inlineStr">
        <is>
          <t>T0392</t>
        </is>
      </c>
      <c r="B393" s="9" t="inlineStr">
        <is>
          <t>Orion General</t>
        </is>
      </c>
      <c r="C393" s="9" t="inlineStr">
        <is>
          <t>Specialty</t>
        </is>
      </c>
      <c r="D393" s="9" t="inlineStr">
        <is>
          <t>North America</t>
        </is>
      </c>
      <c r="E393" s="9" t="inlineStr">
        <is>
          <t>Aarav Mehta</t>
        </is>
      </c>
      <c r="F393" s="9" t="inlineStr">
        <is>
          <t>Proportional</t>
        </is>
      </c>
      <c r="G393" s="9" t="n">
        <v>2021</v>
      </c>
      <c r="H393" s="12" t="n">
        <v>18900000</v>
      </c>
      <c r="I393" s="12" t="n">
        <v>3758645.52</v>
      </c>
      <c r="J393" s="12" t="n">
        <v>448722.12</v>
      </c>
      <c r="K393" s="12" t="n">
        <v>3758645.52</v>
      </c>
      <c r="L393" s="12" t="n">
        <v>948964.7999999999</v>
      </c>
      <c r="M393" s="9" t="n">
        <v>5</v>
      </c>
      <c r="N393" s="12" t="n">
        <v>2330821.44</v>
      </c>
      <c r="O393" s="12" t="n">
        <v>2431355.53</v>
      </c>
      <c r="P393" s="12" t="n">
        <v>1890000</v>
      </c>
      <c r="Q393" s="9" t="inlineStr">
        <is>
          <t>Low</t>
        </is>
      </c>
      <c r="R393" s="11">
        <f>IFERROR(O393/K393,0)</f>
        <v/>
      </c>
    </row>
    <row r="394">
      <c r="A394" s="9" t="inlineStr">
        <is>
          <t>T0393</t>
        </is>
      </c>
      <c r="B394" s="9" t="inlineStr">
        <is>
          <t>Harbor General</t>
        </is>
      </c>
      <c r="C394" s="9" t="inlineStr">
        <is>
          <t>Property</t>
        </is>
      </c>
      <c r="D394" s="9" t="inlineStr">
        <is>
          <t>North America</t>
        </is>
      </c>
      <c r="E394" s="9" t="inlineStr">
        <is>
          <t>Hannah Weber</t>
        </is>
      </c>
      <c r="F394" s="9" t="inlineStr">
        <is>
          <t>Proportional</t>
        </is>
      </c>
      <c r="G394" s="9" t="n">
        <v>2023</v>
      </c>
      <c r="H394" s="12" t="n">
        <v>3500000</v>
      </c>
      <c r="I394" s="12" t="n">
        <v>301034.76</v>
      </c>
      <c r="J394" s="12" t="n">
        <v>16039.08</v>
      </c>
      <c r="K394" s="12" t="n">
        <v>301034.76</v>
      </c>
      <c r="L394" s="12" t="n">
        <v>69965.04000000001</v>
      </c>
      <c r="M394" s="9" t="n">
        <v>10</v>
      </c>
      <c r="N394" s="12" t="n">
        <v>289764.63</v>
      </c>
      <c r="O394" s="12" t="n">
        <v>301992.78</v>
      </c>
      <c r="P394" s="12" t="n">
        <v>1050000</v>
      </c>
      <c r="Q394" s="9" t="inlineStr">
        <is>
          <t>Low</t>
        </is>
      </c>
      <c r="R394" s="11">
        <f>IFERROR(O394/K394,0)</f>
        <v/>
      </c>
    </row>
    <row r="395">
      <c r="A395" s="9" t="inlineStr">
        <is>
          <t>T0394</t>
        </is>
      </c>
      <c r="B395" s="9" t="inlineStr">
        <is>
          <t>Evergreen Indemnity</t>
        </is>
      </c>
      <c r="C395" s="9" t="inlineStr">
        <is>
          <t>Property</t>
        </is>
      </c>
      <c r="D395" s="9" t="inlineStr">
        <is>
          <t>North America</t>
        </is>
      </c>
      <c r="E395" s="9" t="inlineStr">
        <is>
          <t>James Whitfield</t>
        </is>
      </c>
      <c r="F395" s="9" t="inlineStr">
        <is>
          <t>Excess of Loss</t>
        </is>
      </c>
      <c r="G395" s="9" t="n">
        <v>2022</v>
      </c>
      <c r="H395" s="12" t="n">
        <v>14000000</v>
      </c>
      <c r="I395" s="12" t="n">
        <v>1437598.32</v>
      </c>
      <c r="J395" s="12" t="n">
        <v>159044.28</v>
      </c>
      <c r="K395" s="12" t="n">
        <v>1437598.32</v>
      </c>
      <c r="L395" s="12" t="n">
        <v>72202.68000000001</v>
      </c>
      <c r="M395" s="9" t="n">
        <v>14</v>
      </c>
      <c r="N395" s="12" t="n">
        <v>1170211.48</v>
      </c>
      <c r="O395" s="12" t="n">
        <v>1249700.15</v>
      </c>
      <c r="P395" s="12" t="n">
        <v>14000000</v>
      </c>
      <c r="Q395" s="9" t="inlineStr">
        <is>
          <t>Low</t>
        </is>
      </c>
      <c r="R395" s="11">
        <f>IFERROR(O395/K395,0)</f>
        <v/>
      </c>
    </row>
    <row r="396">
      <c r="A396" s="9" t="inlineStr">
        <is>
          <t>T0395</t>
        </is>
      </c>
      <c r="B396" s="9" t="inlineStr">
        <is>
          <t>Granite General</t>
        </is>
      </c>
      <c r="C396" s="9" t="inlineStr">
        <is>
          <t>Casualty</t>
        </is>
      </c>
      <c r="D396" s="9" t="inlineStr">
        <is>
          <t>Asia Pacific</t>
        </is>
      </c>
      <c r="E396" s="9" t="inlineStr">
        <is>
          <t>Hannah Weber</t>
        </is>
      </c>
      <c r="F396" s="9" t="inlineStr">
        <is>
          <t>Excess of Loss</t>
        </is>
      </c>
      <c r="G396" s="9" t="n">
        <v>2025</v>
      </c>
      <c r="H396" s="12" t="n">
        <v>2600000</v>
      </c>
      <c r="I396" s="12" t="n">
        <v>231132</v>
      </c>
      <c r="J396" s="12" t="n">
        <v>17130.48</v>
      </c>
      <c r="K396" s="12" t="n">
        <v>231132</v>
      </c>
      <c r="L396" s="12" t="n">
        <v>25800.12</v>
      </c>
      <c r="M396" s="9" t="n">
        <v>14</v>
      </c>
      <c r="N396" s="12" t="n">
        <v>98875.10000000001</v>
      </c>
      <c r="O396" s="12" t="n">
        <v>112884.43</v>
      </c>
      <c r="P396" s="12" t="n">
        <v>2600000</v>
      </c>
      <c r="Q396" s="9" t="inlineStr">
        <is>
          <t>Low</t>
        </is>
      </c>
      <c r="R396" s="11">
        <f>IFERROR(O396/K396,0)</f>
        <v/>
      </c>
    </row>
    <row r="397">
      <c r="A397" s="9" t="inlineStr">
        <is>
          <t>T0396</t>
        </is>
      </c>
      <c r="B397" s="9" t="inlineStr">
        <is>
          <t>Lumen Mutual</t>
        </is>
      </c>
      <c r="C397" s="9" t="inlineStr">
        <is>
          <t>Specialty</t>
        </is>
      </c>
      <c r="D397" s="9" t="inlineStr">
        <is>
          <t>Middle East &amp; Africa</t>
        </is>
      </c>
      <c r="E397" s="9" t="inlineStr">
        <is>
          <t>Priya Nair</t>
        </is>
      </c>
      <c r="F397" s="9" t="inlineStr">
        <is>
          <t>Proportional</t>
        </is>
      </c>
      <c r="G397" s="9" t="n">
        <v>2022</v>
      </c>
      <c r="H397" s="12" t="n">
        <v>18800000</v>
      </c>
      <c r="I397" s="12" t="n">
        <v>2878145.4</v>
      </c>
      <c r="J397" s="12" t="n">
        <v>158651.04</v>
      </c>
      <c r="K397" s="12" t="n">
        <v>2878145.4</v>
      </c>
      <c r="L397" s="12" t="n">
        <v>638867.3999999999</v>
      </c>
      <c r="M397" s="9" t="n">
        <v>5</v>
      </c>
      <c r="N397" s="12" t="n">
        <v>1295570.5</v>
      </c>
      <c r="O397" s="12" t="n">
        <v>1295570.5</v>
      </c>
      <c r="P397" s="12" t="n">
        <v>3760000</v>
      </c>
      <c r="Q397" s="9" t="inlineStr">
        <is>
          <t>Low</t>
        </is>
      </c>
      <c r="R397" s="11">
        <f>IFERROR(O397/K397,0)</f>
        <v/>
      </c>
    </row>
    <row r="398">
      <c r="A398" s="9" t="inlineStr">
        <is>
          <t>T0397</t>
        </is>
      </c>
      <c r="B398" s="9" t="inlineStr">
        <is>
          <t>Northwind General</t>
        </is>
      </c>
      <c r="C398" s="9" t="inlineStr">
        <is>
          <t>Property</t>
        </is>
      </c>
      <c r="D398" s="9" t="inlineStr">
        <is>
          <t>Unassigned</t>
        </is>
      </c>
      <c r="E398" s="9" t="inlineStr">
        <is>
          <t>Omar Haddad</t>
        </is>
      </c>
      <c r="F398" s="9" t="inlineStr">
        <is>
          <t>Excess of Loss</t>
        </is>
      </c>
      <c r="G398" s="9" t="n">
        <v>2026</v>
      </c>
      <c r="H398" s="12" t="n">
        <v>17600000.00004</v>
      </c>
      <c r="I398" s="12" t="n">
        <v>526244.07528</v>
      </c>
      <c r="J398" s="12" t="n">
        <v>46972.70928</v>
      </c>
      <c r="K398" s="12" t="n">
        <v>497008.29336</v>
      </c>
      <c r="L398" s="12" t="n">
        <v>29118.29598234349</v>
      </c>
      <c r="M398" s="9" t="n">
        <v>6</v>
      </c>
      <c r="N398" s="12" t="n">
        <v>62921.72328</v>
      </c>
      <c r="O398" s="12" t="n">
        <v>249327.3798</v>
      </c>
      <c r="P398" s="12" t="n">
        <v>17600000.00004</v>
      </c>
      <c r="Q398" s="9" t="inlineStr">
        <is>
          <t>Low</t>
        </is>
      </c>
      <c r="R398" s="11">
        <f>IFERROR(O398/K398,0)</f>
        <v/>
      </c>
    </row>
    <row r="399">
      <c r="A399" s="9" t="inlineStr">
        <is>
          <t>T0398</t>
        </is>
      </c>
      <c r="B399" s="9" t="inlineStr">
        <is>
          <t>Vantage Insurance</t>
        </is>
      </c>
      <c r="C399" s="9" t="inlineStr">
        <is>
          <t>Property</t>
        </is>
      </c>
      <c r="D399" s="9" t="inlineStr">
        <is>
          <t>Europe</t>
        </is>
      </c>
      <c r="E399" s="9" t="inlineStr">
        <is>
          <t>James Whitfield</t>
        </is>
      </c>
      <c r="F399" s="9" t="inlineStr">
        <is>
          <t>Proportional</t>
        </is>
      </c>
      <c r="G399" s="9" t="n">
        <v>2024</v>
      </c>
      <c r="H399" s="12" t="n">
        <v>8400000.002400002</v>
      </c>
      <c r="I399" s="12" t="n">
        <v>1247664.7728</v>
      </c>
      <c r="J399" s="12" t="n">
        <v>124608.8448</v>
      </c>
      <c r="K399" s="12" t="n">
        <v>1247664.7728</v>
      </c>
      <c r="L399" s="12" t="n">
        <v>303917.7024</v>
      </c>
      <c r="M399" s="9" t="n">
        <v>6</v>
      </c>
      <c r="N399" s="12" t="n">
        <v>1040488.2216</v>
      </c>
      <c r="O399" s="12" t="n">
        <v>1183490.0172</v>
      </c>
      <c r="P399" s="12" t="n">
        <v>2099999.9952</v>
      </c>
      <c r="Q399" s="9" t="inlineStr">
        <is>
          <t>Low</t>
        </is>
      </c>
      <c r="R399" s="11">
        <f>IFERROR(O399/K399,0)</f>
        <v/>
      </c>
    </row>
    <row r="400">
      <c r="A400" s="9" t="inlineStr">
        <is>
          <t>T0399</t>
        </is>
      </c>
      <c r="B400" s="9" t="inlineStr">
        <is>
          <t>Northwind Insurance</t>
        </is>
      </c>
      <c r="C400" s="9" t="inlineStr">
        <is>
          <t>Property</t>
        </is>
      </c>
      <c r="D400" s="9" t="inlineStr">
        <is>
          <t>North America</t>
        </is>
      </c>
      <c r="E400" s="9" t="inlineStr">
        <is>
          <t>Kenji Sato</t>
        </is>
      </c>
      <c r="F400" s="9" t="inlineStr">
        <is>
          <t>Excess of Loss</t>
        </is>
      </c>
      <c r="G400" s="9" t="n">
        <v>2021</v>
      </c>
      <c r="H400" s="12" t="n">
        <v>14400000</v>
      </c>
      <c r="I400" s="12" t="n">
        <v>2302822.44</v>
      </c>
      <c r="J400" s="12" t="n">
        <v>197253.48</v>
      </c>
      <c r="K400" s="12" t="n">
        <v>2302822.44</v>
      </c>
      <c r="L400" s="12" t="n">
        <v>157261.8</v>
      </c>
      <c r="M400" s="9" t="n">
        <v>6</v>
      </c>
      <c r="N400" s="12" t="n">
        <v>1968641.01</v>
      </c>
      <c r="O400" s="12" t="n">
        <v>1985498.89</v>
      </c>
      <c r="P400" s="12" t="n">
        <v>14400000</v>
      </c>
      <c r="Q400" s="9" t="inlineStr">
        <is>
          <t>Low</t>
        </is>
      </c>
      <c r="R400" s="11">
        <f>IFERROR(O400/K400,0)</f>
        <v/>
      </c>
    </row>
    <row r="401">
      <c r="A401" s="9" t="inlineStr">
        <is>
          <t>T0400</t>
        </is>
      </c>
      <c r="B401" s="9" t="inlineStr">
        <is>
          <t>Cobalt Indemnity</t>
        </is>
      </c>
      <c r="C401" s="9" t="inlineStr">
        <is>
          <t>Property</t>
        </is>
      </c>
      <c r="D401" s="9" t="inlineStr">
        <is>
          <t>North America</t>
        </is>
      </c>
      <c r="E401" s="9" t="inlineStr">
        <is>
          <t>James Whitfield</t>
        </is>
      </c>
      <c r="F401" s="9" t="inlineStr">
        <is>
          <t>Proportional</t>
        </is>
      </c>
      <c r="G401" s="9" t="n">
        <v>2025</v>
      </c>
      <c r="H401" s="12" t="n">
        <v>55000000</v>
      </c>
      <c r="I401" s="12" t="n">
        <v>4498171.199999999</v>
      </c>
      <c r="J401" s="12" t="n">
        <v>359244</v>
      </c>
      <c r="K401" s="12" t="n">
        <v>4498171.199999999</v>
      </c>
      <c r="L401" s="12" t="n">
        <v>1327737</v>
      </c>
      <c r="M401" s="9" t="n">
        <v>9</v>
      </c>
      <c r="N401" s="12" t="n">
        <v>3565189.25</v>
      </c>
      <c r="O401" s="12" t="n">
        <v>4982706.64</v>
      </c>
      <c r="P401" s="12" t="n">
        <v>11000000</v>
      </c>
      <c r="Q401" s="9" t="inlineStr">
        <is>
          <t>Low</t>
        </is>
      </c>
      <c r="R401" s="11">
        <f>IFERROR(O401/K401,0)</f>
        <v/>
      </c>
    </row>
    <row r="402">
      <c r="A402" s="9" t="inlineStr">
        <is>
          <t>T0401</t>
        </is>
      </c>
      <c r="B402" s="9" t="inlineStr">
        <is>
          <t>Cobalt Indemnity</t>
        </is>
      </c>
      <c r="C402" s="9" t="inlineStr">
        <is>
          <t>Specialty</t>
        </is>
      </c>
      <c r="D402" s="9" t="inlineStr">
        <is>
          <t>North America</t>
        </is>
      </c>
      <c r="E402" s="9" t="inlineStr">
        <is>
          <t>Priya Nair</t>
        </is>
      </c>
      <c r="F402" s="9" t="inlineStr">
        <is>
          <t>Proportional</t>
        </is>
      </c>
      <c r="G402" s="9" t="n">
        <v>2024</v>
      </c>
      <c r="H402" s="12" t="n">
        <v>6500000</v>
      </c>
      <c r="I402" s="12" t="n">
        <v>1199260.56</v>
      </c>
      <c r="J402" s="12" t="n">
        <v>133438.08</v>
      </c>
      <c r="K402" s="12" t="n">
        <v>1199260.56</v>
      </c>
      <c r="L402" s="12" t="n">
        <v>303158.76</v>
      </c>
      <c r="M402" s="9" t="n">
        <v>1</v>
      </c>
      <c r="N402" s="12" t="n">
        <v>514236.55</v>
      </c>
      <c r="O402" s="12" t="n">
        <v>514236.55</v>
      </c>
      <c r="P402" s="12" t="n">
        <v>975000</v>
      </c>
      <c r="Q402" s="9" t="inlineStr">
        <is>
          <t>Low</t>
        </is>
      </c>
      <c r="R402" s="11">
        <f>IFERROR(O402/K402,0)</f>
        <v/>
      </c>
    </row>
    <row r="403">
      <c r="A403" s="9" t="inlineStr">
        <is>
          <t>T0402</t>
        </is>
      </c>
      <c r="B403" s="9" t="inlineStr">
        <is>
          <t>Sterling Insurance</t>
        </is>
      </c>
      <c r="C403" s="9" t="inlineStr">
        <is>
          <t>Financial Lines</t>
        </is>
      </c>
      <c r="D403" s="9" t="inlineStr">
        <is>
          <t>Asia Pacific</t>
        </is>
      </c>
      <c r="E403" s="9" t="inlineStr">
        <is>
          <t>Omar Haddad</t>
        </is>
      </c>
      <c r="F403" s="9" t="inlineStr">
        <is>
          <t>Excess of Loss</t>
        </is>
      </c>
      <c r="G403" s="9" t="n">
        <v>2023</v>
      </c>
      <c r="H403" s="12" t="n">
        <v>16700000.00004</v>
      </c>
      <c r="I403" s="12" t="n">
        <v>1456600.14576</v>
      </c>
      <c r="J403" s="12" t="n">
        <v>111409.98624</v>
      </c>
      <c r="K403" s="12" t="n">
        <v>1456600.14576</v>
      </c>
      <c r="L403" s="12" t="n">
        <v>170468.0568</v>
      </c>
      <c r="M403" s="9" t="n">
        <v>7</v>
      </c>
      <c r="N403" s="12" t="n">
        <v>450727.287</v>
      </c>
      <c r="O403" s="12" t="n">
        <v>491279.36412</v>
      </c>
      <c r="P403" s="12" t="n">
        <v>16700000.00004</v>
      </c>
      <c r="Q403" s="9" t="inlineStr">
        <is>
          <t>Low</t>
        </is>
      </c>
      <c r="R403" s="11">
        <f>IFERROR(O403/K403,0)</f>
        <v/>
      </c>
    </row>
    <row r="404">
      <c r="A404" s="9" t="inlineStr">
        <is>
          <t>T0403</t>
        </is>
      </c>
      <c r="B404" s="9" t="inlineStr">
        <is>
          <t>Cobalt Indemnity</t>
        </is>
      </c>
      <c r="C404" s="9" t="inlineStr">
        <is>
          <t>Property</t>
        </is>
      </c>
      <c r="D404" s="9" t="inlineStr">
        <is>
          <t>North America</t>
        </is>
      </c>
      <c r="E404" s="9" t="inlineStr">
        <is>
          <t>Carlos Ibarra</t>
        </is>
      </c>
      <c r="F404" s="9" t="inlineStr">
        <is>
          <t>Proportional</t>
        </is>
      </c>
      <c r="G404" s="9" t="n">
        <v>2025</v>
      </c>
      <c r="H404" s="12" t="n">
        <v>5200000</v>
      </c>
      <c r="I404" s="12" t="n">
        <v>540506.8</v>
      </c>
      <c r="J404" s="12" t="n">
        <v>49102.1</v>
      </c>
      <c r="K404" s="12" t="n">
        <v>495464.57</v>
      </c>
      <c r="L404" s="12" t="n">
        <v>131216.709216119</v>
      </c>
      <c r="M404" s="9" t="n">
        <v>8</v>
      </c>
      <c r="N404" s="12" t="n">
        <v>332826.72</v>
      </c>
      <c r="O404" s="12" t="n">
        <v>587696.5600000001</v>
      </c>
      <c r="P404" s="12" t="n">
        <v>1300000</v>
      </c>
      <c r="Q404" s="9" t="inlineStr">
        <is>
          <t>Low</t>
        </is>
      </c>
      <c r="R404" s="11">
        <f>IFERROR(O404/K404,0)</f>
        <v/>
      </c>
    </row>
    <row r="405">
      <c r="A405" s="9" t="inlineStr">
        <is>
          <t>T0404</t>
        </is>
      </c>
      <c r="B405" s="9" t="inlineStr">
        <is>
          <t>Meridian General</t>
        </is>
      </c>
      <c r="C405" s="9" t="inlineStr">
        <is>
          <t>Property</t>
        </is>
      </c>
      <c r="D405" s="9" t="inlineStr">
        <is>
          <t>North America</t>
        </is>
      </c>
      <c r="E405" s="9" t="inlineStr">
        <is>
          <t>Aarav Mehta</t>
        </is>
      </c>
      <c r="F405" s="9" t="inlineStr">
        <is>
          <t>Excess of Loss</t>
        </is>
      </c>
      <c r="G405" s="9" t="n">
        <v>2022</v>
      </c>
      <c r="H405" s="12" t="n">
        <v>52800000</v>
      </c>
      <c r="I405" s="12" t="n">
        <v>4576634.16</v>
      </c>
      <c r="J405" s="12" t="n">
        <v>323194.8</v>
      </c>
      <c r="K405" s="12" t="n">
        <v>4576634.16</v>
      </c>
      <c r="L405" s="12" t="n">
        <v>431375.52</v>
      </c>
      <c r="M405" s="9" t="n">
        <v>11</v>
      </c>
      <c r="N405" s="12" t="n">
        <v>2363152.57</v>
      </c>
      <c r="O405" s="12" t="n">
        <v>3495801.99</v>
      </c>
      <c r="P405" s="12" t="n">
        <v>52800000</v>
      </c>
      <c r="Q405" s="9" t="inlineStr">
        <is>
          <t>Low</t>
        </is>
      </c>
      <c r="R405" s="11">
        <f>IFERROR(O405/K405,0)</f>
        <v/>
      </c>
    </row>
    <row r="406">
      <c r="A406" s="9" t="inlineStr">
        <is>
          <t>T0405</t>
        </is>
      </c>
      <c r="B406" s="9" t="inlineStr">
        <is>
          <t>Cobalt Indemnity</t>
        </is>
      </c>
      <c r="C406" s="9" t="inlineStr">
        <is>
          <t>Property</t>
        </is>
      </c>
      <c r="D406" s="9" t="inlineStr">
        <is>
          <t>North America</t>
        </is>
      </c>
      <c r="E406" s="9" t="inlineStr">
        <is>
          <t>James Whitfield</t>
        </is>
      </c>
      <c r="F406" s="9" t="inlineStr">
        <is>
          <t>Excess of Loss</t>
        </is>
      </c>
      <c r="G406" s="9" t="n">
        <v>2023</v>
      </c>
      <c r="H406" s="12" t="n">
        <v>21500000</v>
      </c>
      <c r="I406" s="12" t="n">
        <v>2654657.04</v>
      </c>
      <c r="J406" s="12" t="n">
        <v>193710.48</v>
      </c>
      <c r="K406" s="12" t="n">
        <v>2654657.04</v>
      </c>
      <c r="L406" s="12" t="n">
        <v>303310.44</v>
      </c>
      <c r="M406" s="9" t="n">
        <v>4</v>
      </c>
      <c r="N406" s="12" t="n">
        <v>2330686.83</v>
      </c>
      <c r="O406" s="12" t="n">
        <v>2330686.83</v>
      </c>
      <c r="P406" s="12" t="n">
        <v>21500000</v>
      </c>
      <c r="Q406" s="9" t="inlineStr">
        <is>
          <t>Low</t>
        </is>
      </c>
      <c r="R406" s="11">
        <f>IFERROR(O406/K406,0)</f>
        <v/>
      </c>
    </row>
    <row r="407">
      <c r="A407" s="9" t="inlineStr">
        <is>
          <t>T0406</t>
        </is>
      </c>
      <c r="B407" s="9" t="inlineStr">
        <is>
          <t>Granite Mutual</t>
        </is>
      </c>
      <c r="C407" s="9" t="inlineStr">
        <is>
          <t>Specialty</t>
        </is>
      </c>
      <c r="D407" s="9" t="inlineStr">
        <is>
          <t>Europe</t>
        </is>
      </c>
      <c r="E407" s="9" t="inlineStr">
        <is>
          <t>James Whitfield</t>
        </is>
      </c>
      <c r="F407" s="9" t="inlineStr">
        <is>
          <t>Proportional</t>
        </is>
      </c>
      <c r="G407" s="9" t="n">
        <v>2025</v>
      </c>
      <c r="H407" s="12" t="n">
        <v>12100000.0062</v>
      </c>
      <c r="I407" s="12" t="n">
        <v>1161585.3324</v>
      </c>
      <c r="J407" s="12" t="n">
        <v>78143.2524</v>
      </c>
      <c r="K407" s="12" t="n">
        <v>1161585.3324</v>
      </c>
      <c r="L407" s="12" t="n">
        <v>362557.6188</v>
      </c>
      <c r="M407" s="9" t="n">
        <v>8</v>
      </c>
      <c r="N407" s="12" t="n">
        <v>187989.7053</v>
      </c>
      <c r="O407" s="12" t="n">
        <v>535980.3859999999</v>
      </c>
      <c r="P407" s="12" t="n">
        <v>1210000.0057</v>
      </c>
      <c r="Q407" s="9" t="inlineStr">
        <is>
          <t>Low</t>
        </is>
      </c>
      <c r="R407" s="11">
        <f>IFERROR(O407/K407,0)</f>
        <v/>
      </c>
    </row>
    <row r="408">
      <c r="A408" s="9" t="inlineStr">
        <is>
          <t>T0407</t>
        </is>
      </c>
      <c r="B408" s="9" t="inlineStr">
        <is>
          <t>Sterling Mutual</t>
        </is>
      </c>
      <c r="C408" s="9" t="inlineStr">
        <is>
          <t>Casualty</t>
        </is>
      </c>
      <c r="D408" s="9" t="inlineStr">
        <is>
          <t>Europe</t>
        </is>
      </c>
      <c r="E408" s="9" t="inlineStr">
        <is>
          <t>Hannah Weber</t>
        </is>
      </c>
      <c r="F408" s="9" t="inlineStr">
        <is>
          <t>Excess of Loss</t>
        </is>
      </c>
      <c r="G408" s="9" t="n">
        <v>2025</v>
      </c>
      <c r="H408" s="12" t="n">
        <v>32700000.005</v>
      </c>
      <c r="I408" s="12" t="n">
        <v>2626525.4556</v>
      </c>
      <c r="J408" s="12" t="n">
        <v>186138.0072</v>
      </c>
      <c r="K408" s="12" t="n">
        <v>2626525.4556</v>
      </c>
      <c r="L408" s="12" t="n">
        <v>139110.72</v>
      </c>
      <c r="M408" s="9" t="n">
        <v>11</v>
      </c>
      <c r="N408" s="12" t="n">
        <v>774550.9782</v>
      </c>
      <c r="O408" s="12" t="n">
        <v>1235763.9369</v>
      </c>
      <c r="P408" s="12" t="n">
        <v>32700000.005</v>
      </c>
      <c r="Q408" s="9" t="inlineStr">
        <is>
          <t>Low</t>
        </is>
      </c>
      <c r="R408" s="11">
        <f>IFERROR(O408/K408,0)</f>
        <v/>
      </c>
    </row>
    <row r="409">
      <c r="A409" s="9" t="inlineStr">
        <is>
          <t>T0408</t>
        </is>
      </c>
      <c r="B409" s="9" t="inlineStr">
        <is>
          <t>Atlas Indemnity</t>
        </is>
      </c>
      <c r="C409" s="9" t="inlineStr">
        <is>
          <t>Professional</t>
        </is>
      </c>
      <c r="D409" s="9" t="inlineStr">
        <is>
          <t>North America</t>
        </is>
      </c>
      <c r="E409" s="9" t="inlineStr">
        <is>
          <t>Omar Haddad</t>
        </is>
      </c>
      <c r="F409" s="9" t="inlineStr">
        <is>
          <t>Proportional</t>
        </is>
      </c>
      <c r="G409" s="9" t="n">
        <v>2025</v>
      </c>
      <c r="H409" s="12" t="n">
        <v>23000000</v>
      </c>
      <c r="I409" s="12" t="n">
        <v>1953700.08</v>
      </c>
      <c r="J409" s="12" t="n">
        <v>179143.8</v>
      </c>
      <c r="K409" s="12" t="n">
        <v>1953700.08</v>
      </c>
      <c r="L409" s="12" t="n">
        <v>558319.92</v>
      </c>
      <c r="M409" s="9" t="n">
        <v>7</v>
      </c>
      <c r="N409" s="12" t="n">
        <v>579585.28</v>
      </c>
      <c r="O409" s="12" t="n">
        <v>1137259.63</v>
      </c>
      <c r="P409" s="12" t="n">
        <v>5750000</v>
      </c>
      <c r="Q409" s="9" t="inlineStr">
        <is>
          <t>Low</t>
        </is>
      </c>
      <c r="R409" s="11">
        <f>IFERROR(O409/K409,0)</f>
        <v/>
      </c>
    </row>
    <row r="410">
      <c r="A410" s="9" t="inlineStr">
        <is>
          <t>T0409</t>
        </is>
      </c>
      <c r="B410" s="9" t="inlineStr">
        <is>
          <t>Pioneer Insurance</t>
        </is>
      </c>
      <c r="C410" s="9" t="inlineStr">
        <is>
          <t>Casualty</t>
        </is>
      </c>
      <c r="D410" s="9" t="inlineStr">
        <is>
          <t>Europe</t>
        </is>
      </c>
      <c r="E410" s="9" t="inlineStr">
        <is>
          <t>Aarav Mehta</t>
        </is>
      </c>
      <c r="F410" s="9" t="inlineStr">
        <is>
          <t>Proportional</t>
        </is>
      </c>
      <c r="G410" s="9" t="n">
        <v>2025</v>
      </c>
      <c r="H410" s="12" t="n">
        <v>8700000.004799999</v>
      </c>
      <c r="I410" s="12" t="n">
        <v>661184.9856</v>
      </c>
      <c r="J410" s="12" t="n">
        <v>47670.6384</v>
      </c>
      <c r="K410" s="12" t="n">
        <v>661184.9856</v>
      </c>
      <c r="L410" s="12" t="n">
        <v>203942.448</v>
      </c>
      <c r="M410" s="9" t="n">
        <v>5</v>
      </c>
      <c r="N410" s="12" t="n">
        <v>197065.2456</v>
      </c>
      <c r="O410" s="12" t="n">
        <v>410455.0044</v>
      </c>
      <c r="P410" s="12" t="n">
        <v>2610000.0036</v>
      </c>
      <c r="Q410" s="9" t="inlineStr">
        <is>
          <t>Low</t>
        </is>
      </c>
      <c r="R410" s="11">
        <f>IFERROR(O410/K410,0)</f>
        <v/>
      </c>
    </row>
    <row r="411">
      <c r="A411" s="9" t="inlineStr">
        <is>
          <t>T0410</t>
        </is>
      </c>
      <c r="B411" s="9" t="inlineStr">
        <is>
          <t>Crown Mutual</t>
        </is>
      </c>
      <c r="C411" s="9" t="inlineStr">
        <is>
          <t>Financial Lines</t>
        </is>
      </c>
      <c r="D411" s="9" t="inlineStr">
        <is>
          <t>North America</t>
        </is>
      </c>
      <c r="E411" s="9" t="inlineStr">
        <is>
          <t>Sophie Laurent</t>
        </is>
      </c>
      <c r="F411" s="9" t="inlineStr">
        <is>
          <t>Excess of Loss</t>
        </is>
      </c>
      <c r="G411" s="9" t="n">
        <v>2021</v>
      </c>
      <c r="H411" s="12" t="n">
        <v>38200000</v>
      </c>
      <c r="I411" s="12" t="n">
        <v>3430911.24</v>
      </c>
      <c r="J411" s="12" t="n">
        <v>338869.08</v>
      </c>
      <c r="K411" s="12" t="n">
        <v>3430911.24</v>
      </c>
      <c r="L411" s="12" t="n">
        <v>223516.92</v>
      </c>
      <c r="M411" s="9" t="n">
        <v>10</v>
      </c>
      <c r="N411" s="12" t="n">
        <v>1770598.18</v>
      </c>
      <c r="O411" s="12" t="n">
        <v>1770598.18</v>
      </c>
      <c r="P411" s="12" t="n">
        <v>38200000</v>
      </c>
      <c r="Q411" s="9" t="inlineStr">
        <is>
          <t>Low</t>
        </is>
      </c>
      <c r="R411" s="11">
        <f>IFERROR(O411/K411,0)</f>
        <v/>
      </c>
    </row>
    <row r="412">
      <c r="A412" s="9" t="inlineStr">
        <is>
          <t>T0411</t>
        </is>
      </c>
      <c r="B412" s="9" t="inlineStr">
        <is>
          <t>Vantage Assurance</t>
        </is>
      </c>
      <c r="C412" s="9" t="inlineStr">
        <is>
          <t>Property</t>
        </is>
      </c>
      <c r="D412" s="9" t="inlineStr">
        <is>
          <t>Europe</t>
        </is>
      </c>
      <c r="E412" s="9" t="inlineStr">
        <is>
          <t>Sophie Laurent</t>
        </is>
      </c>
      <c r="F412" s="9" t="inlineStr">
        <is>
          <t>Proportional</t>
        </is>
      </c>
      <c r="G412" s="9" t="n">
        <v>2022</v>
      </c>
      <c r="H412" s="12" t="n">
        <v>15599999.9952</v>
      </c>
      <c r="I412" s="12" t="n">
        <v>1715590.1088</v>
      </c>
      <c r="J412" s="12" t="n">
        <v>141467.2128</v>
      </c>
      <c r="K412" s="12" t="n">
        <v>1715590.1088</v>
      </c>
      <c r="L412" s="12" t="n">
        <v>537010.9488</v>
      </c>
      <c r="M412" s="9" t="n">
        <v>13</v>
      </c>
      <c r="N412" s="12" t="n">
        <v>681838.9596000001</v>
      </c>
      <c r="O412" s="12" t="n">
        <v>787885.1424000001</v>
      </c>
      <c r="P412" s="12" t="n">
        <v>2340000.0036</v>
      </c>
      <c r="Q412" s="9" t="inlineStr">
        <is>
          <t>Low</t>
        </is>
      </c>
      <c r="R412" s="11">
        <f>IFERROR(O412/K412,0)</f>
        <v/>
      </c>
    </row>
    <row r="413">
      <c r="A413" s="9" t="inlineStr">
        <is>
          <t>T0412</t>
        </is>
      </c>
      <c r="B413" s="9" t="inlineStr">
        <is>
          <t>Pioneer Insurance</t>
        </is>
      </c>
      <c r="C413" s="9" t="inlineStr">
        <is>
          <t>Casualty</t>
        </is>
      </c>
      <c r="D413" s="9" t="inlineStr">
        <is>
          <t>Europe</t>
        </is>
      </c>
      <c r="E413" s="9" t="inlineStr">
        <is>
          <t>Priya Nair</t>
        </is>
      </c>
      <c r="F413" s="9" t="inlineStr">
        <is>
          <t>Proportional</t>
        </is>
      </c>
      <c r="G413" s="9" t="n">
        <v>2023</v>
      </c>
      <c r="H413" s="12" t="n">
        <v>9200000.001600001</v>
      </c>
      <c r="I413" s="12" t="n">
        <v>827002.6128000001</v>
      </c>
      <c r="J413" s="12" t="n">
        <v>61881.1488</v>
      </c>
      <c r="K413" s="12" t="n">
        <v>827002.6128000001</v>
      </c>
      <c r="L413" s="12" t="n">
        <v>198580.248</v>
      </c>
      <c r="M413" s="9" t="n">
        <v>7</v>
      </c>
      <c r="N413" s="12" t="n">
        <v>463859.1252</v>
      </c>
      <c r="O413" s="12" t="n">
        <v>660364.11</v>
      </c>
      <c r="P413" s="12" t="n">
        <v>1839999.996</v>
      </c>
      <c r="Q413" s="9" t="inlineStr">
        <is>
          <t>Low</t>
        </is>
      </c>
      <c r="R413" s="11">
        <f>IFERROR(O413/K413,0)</f>
        <v/>
      </c>
    </row>
    <row r="414">
      <c r="A414" s="9" t="inlineStr">
        <is>
          <t>T0413</t>
        </is>
      </c>
      <c r="B414" s="9" t="inlineStr">
        <is>
          <t>Sterling Mutual</t>
        </is>
      </c>
      <c r="C414" s="9" t="inlineStr">
        <is>
          <t>Property</t>
        </is>
      </c>
      <c r="D414" s="9" t="inlineStr">
        <is>
          <t>Europe</t>
        </is>
      </c>
      <c r="E414" s="9" t="inlineStr">
        <is>
          <t>Sophie Laurent</t>
        </is>
      </c>
      <c r="F414" s="9" t="inlineStr">
        <is>
          <t>Excess of Loss</t>
        </is>
      </c>
      <c r="G414" s="9" t="n">
        <v>2025</v>
      </c>
      <c r="H414" s="12" t="n">
        <v>14400000.0036</v>
      </c>
      <c r="I414" s="12" t="n">
        <v>1804238.7588</v>
      </c>
      <c r="J414" s="12" t="n">
        <v>108872.7312</v>
      </c>
      <c r="K414" s="12" t="n">
        <v>1804238.7588</v>
      </c>
      <c r="L414" s="12" t="n">
        <v>149387.6616</v>
      </c>
      <c r="M414" s="9" t="n">
        <v>5</v>
      </c>
      <c r="N414" s="12" t="n">
        <v>339030.6148</v>
      </c>
      <c r="O414" s="12" t="n">
        <v>917780.613</v>
      </c>
      <c r="P414" s="12" t="n">
        <v>14400000.0036</v>
      </c>
      <c r="Q414" s="9" t="inlineStr">
        <is>
          <t>Low</t>
        </is>
      </c>
      <c r="R414" s="11">
        <f>IFERROR(O414/K414,0)</f>
        <v/>
      </c>
    </row>
    <row r="415">
      <c r="A415" s="9" t="inlineStr">
        <is>
          <t>T0414</t>
        </is>
      </c>
      <c r="B415" s="9" t="inlineStr">
        <is>
          <t>Lumen Insurance</t>
        </is>
      </c>
      <c r="C415" s="9" t="inlineStr">
        <is>
          <t>Casualty</t>
        </is>
      </c>
      <c r="D415" s="9" t="inlineStr">
        <is>
          <t>North America</t>
        </is>
      </c>
      <c r="E415" s="9" t="inlineStr">
        <is>
          <t>Omar Haddad</t>
        </is>
      </c>
      <c r="F415" s="9" t="inlineStr">
        <is>
          <t>Proportional</t>
        </is>
      </c>
      <c r="G415" s="9" t="n">
        <v>2024</v>
      </c>
      <c r="H415" s="12" t="n">
        <v>8100000</v>
      </c>
      <c r="I415" s="12" t="n">
        <v>746165.64</v>
      </c>
      <c r="J415" s="12" t="n">
        <v>55971.12</v>
      </c>
      <c r="K415" s="12" t="n">
        <v>746165.64</v>
      </c>
      <c r="L415" s="12" t="n">
        <v>235090.56</v>
      </c>
      <c r="M415" s="9" t="n">
        <v>10</v>
      </c>
      <c r="N415" s="12" t="n">
        <v>267506.64</v>
      </c>
      <c r="O415" s="12" t="n">
        <v>387494.24</v>
      </c>
      <c r="P415" s="12" t="n">
        <v>4050000</v>
      </c>
      <c r="Q415" s="9" t="inlineStr">
        <is>
          <t>Low</t>
        </is>
      </c>
      <c r="R415" s="11">
        <f>IFERROR(O415/K415,0)</f>
        <v/>
      </c>
    </row>
    <row r="416">
      <c r="A416" s="9" t="inlineStr">
        <is>
          <t>T0415</t>
        </is>
      </c>
      <c r="B416" s="9" t="inlineStr">
        <is>
          <t>Northwind General</t>
        </is>
      </c>
      <c r="C416" s="9" t="inlineStr">
        <is>
          <t>Specialty</t>
        </is>
      </c>
      <c r="D416" s="9" t="inlineStr">
        <is>
          <t>Asia Pacific</t>
        </is>
      </c>
      <c r="E416" s="9" t="inlineStr">
        <is>
          <t>Hannah Weber</t>
        </is>
      </c>
      <c r="F416" s="9" t="inlineStr">
        <is>
          <t>Excess of Loss</t>
        </is>
      </c>
      <c r="G416" s="9" t="n">
        <v>2023</v>
      </c>
      <c r="H416" s="12" t="n">
        <v>17499999.99996</v>
      </c>
      <c r="I416" s="12" t="n">
        <v>2566597.58784</v>
      </c>
      <c r="J416" s="12" t="n">
        <v>275419.34928</v>
      </c>
      <c r="K416" s="12" t="n">
        <v>2566597.58784</v>
      </c>
      <c r="L416" s="12" t="n">
        <v>151535.75472</v>
      </c>
      <c r="M416" s="9" t="n">
        <v>15</v>
      </c>
      <c r="N416" s="12" t="n">
        <v>1656076.28844</v>
      </c>
      <c r="O416" s="12" t="n">
        <v>1829517.87936</v>
      </c>
      <c r="P416" s="12" t="n">
        <v>17499999.99996</v>
      </c>
      <c r="Q416" s="9" t="inlineStr">
        <is>
          <t>Low</t>
        </is>
      </c>
      <c r="R416" s="11">
        <f>IFERROR(O416/K416,0)</f>
        <v/>
      </c>
    </row>
    <row r="417">
      <c r="A417" s="9" t="inlineStr">
        <is>
          <t>T0416</t>
        </is>
      </c>
      <c r="B417" s="9" t="inlineStr">
        <is>
          <t>Cobalt General</t>
        </is>
      </c>
      <c r="C417" s="9" t="inlineStr">
        <is>
          <t>Financial Lines</t>
        </is>
      </c>
      <c r="D417" s="9" t="inlineStr">
        <is>
          <t>North America</t>
        </is>
      </c>
      <c r="E417" s="9" t="inlineStr">
        <is>
          <t>Kenji Sato</t>
        </is>
      </c>
      <c r="F417" s="9" t="inlineStr">
        <is>
          <t>Excess of Loss</t>
        </is>
      </c>
      <c r="G417" s="9" t="n">
        <v>2022</v>
      </c>
      <c r="H417" s="12" t="n">
        <v>3400000</v>
      </c>
      <c r="I417" s="12" t="n">
        <v>382462.08</v>
      </c>
      <c r="J417" s="12" t="n">
        <v>44065.68</v>
      </c>
      <c r="K417" s="12" t="n">
        <v>382462.08</v>
      </c>
      <c r="L417" s="12" t="n">
        <v>39135.60000000001</v>
      </c>
      <c r="M417" s="9" t="n">
        <v>8</v>
      </c>
      <c r="N417" s="12" t="n">
        <v>157456.46</v>
      </c>
      <c r="O417" s="12" t="n">
        <v>182298.78</v>
      </c>
      <c r="P417" s="12" t="n">
        <v>3400000</v>
      </c>
      <c r="Q417" s="9" t="inlineStr">
        <is>
          <t>Low</t>
        </is>
      </c>
      <c r="R417" s="11">
        <f>IFERROR(O417/K417,0)</f>
        <v/>
      </c>
    </row>
    <row r="418">
      <c r="A418" s="9" t="inlineStr">
        <is>
          <t>T0417</t>
        </is>
      </c>
      <c r="B418" s="9" t="inlineStr">
        <is>
          <t>Meridian Indemnity</t>
        </is>
      </c>
      <c r="C418" s="9" t="inlineStr">
        <is>
          <t>Property</t>
        </is>
      </c>
      <c r="D418" s="9" t="inlineStr">
        <is>
          <t>Europe</t>
        </is>
      </c>
      <c r="E418" s="9" t="inlineStr">
        <is>
          <t>Sophie Laurent</t>
        </is>
      </c>
      <c r="F418" s="9" t="inlineStr">
        <is>
          <t>Excess of Loss</t>
        </is>
      </c>
      <c r="G418" s="9" t="n">
        <v>2024</v>
      </c>
      <c r="H418" s="12" t="n">
        <v>35199999.9972</v>
      </c>
      <c r="I418" s="12" t="n">
        <v>5876179.7328</v>
      </c>
      <c r="J418" s="12" t="n">
        <v>621290.8656000001</v>
      </c>
      <c r="K418" s="12" t="n">
        <v>5876179.7328</v>
      </c>
      <c r="L418" s="12" t="n">
        <v>316515.4704</v>
      </c>
      <c r="M418" s="9" t="n">
        <v>5</v>
      </c>
      <c r="N418" s="12" t="n">
        <v>2815255.0944</v>
      </c>
      <c r="O418" s="12" t="n">
        <v>5006661.008400001</v>
      </c>
      <c r="P418" s="12" t="n">
        <v>35199999.9972</v>
      </c>
      <c r="Q418" s="9" t="inlineStr">
        <is>
          <t>Low</t>
        </is>
      </c>
      <c r="R418" s="11">
        <f>IFERROR(O418/K418,0)</f>
        <v/>
      </c>
    </row>
    <row r="419">
      <c r="A419" s="9" t="inlineStr">
        <is>
          <t>T0418</t>
        </is>
      </c>
      <c r="B419" s="9" t="inlineStr">
        <is>
          <t>Granite Assurance</t>
        </is>
      </c>
      <c r="C419" s="9" t="inlineStr">
        <is>
          <t>Casualty</t>
        </is>
      </c>
      <c r="D419" s="9" t="inlineStr">
        <is>
          <t>Asia Pacific</t>
        </is>
      </c>
      <c r="E419" s="9" t="inlineStr">
        <is>
          <t>Hannah Weber</t>
        </is>
      </c>
      <c r="F419" s="9" t="inlineStr">
        <is>
          <t>Facultative</t>
        </is>
      </c>
      <c r="G419" s="9" t="n">
        <v>2021</v>
      </c>
      <c r="H419" s="12" t="n">
        <v>5400000</v>
      </c>
      <c r="I419" s="12" t="n">
        <v>793310.3999999999</v>
      </c>
      <c r="J419" s="12" t="n">
        <v>71490.48</v>
      </c>
      <c r="K419" s="12" t="n">
        <v>793310.3999999999</v>
      </c>
      <c r="L419" s="12" t="n">
        <v>124085.28</v>
      </c>
      <c r="M419" s="9" t="n">
        <v>6</v>
      </c>
      <c r="N419" s="12" t="n">
        <v>354771.35</v>
      </c>
      <c r="O419" s="12" t="n">
        <v>460654.67</v>
      </c>
      <c r="P419" s="12" t="n">
        <v>5400000</v>
      </c>
      <c r="Q419" s="9" t="inlineStr">
        <is>
          <t>Low</t>
        </is>
      </c>
      <c r="R419" s="11">
        <f>IFERROR(O419/K419,0)</f>
        <v/>
      </c>
    </row>
    <row r="420">
      <c r="A420" s="9" t="inlineStr">
        <is>
          <t>T0419</t>
        </is>
      </c>
      <c r="B420" s="9" t="inlineStr">
        <is>
          <t>Meridian General</t>
        </is>
      </c>
      <c r="C420" s="9" t="inlineStr">
        <is>
          <t>Property</t>
        </is>
      </c>
      <c r="D420" s="9" t="inlineStr">
        <is>
          <t>North America</t>
        </is>
      </c>
      <c r="E420" s="9" t="inlineStr">
        <is>
          <t>James Whitfield</t>
        </is>
      </c>
      <c r="F420" s="9" t="inlineStr">
        <is>
          <t>Excess of Loss</t>
        </is>
      </c>
      <c r="G420" s="9" t="n">
        <v>2021</v>
      </c>
      <c r="H420" s="12" t="n">
        <v>3600000</v>
      </c>
      <c r="I420" s="12" t="n">
        <v>270055.2</v>
      </c>
      <c r="J420" s="12" t="n">
        <v>19412.28</v>
      </c>
      <c r="K420" s="12" t="n">
        <v>270055.2</v>
      </c>
      <c r="L420" s="12" t="n">
        <v>21293.16</v>
      </c>
      <c r="M420" s="9" t="n">
        <v>7</v>
      </c>
      <c r="N420" s="12" t="n">
        <v>331612.71</v>
      </c>
      <c r="O420" s="12" t="n">
        <v>332627.61</v>
      </c>
      <c r="P420" s="12" t="n">
        <v>3600000</v>
      </c>
      <c r="Q420" s="9" t="inlineStr">
        <is>
          <t>Low</t>
        </is>
      </c>
      <c r="R420" s="11">
        <f>IFERROR(O420/K420,0)</f>
        <v/>
      </c>
    </row>
    <row r="421">
      <c r="A421" s="9" t="inlineStr">
        <is>
          <t>T0420</t>
        </is>
      </c>
      <c r="B421" s="9" t="inlineStr">
        <is>
          <t>Cobalt Assurance</t>
        </is>
      </c>
      <c r="C421" s="9" t="inlineStr">
        <is>
          <t>Property</t>
        </is>
      </c>
      <c r="D421" s="9" t="inlineStr">
        <is>
          <t>Europe</t>
        </is>
      </c>
      <c r="E421" s="9" t="inlineStr">
        <is>
          <t>Kenji Sato</t>
        </is>
      </c>
      <c r="F421" s="9" t="inlineStr">
        <is>
          <t>Facultative</t>
        </is>
      </c>
      <c r="G421" s="9" t="n">
        <v>2023</v>
      </c>
      <c r="H421" s="12" t="n">
        <v>10899999.9972</v>
      </c>
      <c r="I421" s="12" t="n">
        <v>1406348.6976</v>
      </c>
      <c r="J421" s="12" t="n">
        <v>81413.6832</v>
      </c>
      <c r="K421" s="12" t="n">
        <v>1406348.6976</v>
      </c>
      <c r="L421" s="12" t="n">
        <v>228876.3216</v>
      </c>
      <c r="M421" s="9" t="n">
        <v>8</v>
      </c>
      <c r="N421" s="12" t="n">
        <v>710912.052</v>
      </c>
      <c r="O421" s="12" t="n">
        <v>715014.4212000001</v>
      </c>
      <c r="P421" s="12" t="n">
        <v>10899999.9972</v>
      </c>
      <c r="Q421" s="9" t="inlineStr">
        <is>
          <t>Low</t>
        </is>
      </c>
      <c r="R421" s="11">
        <f>IFERROR(O421/K421,0)</f>
        <v/>
      </c>
    </row>
    <row r="422">
      <c r="A422" s="9" t="inlineStr">
        <is>
          <t>T0421</t>
        </is>
      </c>
      <c r="B422" s="9" t="inlineStr">
        <is>
          <t>Northwind Insurance</t>
        </is>
      </c>
      <c r="C422" s="9" t="inlineStr">
        <is>
          <t>Financial Lines</t>
        </is>
      </c>
      <c r="D422" s="9" t="inlineStr">
        <is>
          <t>North America</t>
        </is>
      </c>
      <c r="E422" s="9" t="inlineStr">
        <is>
          <t>Sophie Laurent</t>
        </is>
      </c>
      <c r="F422" s="9" t="inlineStr">
        <is>
          <t>Excess of Loss</t>
        </is>
      </c>
      <c r="G422" s="9" t="n">
        <v>2023</v>
      </c>
      <c r="H422" s="12" t="n">
        <v>11700000</v>
      </c>
      <c r="I422" s="12" t="n">
        <v>1131231.72</v>
      </c>
      <c r="J422" s="12" t="n">
        <v>65284.8</v>
      </c>
      <c r="K422" s="12" t="n">
        <v>1131231.72</v>
      </c>
      <c r="L422" s="12" t="n">
        <v>93627.48</v>
      </c>
      <c r="M422" s="9" t="n">
        <v>11</v>
      </c>
      <c r="N422" s="12" t="n">
        <v>542149.8</v>
      </c>
      <c r="O422" s="12" t="n">
        <v>558779.24</v>
      </c>
      <c r="P422" s="12" t="n">
        <v>11700000</v>
      </c>
      <c r="Q422" s="9" t="inlineStr">
        <is>
          <t>Low</t>
        </is>
      </c>
      <c r="R422" s="11">
        <f>IFERROR(O422/K422,0)</f>
        <v/>
      </c>
    </row>
    <row r="423">
      <c r="A423" s="9" t="inlineStr">
        <is>
          <t>T0422</t>
        </is>
      </c>
      <c r="B423" s="9" t="inlineStr">
        <is>
          <t>Evergreen Insurance</t>
        </is>
      </c>
      <c r="C423" s="9" t="inlineStr">
        <is>
          <t>Property</t>
        </is>
      </c>
      <c r="D423" s="9" t="inlineStr">
        <is>
          <t>North America</t>
        </is>
      </c>
      <c r="E423" s="9" t="inlineStr">
        <is>
          <t>Sophie Laurent</t>
        </is>
      </c>
      <c r="F423" s="9" t="inlineStr">
        <is>
          <t>Excess of Loss</t>
        </is>
      </c>
      <c r="G423" s="9" t="n">
        <v>2022</v>
      </c>
      <c r="H423" s="12" t="n">
        <v>39700000</v>
      </c>
      <c r="I423" s="12" t="n">
        <v>5018892.779999999</v>
      </c>
      <c r="J423" s="12" t="n">
        <v>358570.96</v>
      </c>
      <c r="K423" s="12" t="n">
        <v>5018892.779999999</v>
      </c>
      <c r="L423" s="12" t="n">
        <v>349912.42</v>
      </c>
      <c r="M423" s="9" t="n">
        <v>8</v>
      </c>
      <c r="N423" s="12" t="n">
        <v>11566260.84</v>
      </c>
      <c r="O423" s="12" t="n">
        <v>13307559.85</v>
      </c>
      <c r="P423" s="12" t="n">
        <v>39700000</v>
      </c>
      <c r="Q423" s="9" t="inlineStr">
        <is>
          <t>Medium</t>
        </is>
      </c>
      <c r="R423" s="11">
        <f>IFERROR(O423/K423,0)</f>
        <v/>
      </c>
    </row>
    <row r="424">
      <c r="A424" s="9" t="inlineStr">
        <is>
          <t>T0423</t>
        </is>
      </c>
      <c r="B424" s="9" t="inlineStr">
        <is>
          <t>Cobalt Indemnity</t>
        </is>
      </c>
      <c r="C424" s="9" t="inlineStr">
        <is>
          <t>Financial Lines</t>
        </is>
      </c>
      <c r="D424" s="9" t="inlineStr">
        <is>
          <t>North America</t>
        </is>
      </c>
      <c r="E424" s="9" t="inlineStr">
        <is>
          <t>James Whitfield</t>
        </is>
      </c>
      <c r="F424" s="9" t="inlineStr">
        <is>
          <t>Excess of Loss</t>
        </is>
      </c>
      <c r="G424" s="9" t="n">
        <v>2025</v>
      </c>
      <c r="H424" s="12" t="n">
        <v>31200000</v>
      </c>
      <c r="I424" s="12" t="n">
        <v>3844172.28</v>
      </c>
      <c r="J424" s="12" t="n">
        <v>291608.64</v>
      </c>
      <c r="K424" s="12" t="n">
        <v>3844172.28</v>
      </c>
      <c r="L424" s="12" t="n">
        <v>272364.36</v>
      </c>
      <c r="M424" s="9" t="n">
        <v>8</v>
      </c>
      <c r="N424" s="12" t="n">
        <v>855790.63</v>
      </c>
      <c r="O424" s="12" t="n">
        <v>2391244.22</v>
      </c>
      <c r="P424" s="12" t="n">
        <v>31200000</v>
      </c>
      <c r="Q424" s="9" t="inlineStr">
        <is>
          <t>Low</t>
        </is>
      </c>
      <c r="R424" s="11">
        <f>IFERROR(O424/K424,0)</f>
        <v/>
      </c>
    </row>
    <row r="425">
      <c r="A425" s="9" t="inlineStr">
        <is>
          <t>T0424</t>
        </is>
      </c>
      <c r="B425" s="9" t="inlineStr">
        <is>
          <t>Granite General</t>
        </is>
      </c>
      <c r="C425" s="9" t="inlineStr">
        <is>
          <t>Financial Lines</t>
        </is>
      </c>
      <c r="D425" s="9" t="inlineStr">
        <is>
          <t>Asia Pacific</t>
        </is>
      </c>
      <c r="E425" s="9" t="inlineStr">
        <is>
          <t>Carlos Ibarra</t>
        </is>
      </c>
      <c r="F425" s="9" t="inlineStr">
        <is>
          <t>Excess of Loss</t>
        </is>
      </c>
      <c r="G425" s="9" t="n">
        <v>2024</v>
      </c>
      <c r="H425" s="12" t="n">
        <v>31800000</v>
      </c>
      <c r="I425" s="12" t="n">
        <v>4181068.92</v>
      </c>
      <c r="J425" s="12" t="n">
        <v>293303.28</v>
      </c>
      <c r="K425" s="12" t="n">
        <v>4181068.92</v>
      </c>
      <c r="L425" s="12" t="n">
        <v>405415.2</v>
      </c>
      <c r="M425" s="9" t="n">
        <v>8</v>
      </c>
      <c r="N425" s="12" t="n">
        <v>2193928.2</v>
      </c>
      <c r="O425" s="12" t="n">
        <v>2193928.2</v>
      </c>
      <c r="P425" s="12" t="n">
        <v>31800000</v>
      </c>
      <c r="Q425" s="9" t="inlineStr">
        <is>
          <t>Low</t>
        </is>
      </c>
      <c r="R425" s="11">
        <f>IFERROR(O425/K425,0)</f>
        <v/>
      </c>
    </row>
    <row r="426">
      <c r="A426" s="9" t="inlineStr">
        <is>
          <t>T0425</t>
        </is>
      </c>
      <c r="B426" s="9" t="inlineStr">
        <is>
          <t>Atlas Indemnity</t>
        </is>
      </c>
      <c r="C426" s="9" t="inlineStr">
        <is>
          <t>Casualty</t>
        </is>
      </c>
      <c r="D426" s="9" t="inlineStr">
        <is>
          <t>North America</t>
        </is>
      </c>
      <c r="E426" s="9" t="inlineStr">
        <is>
          <t>Hannah Weber</t>
        </is>
      </c>
      <c r="F426" s="9" t="inlineStr">
        <is>
          <t>Proportional</t>
        </is>
      </c>
      <c r="G426" s="9" t="n">
        <v>2022</v>
      </c>
      <c r="H426" s="12" t="n">
        <v>10800000</v>
      </c>
      <c r="I426" s="12" t="n">
        <v>1353057.36</v>
      </c>
      <c r="J426" s="12" t="n">
        <v>84197.88</v>
      </c>
      <c r="K426" s="12" t="n">
        <v>1353057.36</v>
      </c>
      <c r="L426" s="12" t="n">
        <v>388376.76</v>
      </c>
      <c r="M426" s="9" t="n">
        <v>4</v>
      </c>
      <c r="N426" s="12" t="n">
        <v>622808.53</v>
      </c>
      <c r="O426" s="12" t="n">
        <v>1318695.89</v>
      </c>
      <c r="P426" s="12" t="n">
        <v>3240000</v>
      </c>
      <c r="Q426" s="9" t="inlineStr">
        <is>
          <t>Low</t>
        </is>
      </c>
      <c r="R426" s="11">
        <f>IFERROR(O426/K426,0)</f>
        <v/>
      </c>
    </row>
    <row r="427">
      <c r="A427" s="9" t="inlineStr">
        <is>
          <t>T0426</t>
        </is>
      </c>
      <c r="B427" s="9" t="inlineStr">
        <is>
          <t>Harbor General</t>
        </is>
      </c>
      <c r="C427" s="9" t="inlineStr">
        <is>
          <t>Property</t>
        </is>
      </c>
      <c r="D427" s="9" t="inlineStr">
        <is>
          <t>North America</t>
        </is>
      </c>
      <c r="E427" s="9" t="inlineStr">
        <is>
          <t>Omar Haddad</t>
        </is>
      </c>
      <c r="F427" s="9" t="inlineStr">
        <is>
          <t>Proportional</t>
        </is>
      </c>
      <c r="G427" s="9" t="n">
        <v>2024</v>
      </c>
      <c r="H427" s="12" t="n">
        <v>5000000</v>
      </c>
      <c r="I427" s="12" t="n">
        <v>789008.04</v>
      </c>
      <c r="J427" s="12" t="n">
        <v>46528.92</v>
      </c>
      <c r="K427" s="12" t="n">
        <v>789008.04</v>
      </c>
      <c r="L427" s="12" t="n">
        <v>175061.16</v>
      </c>
      <c r="M427" s="9" t="n">
        <v>12</v>
      </c>
      <c r="N427" s="12" t="n">
        <v>1256080.48</v>
      </c>
      <c r="O427" s="12" t="n">
        <v>1256080.48</v>
      </c>
      <c r="P427" s="12" t="n">
        <v>1250000</v>
      </c>
      <c r="Q427" s="9" t="inlineStr">
        <is>
          <t>Medium</t>
        </is>
      </c>
      <c r="R427" s="11">
        <f>IFERROR(O427/K427,0)</f>
        <v/>
      </c>
    </row>
    <row r="428">
      <c r="A428" s="9" t="inlineStr">
        <is>
          <t>T0427</t>
        </is>
      </c>
      <c r="B428" s="9" t="inlineStr">
        <is>
          <t>Evergreen Insurance</t>
        </is>
      </c>
      <c r="C428" s="9" t="inlineStr">
        <is>
          <t>Specialty</t>
        </is>
      </c>
      <c r="D428" s="9" t="inlineStr">
        <is>
          <t>North America</t>
        </is>
      </c>
      <c r="E428" s="9" t="inlineStr">
        <is>
          <t>Aarav Mehta</t>
        </is>
      </c>
      <c r="F428" s="9" t="inlineStr">
        <is>
          <t>Proportional</t>
        </is>
      </c>
      <c r="G428" s="9" t="n">
        <v>2025</v>
      </c>
      <c r="H428" s="12" t="n">
        <v>33400000</v>
      </c>
      <c r="I428" s="12" t="n">
        <v>4212397.800000001</v>
      </c>
      <c r="J428" s="12" t="n">
        <v>354966.24</v>
      </c>
      <c r="K428" s="12" t="n">
        <v>4212397.800000001</v>
      </c>
      <c r="L428" s="12" t="n">
        <v>1228739.04</v>
      </c>
      <c r="M428" s="9" t="n">
        <v>8</v>
      </c>
      <c r="N428" s="12" t="n">
        <v>2884029.4</v>
      </c>
      <c r="O428" s="12" t="n">
        <v>5055867.98</v>
      </c>
      <c r="P428" s="12" t="n">
        <v>13360000</v>
      </c>
      <c r="Q428" s="9" t="inlineStr">
        <is>
          <t>Low</t>
        </is>
      </c>
      <c r="R428" s="11">
        <f>IFERROR(O428/K428,0)</f>
        <v/>
      </c>
    </row>
    <row r="429">
      <c r="A429" s="9" t="inlineStr">
        <is>
          <t>T0428</t>
        </is>
      </c>
      <c r="B429" s="9" t="inlineStr">
        <is>
          <t>Northwind Indemnity</t>
        </is>
      </c>
      <c r="C429" s="9" t="inlineStr">
        <is>
          <t>Casualty</t>
        </is>
      </c>
      <c r="D429" s="9" t="inlineStr">
        <is>
          <t>North America</t>
        </is>
      </c>
      <c r="E429" s="9" t="inlineStr">
        <is>
          <t>Carlos Ibarra</t>
        </is>
      </c>
      <c r="F429" s="9" t="inlineStr">
        <is>
          <t>Proportional</t>
        </is>
      </c>
      <c r="G429" s="9" t="n">
        <v>2025</v>
      </c>
      <c r="H429" s="12" t="n">
        <v>24100000</v>
      </c>
      <c r="I429" s="12" t="n">
        <v>2249868.36</v>
      </c>
      <c r="J429" s="12" t="n">
        <v>196224.36</v>
      </c>
      <c r="K429" s="12" t="n">
        <v>2249868.36</v>
      </c>
      <c r="L429" s="12" t="n">
        <v>700892.76</v>
      </c>
      <c r="M429" s="9" t="n">
        <v>6</v>
      </c>
      <c r="N429" s="12" t="n">
        <v>1625061.16</v>
      </c>
      <c r="O429" s="12" t="n">
        <v>1730342.9</v>
      </c>
      <c r="P429" s="12" t="n">
        <v>12050000</v>
      </c>
      <c r="Q429" s="9" t="inlineStr">
        <is>
          <t>Low</t>
        </is>
      </c>
      <c r="R429" s="11">
        <f>IFERROR(O429/K429,0)</f>
        <v/>
      </c>
    </row>
    <row r="430">
      <c r="A430" s="9" t="inlineStr">
        <is>
          <t>T0429</t>
        </is>
      </c>
      <c r="B430" s="9" t="inlineStr">
        <is>
          <t>Atlas Indemnity</t>
        </is>
      </c>
      <c r="C430" s="9" t="inlineStr">
        <is>
          <t>Financial Lines</t>
        </is>
      </c>
      <c r="D430" s="9" t="inlineStr">
        <is>
          <t>North America</t>
        </is>
      </c>
      <c r="E430" s="9" t="inlineStr">
        <is>
          <t>Kenji Sato</t>
        </is>
      </c>
      <c r="F430" s="9" t="inlineStr">
        <is>
          <t>Proportional</t>
        </is>
      </c>
      <c r="G430" s="9" t="n">
        <v>2026</v>
      </c>
      <c r="H430" s="12" t="n">
        <v>10500000</v>
      </c>
      <c r="I430" s="12" t="n">
        <v>420000.9</v>
      </c>
      <c r="J430" s="12" t="n">
        <v>40160.2</v>
      </c>
      <c r="K430" s="12" t="n">
        <v>392000.84</v>
      </c>
      <c r="L430" s="12" t="n">
        <v>103062.96</v>
      </c>
      <c r="M430" s="9" t="n">
        <v>4</v>
      </c>
      <c r="N430" s="12" t="n">
        <v>66396.67999999999</v>
      </c>
      <c r="O430" s="12" t="n">
        <v>196620.04</v>
      </c>
      <c r="P430" s="12" t="n">
        <v>2625000</v>
      </c>
      <c r="Q430" s="9" t="inlineStr">
        <is>
          <t>Low</t>
        </is>
      </c>
      <c r="R430" s="11">
        <f>IFERROR(O430/K430,0)</f>
        <v/>
      </c>
    </row>
    <row r="431">
      <c r="A431" s="9" t="inlineStr">
        <is>
          <t>T0430</t>
        </is>
      </c>
      <c r="B431" s="9" t="inlineStr">
        <is>
          <t>Northwind Insurance</t>
        </is>
      </c>
      <c r="C431" s="9" t="inlineStr">
        <is>
          <t>Property</t>
        </is>
      </c>
      <c r="D431" s="9" t="inlineStr">
        <is>
          <t>North America</t>
        </is>
      </c>
      <c r="E431" s="9" t="inlineStr">
        <is>
          <t>Omar Haddad</t>
        </is>
      </c>
      <c r="F431" s="9" t="inlineStr">
        <is>
          <t>Excess of Loss</t>
        </is>
      </c>
      <c r="G431" s="9" t="n">
        <v>2023</v>
      </c>
      <c r="H431" s="12" t="n">
        <v>15500000</v>
      </c>
      <c r="I431" s="12" t="n">
        <v>2753749.44</v>
      </c>
      <c r="J431" s="12" t="n">
        <v>254828.4</v>
      </c>
      <c r="K431" s="12" t="n">
        <v>2753749.44</v>
      </c>
      <c r="L431" s="12" t="n">
        <v>261372.72</v>
      </c>
      <c r="M431" s="9" t="n">
        <v>7</v>
      </c>
      <c r="N431" s="12" t="n">
        <v>748719.1</v>
      </c>
      <c r="O431" s="12" t="n">
        <v>803566.0600000001</v>
      </c>
      <c r="P431" s="12" t="n">
        <v>15500000</v>
      </c>
      <c r="Q431" s="9" t="inlineStr">
        <is>
          <t>Low</t>
        </is>
      </c>
      <c r="R431" s="11">
        <f>IFERROR(O431/K431,0)</f>
        <v/>
      </c>
    </row>
    <row r="432">
      <c r="A432" s="9" t="inlineStr">
        <is>
          <t>T0431</t>
        </is>
      </c>
      <c r="B432" s="9" t="inlineStr">
        <is>
          <t>Cobalt General</t>
        </is>
      </c>
      <c r="C432" s="9" t="inlineStr">
        <is>
          <t>Professional</t>
        </is>
      </c>
      <c r="D432" s="9" t="inlineStr">
        <is>
          <t>North America</t>
        </is>
      </c>
      <c r="E432" s="9" t="inlineStr">
        <is>
          <t>Carlos Ibarra</t>
        </is>
      </c>
      <c r="F432" s="9" t="inlineStr">
        <is>
          <t>Excess of Loss</t>
        </is>
      </c>
      <c r="G432" s="9" t="n">
        <v>2021</v>
      </c>
      <c r="H432" s="12" t="n">
        <v>15300000</v>
      </c>
      <c r="I432" s="12" t="n">
        <v>2311597.8</v>
      </c>
      <c r="J432" s="12" t="n">
        <v>230693.76</v>
      </c>
      <c r="K432" s="12" t="n">
        <v>2311597.8</v>
      </c>
      <c r="L432" s="12" t="n">
        <v>133899.84</v>
      </c>
      <c r="M432" s="9" t="n">
        <v>7</v>
      </c>
      <c r="N432" s="12" t="n">
        <v>2236061.78</v>
      </c>
      <c r="O432" s="12" t="n">
        <v>2252765.96</v>
      </c>
      <c r="P432" s="12" t="n">
        <v>15300000</v>
      </c>
      <c r="Q432" s="9" t="inlineStr">
        <is>
          <t>Low</t>
        </is>
      </c>
      <c r="R432" s="11">
        <f>IFERROR(O432/K432,0)</f>
        <v/>
      </c>
    </row>
    <row r="433">
      <c r="A433" s="9" t="inlineStr">
        <is>
          <t>T0432</t>
        </is>
      </c>
      <c r="B433" s="9" t="inlineStr">
        <is>
          <t>Northwind Mutual</t>
        </is>
      </c>
      <c r="C433" s="9" t="inlineStr">
        <is>
          <t>Specialty</t>
        </is>
      </c>
      <c r="D433" s="9" t="inlineStr">
        <is>
          <t>Asia Pacific</t>
        </is>
      </c>
      <c r="E433" s="9" t="inlineStr">
        <is>
          <t>Omar Haddad</t>
        </is>
      </c>
      <c r="F433" s="9" t="inlineStr">
        <is>
          <t>Excess of Loss</t>
        </is>
      </c>
      <c r="G433" s="9" t="n">
        <v>2023</v>
      </c>
      <c r="H433" s="12" t="n">
        <v>16800000</v>
      </c>
      <c r="I433" s="12" t="n">
        <v>2010391.82784</v>
      </c>
      <c r="J433" s="12" t="n">
        <v>126234.38736</v>
      </c>
      <c r="K433" s="12" t="n">
        <v>2010391.82784</v>
      </c>
      <c r="L433" s="12" t="n">
        <v>182198.75328</v>
      </c>
      <c r="M433" s="9" t="n">
        <v>9</v>
      </c>
      <c r="N433" s="12" t="n">
        <v>571762.19712</v>
      </c>
      <c r="O433" s="12" t="n">
        <v>867828.34392</v>
      </c>
      <c r="P433" s="12" t="n">
        <v>16800000</v>
      </c>
      <c r="Q433" s="9" t="inlineStr">
        <is>
          <t>Low</t>
        </is>
      </c>
      <c r="R433" s="11">
        <f>IFERROR(O433/K433,0)</f>
        <v/>
      </c>
    </row>
    <row r="434">
      <c r="A434" s="9" t="inlineStr">
        <is>
          <t>T0433</t>
        </is>
      </c>
      <c r="B434" s="9" t="inlineStr">
        <is>
          <t>Harbor Mutual</t>
        </is>
      </c>
      <c r="C434" s="9" t="inlineStr">
        <is>
          <t>Casualty</t>
        </is>
      </c>
      <c r="D434" s="9" t="inlineStr">
        <is>
          <t>North America</t>
        </is>
      </c>
      <c r="E434" s="9" t="inlineStr">
        <is>
          <t>Sophie Laurent</t>
        </is>
      </c>
      <c r="F434" s="9" t="inlineStr">
        <is>
          <t>Proportional</t>
        </is>
      </c>
      <c r="G434" s="9" t="n">
        <v>2024</v>
      </c>
      <c r="H434" s="12" t="n">
        <v>8000000</v>
      </c>
      <c r="I434" s="12" t="n">
        <v>604763.3999999999</v>
      </c>
      <c r="J434" s="12" t="n">
        <v>30889.92</v>
      </c>
      <c r="K434" s="12" t="n">
        <v>604763.3999999999</v>
      </c>
      <c r="L434" s="12" t="n">
        <v>181396.68</v>
      </c>
      <c r="M434" s="9" t="n">
        <v>1</v>
      </c>
      <c r="N434" s="12" t="n">
        <v>201332.55</v>
      </c>
      <c r="O434" s="12" t="n">
        <v>428237.67</v>
      </c>
      <c r="P434" s="12" t="n">
        <v>4000000</v>
      </c>
      <c r="Q434" s="9" t="inlineStr">
        <is>
          <t>Low</t>
        </is>
      </c>
      <c r="R434" s="11">
        <f>IFERROR(O434/K434,0)</f>
        <v/>
      </c>
    </row>
    <row r="435">
      <c r="A435" s="9" t="inlineStr">
        <is>
          <t>T0434</t>
        </is>
      </c>
      <c r="B435" s="9" t="inlineStr">
        <is>
          <t>Meridian Indemnity</t>
        </is>
      </c>
      <c r="C435" s="9" t="inlineStr">
        <is>
          <t>Property</t>
        </is>
      </c>
      <c r="D435" s="9" t="inlineStr">
        <is>
          <t>Europe</t>
        </is>
      </c>
      <c r="E435" s="9" t="inlineStr">
        <is>
          <t>Hannah Weber</t>
        </is>
      </c>
      <c r="F435" s="9" t="inlineStr">
        <is>
          <t>Excess of Loss</t>
        </is>
      </c>
      <c r="G435" s="9" t="n">
        <v>2022</v>
      </c>
      <c r="H435" s="12" t="n">
        <v>14699999.9988</v>
      </c>
      <c r="I435" s="12" t="n">
        <v>1349236.9584</v>
      </c>
      <c r="J435" s="12" t="n">
        <v>119326.3488</v>
      </c>
      <c r="K435" s="12" t="n">
        <v>1349236.9584</v>
      </c>
      <c r="L435" s="12" t="n">
        <v>149521.7232</v>
      </c>
      <c r="M435" s="9" t="n">
        <v>9</v>
      </c>
      <c r="N435" s="12" t="n">
        <v>668198.1168000001</v>
      </c>
      <c r="O435" s="12" t="n">
        <v>668198.1168000001</v>
      </c>
      <c r="P435" s="12" t="n">
        <v>14699999.9988</v>
      </c>
      <c r="Q435" s="9" t="inlineStr">
        <is>
          <t>Low</t>
        </is>
      </c>
      <c r="R435" s="11">
        <f>IFERROR(O435/K435,0)</f>
        <v/>
      </c>
    </row>
    <row r="436">
      <c r="A436" s="9" t="inlineStr">
        <is>
          <t>T0435</t>
        </is>
      </c>
      <c r="B436" s="9" t="inlineStr">
        <is>
          <t>Crown Insurance</t>
        </is>
      </c>
      <c r="C436" s="9" t="inlineStr">
        <is>
          <t>Financial Lines</t>
        </is>
      </c>
      <c r="D436" s="9" t="inlineStr">
        <is>
          <t>Asia Pacific</t>
        </is>
      </c>
      <c r="E436" s="9" t="inlineStr">
        <is>
          <t>Kenji Sato</t>
        </is>
      </c>
      <c r="F436" s="9" t="inlineStr">
        <is>
          <t>Proportional</t>
        </is>
      </c>
      <c r="G436" s="9" t="n">
        <v>2022</v>
      </c>
      <c r="H436" s="12" t="n">
        <v>17000000</v>
      </c>
      <c r="I436" s="12" t="n">
        <v>1324566</v>
      </c>
      <c r="J436" s="12" t="n">
        <v>72703.68000000001</v>
      </c>
      <c r="K436" s="12" t="n">
        <v>1324566</v>
      </c>
      <c r="L436" s="12" t="n">
        <v>340812.84</v>
      </c>
      <c r="M436" s="9" t="n">
        <v>8</v>
      </c>
      <c r="N436" s="12" t="n">
        <v>233052.65</v>
      </c>
      <c r="O436" s="12" t="n">
        <v>660083.91</v>
      </c>
      <c r="P436" s="12" t="n">
        <v>5100000</v>
      </c>
      <c r="Q436" s="9" t="inlineStr">
        <is>
          <t>Low</t>
        </is>
      </c>
      <c r="R436" s="11">
        <f>IFERROR(O436/K436,0)</f>
        <v/>
      </c>
    </row>
    <row r="437">
      <c r="A437" s="9" t="inlineStr">
        <is>
          <t>T0436</t>
        </is>
      </c>
      <c r="B437" s="9" t="inlineStr">
        <is>
          <t>Cobalt Indemnity</t>
        </is>
      </c>
      <c r="C437" s="9" t="inlineStr">
        <is>
          <t>Professional</t>
        </is>
      </c>
      <c r="D437" s="9" t="inlineStr">
        <is>
          <t>North America</t>
        </is>
      </c>
      <c r="E437" s="9" t="inlineStr">
        <is>
          <t>Carlos Ibarra</t>
        </is>
      </c>
      <c r="F437" s="9" t="inlineStr">
        <is>
          <t>Proportional</t>
        </is>
      </c>
      <c r="G437" s="9" t="n">
        <v>2025</v>
      </c>
      <c r="H437" s="12" t="n">
        <v>21900000</v>
      </c>
      <c r="I437" s="12" t="n">
        <v>1726003.44</v>
      </c>
      <c r="J437" s="12" t="n">
        <v>189491.4</v>
      </c>
      <c r="K437" s="12" t="n">
        <v>1726003.44</v>
      </c>
      <c r="L437" s="12" t="n">
        <v>509080.8</v>
      </c>
      <c r="M437" s="9" t="n">
        <v>15</v>
      </c>
      <c r="N437" s="12" t="n">
        <v>931387.86</v>
      </c>
      <c r="O437" s="12" t="n">
        <v>1187451.47</v>
      </c>
      <c r="P437" s="12" t="n">
        <v>3285000</v>
      </c>
      <c r="Q437" s="9" t="inlineStr">
        <is>
          <t>Low</t>
        </is>
      </c>
      <c r="R437" s="11">
        <f>IFERROR(O437/K437,0)</f>
        <v/>
      </c>
    </row>
    <row r="438">
      <c r="A438" s="9" t="inlineStr">
        <is>
          <t>T0437</t>
        </is>
      </c>
      <c r="B438" s="9" t="inlineStr">
        <is>
          <t>Lumen Indemnity</t>
        </is>
      </c>
      <c r="C438" s="9" t="inlineStr">
        <is>
          <t>Professional</t>
        </is>
      </c>
      <c r="D438" s="9" t="inlineStr">
        <is>
          <t>Asia Pacific</t>
        </is>
      </c>
      <c r="E438" s="9" t="inlineStr">
        <is>
          <t>Aarav Mehta</t>
        </is>
      </c>
      <c r="F438" s="9" t="inlineStr">
        <is>
          <t>Excess of Loss</t>
        </is>
      </c>
      <c r="G438" s="9" t="n">
        <v>2021</v>
      </c>
      <c r="H438" s="12" t="n">
        <v>11000000</v>
      </c>
      <c r="I438" s="12" t="n">
        <v>1259593.92</v>
      </c>
      <c r="J438" s="12" t="n">
        <v>131071.68</v>
      </c>
      <c r="K438" s="12" t="n">
        <v>1259593.92</v>
      </c>
      <c r="L438" s="12" t="n">
        <v>68060.40000000001</v>
      </c>
      <c r="M438" s="9" t="n">
        <v>8</v>
      </c>
      <c r="N438" s="12" t="n">
        <v>353127.6</v>
      </c>
      <c r="O438" s="12" t="n">
        <v>406114.82</v>
      </c>
      <c r="P438" s="12" t="n">
        <v>11000000</v>
      </c>
      <c r="Q438" s="9" t="inlineStr">
        <is>
          <t>Low</t>
        </is>
      </c>
      <c r="R438" s="11">
        <f>IFERROR(O438/K438,0)</f>
        <v/>
      </c>
    </row>
    <row r="439">
      <c r="A439" s="9" t="inlineStr">
        <is>
          <t>T0438</t>
        </is>
      </c>
      <c r="B439" s="9" t="inlineStr">
        <is>
          <t>Northwind Assurance</t>
        </is>
      </c>
      <c r="C439" s="9" t="inlineStr">
        <is>
          <t>Financial Lines</t>
        </is>
      </c>
      <c r="D439" s="9" t="inlineStr">
        <is>
          <t>North America</t>
        </is>
      </c>
      <c r="E439" s="9" t="inlineStr">
        <is>
          <t>Aarav Mehta</t>
        </is>
      </c>
      <c r="F439" s="9" t="inlineStr">
        <is>
          <t>Excess of Loss</t>
        </is>
      </c>
      <c r="G439" s="9" t="n">
        <v>2024</v>
      </c>
      <c r="H439" s="12" t="n">
        <v>27200000</v>
      </c>
      <c r="I439" s="12" t="n">
        <v>1946131.8</v>
      </c>
      <c r="J439" s="12" t="n">
        <v>106646.52</v>
      </c>
      <c r="K439" s="12" t="n">
        <v>1946131.8</v>
      </c>
      <c r="L439" s="12" t="n">
        <v>201302.16</v>
      </c>
      <c r="M439" s="9" t="n">
        <v>6</v>
      </c>
      <c r="N439" s="12" t="n">
        <v>1012452.12</v>
      </c>
      <c r="O439" s="12" t="n">
        <v>1061931.21</v>
      </c>
      <c r="P439" s="12" t="n">
        <v>27200000</v>
      </c>
      <c r="Q439" s="9" t="inlineStr">
        <is>
          <t>Low</t>
        </is>
      </c>
      <c r="R439" s="11">
        <f>IFERROR(O439/K439,0)</f>
        <v/>
      </c>
    </row>
    <row r="440">
      <c r="A440" s="9" t="inlineStr">
        <is>
          <t>T0439</t>
        </is>
      </c>
      <c r="B440" s="9" t="inlineStr">
        <is>
          <t>Harbor Mutual</t>
        </is>
      </c>
      <c r="C440" s="9" t="inlineStr">
        <is>
          <t>Professional</t>
        </is>
      </c>
      <c r="D440" s="9" t="inlineStr">
        <is>
          <t>North America</t>
        </is>
      </c>
      <c r="E440" s="9" t="inlineStr">
        <is>
          <t>Hannah Weber</t>
        </is>
      </c>
      <c r="F440" s="9" t="inlineStr">
        <is>
          <t>Facultative</t>
        </is>
      </c>
      <c r="G440" s="9" t="n">
        <v>2025</v>
      </c>
      <c r="H440" s="12" t="n">
        <v>23800000</v>
      </c>
      <c r="I440" s="12" t="n">
        <v>3098604.96</v>
      </c>
      <c r="J440" s="12" t="n">
        <v>188745.6</v>
      </c>
      <c r="K440" s="12" t="n">
        <v>3029747.07</v>
      </c>
      <c r="L440" s="12" t="n">
        <v>588740.5329446932</v>
      </c>
      <c r="M440" s="9" t="n">
        <v>9</v>
      </c>
      <c r="N440" s="12" t="n">
        <v>237199.96</v>
      </c>
      <c r="O440" s="12" t="n">
        <v>989355.58</v>
      </c>
      <c r="P440" s="12" t="n">
        <v>23800000</v>
      </c>
      <c r="Q440" s="9" t="inlineStr">
        <is>
          <t>Low</t>
        </is>
      </c>
      <c r="R440" s="11">
        <f>IFERROR(O440/K440,0)</f>
        <v/>
      </c>
    </row>
    <row r="441">
      <c r="A441" s="9" t="inlineStr">
        <is>
          <t>T0440</t>
        </is>
      </c>
      <c r="B441" s="9" t="inlineStr">
        <is>
          <t>Evergreen Assurance</t>
        </is>
      </c>
      <c r="C441" s="9" t="inlineStr">
        <is>
          <t>Specialty</t>
        </is>
      </c>
      <c r="D441" s="9" t="inlineStr">
        <is>
          <t>North America</t>
        </is>
      </c>
      <c r="E441" s="9" t="inlineStr">
        <is>
          <t>Omar Haddad</t>
        </is>
      </c>
      <c r="F441" s="9" t="inlineStr">
        <is>
          <t>Excess of Loss</t>
        </is>
      </c>
      <c r="G441" s="9" t="n">
        <v>2024</v>
      </c>
      <c r="H441" s="12" t="n">
        <v>14000000</v>
      </c>
      <c r="I441" s="12" t="n">
        <v>1299145.92</v>
      </c>
      <c r="J441" s="12" t="n">
        <v>81612.12</v>
      </c>
      <c r="K441" s="12" t="n">
        <v>1299145.92</v>
      </c>
      <c r="L441" s="12" t="n">
        <v>126802.2</v>
      </c>
      <c r="M441" s="9" t="n">
        <v>14</v>
      </c>
      <c r="N441" s="12" t="n">
        <v>505832.64</v>
      </c>
      <c r="O441" s="12" t="n">
        <v>534802.52</v>
      </c>
      <c r="P441" s="12" t="n">
        <v>14000000</v>
      </c>
      <c r="Q441" s="9" t="inlineStr">
        <is>
          <t>Low</t>
        </is>
      </c>
      <c r="R441" s="11">
        <f>IFERROR(O441/K441,0)</f>
        <v/>
      </c>
    </row>
    <row r="442">
      <c r="A442" s="9" t="inlineStr">
        <is>
          <t>T0441</t>
        </is>
      </c>
      <c r="B442" s="9" t="inlineStr">
        <is>
          <t>Evergreen Assurance</t>
        </is>
      </c>
      <c r="C442" s="9" t="inlineStr">
        <is>
          <t>Financial Lines</t>
        </is>
      </c>
      <c r="D442" s="9" t="inlineStr">
        <is>
          <t>North America</t>
        </is>
      </c>
      <c r="E442" s="9" t="inlineStr">
        <is>
          <t>Aarav Mehta</t>
        </is>
      </c>
      <c r="F442" s="9" t="inlineStr">
        <is>
          <t>Excess of Loss</t>
        </is>
      </c>
      <c r="G442" s="9" t="n">
        <v>2026</v>
      </c>
      <c r="H442" s="12" t="n">
        <v>15100000</v>
      </c>
      <c r="I442" s="12" t="n">
        <v>852039.52</v>
      </c>
      <c r="J442" s="12" t="n">
        <v>56897.52</v>
      </c>
      <c r="K442" s="12" t="n">
        <v>759735.24</v>
      </c>
      <c r="L442" s="12" t="n">
        <v>45584.78208000118</v>
      </c>
      <c r="M442" s="9" t="n">
        <v>2</v>
      </c>
      <c r="N442" s="12" t="n">
        <v>25000.78</v>
      </c>
      <c r="O442" s="12" t="n">
        <v>261040.49</v>
      </c>
      <c r="P442" s="12" t="n">
        <v>15100000</v>
      </c>
      <c r="Q442" s="9" t="inlineStr">
        <is>
          <t>Low</t>
        </is>
      </c>
      <c r="R442" s="11">
        <f>IFERROR(O442/K442,0)</f>
        <v/>
      </c>
    </row>
    <row r="443">
      <c r="A443" s="9" t="inlineStr">
        <is>
          <t>T0442</t>
        </is>
      </c>
      <c r="B443" s="9" t="inlineStr">
        <is>
          <t>Lumen Indemnity</t>
        </is>
      </c>
      <c r="C443" s="9" t="inlineStr">
        <is>
          <t>Property</t>
        </is>
      </c>
      <c r="D443" s="9" t="inlineStr">
        <is>
          <t>Unassigned</t>
        </is>
      </c>
      <c r="E443" s="9" t="inlineStr">
        <is>
          <t>Hannah Weber</t>
        </is>
      </c>
      <c r="F443" s="9" t="inlineStr">
        <is>
          <t>Excess of Loss</t>
        </is>
      </c>
      <c r="G443" s="9" t="n">
        <v>2026</v>
      </c>
      <c r="H443" s="12" t="n">
        <v>28000000</v>
      </c>
      <c r="I443" s="12" t="n">
        <v>1870756.02</v>
      </c>
      <c r="J443" s="12" t="n">
        <v>198472.68</v>
      </c>
      <c r="K443" s="12" t="n">
        <v>1648046.97</v>
      </c>
      <c r="L443" s="12" t="n">
        <v>122959.3866666667</v>
      </c>
      <c r="M443" s="9" t="n">
        <v>5</v>
      </c>
      <c r="N443" s="12" t="n">
        <v>358328.12</v>
      </c>
      <c r="O443" s="12" t="n">
        <v>1095914.89</v>
      </c>
      <c r="P443" s="12" t="n">
        <v>28000000</v>
      </c>
      <c r="Q443" s="9" t="inlineStr">
        <is>
          <t>Low</t>
        </is>
      </c>
      <c r="R443" s="11">
        <f>IFERROR(O443/K443,0)</f>
        <v/>
      </c>
    </row>
    <row r="444">
      <c r="A444" s="9" t="inlineStr">
        <is>
          <t>T0443</t>
        </is>
      </c>
      <c r="B444" s="9" t="inlineStr">
        <is>
          <t>Orion Insurance</t>
        </is>
      </c>
      <c r="C444" s="9" t="inlineStr">
        <is>
          <t>Property</t>
        </is>
      </c>
      <c r="D444" s="9" t="inlineStr">
        <is>
          <t>Asia Pacific</t>
        </is>
      </c>
      <c r="E444" s="9" t="inlineStr">
        <is>
          <t>Sophie Laurent</t>
        </is>
      </c>
      <c r="F444" s="9" t="inlineStr">
        <is>
          <t>Excess of Loss</t>
        </is>
      </c>
      <c r="G444" s="9" t="n">
        <v>2024</v>
      </c>
      <c r="H444" s="12" t="n">
        <v>19000000</v>
      </c>
      <c r="I444" s="12" t="n">
        <v>2098213.68</v>
      </c>
      <c r="J444" s="12" t="n">
        <v>173207.52</v>
      </c>
      <c r="K444" s="12" t="n">
        <v>2098213.68</v>
      </c>
      <c r="L444" s="12" t="n">
        <v>251128.56</v>
      </c>
      <c r="M444" s="9" t="n">
        <v>12</v>
      </c>
      <c r="N444" s="12" t="n">
        <v>1735972.98</v>
      </c>
      <c r="O444" s="12" t="n">
        <v>1735972.98</v>
      </c>
      <c r="P444" s="12" t="n">
        <v>19000000</v>
      </c>
      <c r="Q444" s="9" t="inlineStr">
        <is>
          <t>Low</t>
        </is>
      </c>
      <c r="R444" s="11">
        <f>IFERROR(O444/K444,0)</f>
        <v/>
      </c>
    </row>
    <row r="445">
      <c r="A445" s="9" t="inlineStr">
        <is>
          <t>T0444</t>
        </is>
      </c>
      <c r="B445" s="9" t="inlineStr">
        <is>
          <t>Orion Insurance</t>
        </is>
      </c>
      <c r="C445" s="9" t="inlineStr">
        <is>
          <t>Property</t>
        </is>
      </c>
      <c r="D445" s="9" t="inlineStr">
        <is>
          <t>Asia Pacific</t>
        </is>
      </c>
      <c r="E445" s="9" t="inlineStr">
        <is>
          <t>Omar Haddad</t>
        </is>
      </c>
      <c r="F445" s="9" t="inlineStr">
        <is>
          <t>Excess of Loss</t>
        </is>
      </c>
      <c r="G445" s="9" t="n">
        <v>2025</v>
      </c>
      <c r="H445" s="12" t="n">
        <v>17900000</v>
      </c>
      <c r="I445" s="12" t="n">
        <v>1955949.36</v>
      </c>
      <c r="J445" s="12" t="n">
        <v>203486.28</v>
      </c>
      <c r="K445" s="12" t="n">
        <v>1830985.93</v>
      </c>
      <c r="L445" s="12" t="n">
        <v>108525.4580790288</v>
      </c>
      <c r="M445" s="9" t="n">
        <v>8</v>
      </c>
      <c r="N445" s="12" t="n">
        <v>415676.28</v>
      </c>
      <c r="O445" s="12" t="n">
        <v>1009655.16</v>
      </c>
      <c r="P445" s="12" t="n">
        <v>17900000</v>
      </c>
      <c r="Q445" s="9" t="inlineStr">
        <is>
          <t>Low</t>
        </is>
      </c>
      <c r="R445" s="11">
        <f>IFERROR(O445/K445,0)</f>
        <v/>
      </c>
    </row>
    <row r="446">
      <c r="A446" s="9" t="inlineStr">
        <is>
          <t>T0445</t>
        </is>
      </c>
      <c r="B446" s="9" t="inlineStr">
        <is>
          <t>Northwind Insurance</t>
        </is>
      </c>
      <c r="C446" s="9" t="inlineStr">
        <is>
          <t>Casualty</t>
        </is>
      </c>
      <c r="D446" s="9" t="inlineStr">
        <is>
          <t>Unassigned</t>
        </is>
      </c>
      <c r="E446" s="9" t="inlineStr">
        <is>
          <t>Hannah Weber</t>
        </is>
      </c>
      <c r="F446" s="9" t="inlineStr">
        <is>
          <t>Excess of Loss</t>
        </is>
      </c>
      <c r="G446" s="9" t="n">
        <v>2026</v>
      </c>
      <c r="H446" s="12" t="n">
        <v>11700000</v>
      </c>
      <c r="I446" s="12" t="n">
        <v>465944.55</v>
      </c>
      <c r="J446" s="12" t="n">
        <v>46300.2</v>
      </c>
      <c r="K446" s="12" t="n">
        <v>444200.47</v>
      </c>
      <c r="L446" s="12" t="n">
        <v>38029.46758105337</v>
      </c>
      <c r="M446" s="9" t="n">
        <v>2</v>
      </c>
      <c r="N446" s="12" t="n">
        <v>148473.74</v>
      </c>
      <c r="O446" s="12" t="n">
        <v>495813.46</v>
      </c>
      <c r="P446" s="12" t="n">
        <v>11700000</v>
      </c>
      <c r="Q446" s="9" t="inlineStr">
        <is>
          <t>Low</t>
        </is>
      </c>
      <c r="R446" s="11">
        <f>IFERROR(O446/K446,0)</f>
        <v/>
      </c>
    </row>
    <row r="447">
      <c r="A447" s="9" t="inlineStr">
        <is>
          <t>T0446</t>
        </is>
      </c>
      <c r="B447" s="9" t="inlineStr">
        <is>
          <t>Atlas Insurance</t>
        </is>
      </c>
      <c r="C447" s="9" t="inlineStr">
        <is>
          <t>Property</t>
        </is>
      </c>
      <c r="D447" s="9" t="inlineStr">
        <is>
          <t>Asia Pacific</t>
        </is>
      </c>
      <c r="E447" s="9" t="inlineStr">
        <is>
          <t>Carlos Ibarra</t>
        </is>
      </c>
      <c r="F447" s="9" t="inlineStr">
        <is>
          <t>Excess of Loss</t>
        </is>
      </c>
      <c r="G447" s="9" t="n">
        <v>2025</v>
      </c>
      <c r="H447" s="12" t="n">
        <v>12100000</v>
      </c>
      <c r="I447" s="12" t="n">
        <v>1059239.16</v>
      </c>
      <c r="J447" s="12" t="n">
        <v>78967.68000000001</v>
      </c>
      <c r="K447" s="12" t="n">
        <v>988623.22</v>
      </c>
      <c r="L447" s="12" t="n">
        <v>70209.44028406957</v>
      </c>
      <c r="M447" s="9" t="n">
        <v>9</v>
      </c>
      <c r="N447" s="12" t="n">
        <v>170646.13</v>
      </c>
      <c r="O447" s="12" t="n">
        <v>382396.5</v>
      </c>
      <c r="P447" s="12" t="n">
        <v>12100000</v>
      </c>
      <c r="Q447" s="9" t="inlineStr">
        <is>
          <t>Low</t>
        </is>
      </c>
      <c r="R447" s="11">
        <f>IFERROR(O447/K447,0)</f>
        <v/>
      </c>
    </row>
    <row r="448">
      <c r="A448" s="9" t="inlineStr">
        <is>
          <t>T0447</t>
        </is>
      </c>
      <c r="B448" s="9" t="inlineStr">
        <is>
          <t>Pioneer Insurance</t>
        </is>
      </c>
      <c r="C448" s="9" t="inlineStr">
        <is>
          <t>Specialty</t>
        </is>
      </c>
      <c r="D448" s="9" t="inlineStr">
        <is>
          <t>Europe</t>
        </is>
      </c>
      <c r="E448" s="9" t="inlineStr">
        <is>
          <t>Priya Nair</t>
        </is>
      </c>
      <c r="F448" s="9" t="inlineStr">
        <is>
          <t>Proportional</t>
        </is>
      </c>
      <c r="G448" s="9" t="n">
        <v>2025</v>
      </c>
      <c r="H448" s="12" t="n">
        <v>33100000.002</v>
      </c>
      <c r="I448" s="12" t="n">
        <v>5151077.712</v>
      </c>
      <c r="J448" s="12" t="n">
        <v>365140.224</v>
      </c>
      <c r="K448" s="12" t="n">
        <v>5151077.712</v>
      </c>
      <c r="L448" s="12" t="n">
        <v>1486974.024</v>
      </c>
      <c r="M448" s="9" t="n">
        <v>11</v>
      </c>
      <c r="N448" s="12" t="n">
        <v>1086235.6284</v>
      </c>
      <c r="O448" s="12" t="n">
        <v>2579781.6144</v>
      </c>
      <c r="P448" s="12" t="n">
        <v>13240000.0008</v>
      </c>
      <c r="Q448" s="9" t="inlineStr">
        <is>
          <t>Low</t>
        </is>
      </c>
      <c r="R448" s="11">
        <f>IFERROR(O448/K448,0)</f>
        <v/>
      </c>
    </row>
    <row r="449">
      <c r="A449" s="9" t="inlineStr">
        <is>
          <t>T0448</t>
        </is>
      </c>
      <c r="B449" s="9" t="inlineStr">
        <is>
          <t>Summit Insurance</t>
        </is>
      </c>
      <c r="C449" s="9" t="inlineStr">
        <is>
          <t>Specialty</t>
        </is>
      </c>
      <c r="D449" s="9" t="inlineStr">
        <is>
          <t>Europe</t>
        </is>
      </c>
      <c r="E449" s="9" t="inlineStr">
        <is>
          <t>Carlos Ibarra</t>
        </is>
      </c>
      <c r="F449" s="9" t="inlineStr">
        <is>
          <t>Excess of Loss</t>
        </is>
      </c>
      <c r="G449" s="9" t="n">
        <v>2024</v>
      </c>
      <c r="H449" s="12" t="n">
        <v>8000000.002800001</v>
      </c>
      <c r="I449" s="12" t="n">
        <v>832300.4016</v>
      </c>
      <c r="J449" s="12" t="n">
        <v>74672.66880000001</v>
      </c>
      <c r="K449" s="12" t="n">
        <v>832300.4016</v>
      </c>
      <c r="L449" s="12" t="n">
        <v>63579.0384</v>
      </c>
      <c r="M449" s="9" t="n">
        <v>10</v>
      </c>
      <c r="N449" s="12" t="n">
        <v>273503.3364</v>
      </c>
      <c r="O449" s="12" t="n">
        <v>351128.9952</v>
      </c>
      <c r="P449" s="12" t="n">
        <v>8000000.002800001</v>
      </c>
      <c r="Q449" s="9" t="inlineStr">
        <is>
          <t>Low</t>
        </is>
      </c>
      <c r="R449" s="11">
        <f>IFERROR(O449/K449,0)</f>
        <v/>
      </c>
    </row>
    <row r="450">
      <c r="A450" s="9" t="inlineStr">
        <is>
          <t>T0449</t>
        </is>
      </c>
      <c r="B450" s="9" t="inlineStr">
        <is>
          <t>Northwind General</t>
        </is>
      </c>
      <c r="C450" s="9" t="inlineStr">
        <is>
          <t>Financial Lines</t>
        </is>
      </c>
      <c r="D450" s="9" t="inlineStr">
        <is>
          <t>Asia Pacific</t>
        </is>
      </c>
      <c r="E450" s="9" t="inlineStr">
        <is>
          <t>Kenji Sato</t>
        </is>
      </c>
      <c r="F450" s="9" t="inlineStr">
        <is>
          <t>Proportional</t>
        </is>
      </c>
      <c r="G450" s="9" t="n">
        <v>2026</v>
      </c>
      <c r="H450" s="12" t="n">
        <v>40800000</v>
      </c>
      <c r="I450" s="12" t="n">
        <v>1706731.73916</v>
      </c>
      <c r="J450" s="12" t="n">
        <v>183396.10212</v>
      </c>
      <c r="K450" s="12" t="n">
        <v>1649840.68116</v>
      </c>
      <c r="L450" s="12" t="n">
        <v>505445.202323422</v>
      </c>
      <c r="M450" s="9" t="n">
        <v>5</v>
      </c>
      <c r="N450" s="12" t="n">
        <v>306266.67228</v>
      </c>
      <c r="O450" s="12" t="n">
        <v>823522.08528</v>
      </c>
      <c r="P450" s="12" t="n">
        <v>20400000</v>
      </c>
      <c r="Q450" s="9" t="inlineStr">
        <is>
          <t>Low</t>
        </is>
      </c>
      <c r="R450" s="11">
        <f>IFERROR(O450/K450,0)</f>
        <v/>
      </c>
    </row>
    <row r="451">
      <c r="A451" s="9" t="inlineStr">
        <is>
          <t>T0450</t>
        </is>
      </c>
      <c r="B451" s="9" t="inlineStr">
        <is>
          <t>Granite Insurance</t>
        </is>
      </c>
      <c r="C451" s="9" t="inlineStr">
        <is>
          <t>Casualty</t>
        </is>
      </c>
      <c r="D451" s="9" t="inlineStr">
        <is>
          <t>Unassigned</t>
        </is>
      </c>
      <c r="E451" s="9" t="inlineStr">
        <is>
          <t>Priya Nair</t>
        </is>
      </c>
      <c r="F451" s="9" t="inlineStr">
        <is>
          <t>Proportional</t>
        </is>
      </c>
      <c r="G451" s="9" t="n">
        <v>2024</v>
      </c>
      <c r="H451" s="12" t="n">
        <v>225900000</v>
      </c>
      <c r="I451" s="12" t="n">
        <v>20891806.56</v>
      </c>
      <c r="J451" s="12" t="n">
        <v>1232215.68</v>
      </c>
      <c r="K451" s="12" t="n">
        <v>20891806.56</v>
      </c>
      <c r="L451" s="12" t="n">
        <v>6130562.399999999</v>
      </c>
      <c r="M451" s="9" t="n">
        <v>11</v>
      </c>
      <c r="N451" s="12" t="n">
        <v>15593803.54</v>
      </c>
      <c r="O451" s="12" t="n">
        <v>21567894.83</v>
      </c>
      <c r="P451" s="12" t="n">
        <v>33885000</v>
      </c>
      <c r="Q451" s="9" t="inlineStr">
        <is>
          <t>Low</t>
        </is>
      </c>
      <c r="R451" s="11">
        <f>IFERROR(O451/K451,0)</f>
        <v/>
      </c>
    </row>
    <row r="452">
      <c r="A452" s="9" t="inlineStr">
        <is>
          <t>T0451</t>
        </is>
      </c>
      <c r="B452" s="9" t="inlineStr">
        <is>
          <t>Cobalt Indemnity</t>
        </is>
      </c>
      <c r="C452" s="9" t="inlineStr">
        <is>
          <t>Specialty</t>
        </is>
      </c>
      <c r="D452" s="9" t="inlineStr">
        <is>
          <t>North America</t>
        </is>
      </c>
      <c r="E452" s="9" t="inlineStr">
        <is>
          <t>Sophie Laurent</t>
        </is>
      </c>
      <c r="F452" s="9" t="inlineStr">
        <is>
          <t>Proportional</t>
        </is>
      </c>
      <c r="G452" s="9" t="n">
        <v>2022</v>
      </c>
      <c r="H452" s="12" t="n">
        <v>2700000</v>
      </c>
      <c r="I452" s="12" t="n">
        <v>288447.36</v>
      </c>
      <c r="J452" s="12" t="n">
        <v>20713.08</v>
      </c>
      <c r="K452" s="12" t="n">
        <v>288447.36</v>
      </c>
      <c r="L452" s="12" t="n">
        <v>80978.28</v>
      </c>
      <c r="M452" s="9" t="n">
        <v>9</v>
      </c>
      <c r="N452" s="12" t="n">
        <v>200195.69</v>
      </c>
      <c r="O452" s="12" t="n">
        <v>203746.05</v>
      </c>
      <c r="P452" s="12" t="n">
        <v>270000</v>
      </c>
      <c r="Q452" s="9" t="inlineStr">
        <is>
          <t>Low</t>
        </is>
      </c>
      <c r="R452" s="11">
        <f>IFERROR(O452/K452,0)</f>
        <v/>
      </c>
    </row>
    <row r="453">
      <c r="A453" s="9" t="inlineStr">
        <is>
          <t>T0452</t>
        </is>
      </c>
      <c r="B453" s="9" t="inlineStr">
        <is>
          <t>Meridian Insurance</t>
        </is>
      </c>
      <c r="C453" s="9" t="inlineStr">
        <is>
          <t>Professional</t>
        </is>
      </c>
      <c r="D453" s="9" t="inlineStr">
        <is>
          <t>Asia Pacific</t>
        </is>
      </c>
      <c r="E453" s="9" t="inlineStr">
        <is>
          <t>James Whitfield</t>
        </is>
      </c>
      <c r="F453" s="9" t="inlineStr">
        <is>
          <t>Proportional</t>
        </is>
      </c>
      <c r="G453" s="9" t="n">
        <v>2026</v>
      </c>
      <c r="H453" s="12" t="n">
        <v>4800000</v>
      </c>
      <c r="I453" s="12" t="n">
        <v>436865.03</v>
      </c>
      <c r="J453" s="12" t="n">
        <v>47755.68</v>
      </c>
      <c r="K453" s="12" t="n">
        <v>378616.36</v>
      </c>
      <c r="L453" s="12" t="n">
        <v>115203.9375361841</v>
      </c>
      <c r="M453" s="9" t="n">
        <v>4</v>
      </c>
      <c r="N453" s="12" t="n">
        <v>67050.64</v>
      </c>
      <c r="O453" s="12" t="n">
        <v>313637.92</v>
      </c>
      <c r="P453" s="12" t="n">
        <v>1200000</v>
      </c>
      <c r="Q453" s="9" t="inlineStr">
        <is>
          <t>Low</t>
        </is>
      </c>
      <c r="R453" s="11">
        <f>IFERROR(O453/K453,0)</f>
        <v/>
      </c>
    </row>
    <row r="454">
      <c r="A454" s="9" t="inlineStr">
        <is>
          <t>T0453</t>
        </is>
      </c>
      <c r="B454" s="9" t="inlineStr">
        <is>
          <t>Summit Indemnity</t>
        </is>
      </c>
      <c r="C454" s="9" t="inlineStr">
        <is>
          <t>Unmapped</t>
        </is>
      </c>
      <c r="D454" s="9" t="inlineStr">
        <is>
          <t>Asia Pacific</t>
        </is>
      </c>
      <c r="E454" s="9" t="inlineStr">
        <is>
          <t>Kenji Sato</t>
        </is>
      </c>
      <c r="F454" s="9" t="inlineStr">
        <is>
          <t>Excess of Loss</t>
        </is>
      </c>
      <c r="G454" s="9" t="n">
        <v>2021</v>
      </c>
      <c r="H454" s="12" t="n">
        <v>60300000</v>
      </c>
      <c r="I454" s="12" t="n">
        <v>10870249.68</v>
      </c>
      <c r="J454" s="12" t="n">
        <v>1214176.56</v>
      </c>
      <c r="K454" s="12" t="n">
        <v>10870249.68</v>
      </c>
      <c r="L454" s="12" t="n">
        <v>648801.1200000001</v>
      </c>
      <c r="M454" s="9" t="n">
        <v>5</v>
      </c>
      <c r="N454" s="12" t="n">
        <v>6318327.81</v>
      </c>
      <c r="O454" s="12" t="n">
        <v>6318327.81</v>
      </c>
      <c r="P454" s="12" t="n">
        <v>60300000</v>
      </c>
      <c r="Q454" s="9" t="inlineStr">
        <is>
          <t>Low</t>
        </is>
      </c>
      <c r="R454" s="11">
        <f>IFERROR(O454/K454,0)</f>
        <v/>
      </c>
    </row>
    <row r="455">
      <c r="A455" s="9" t="inlineStr">
        <is>
          <t>T0454</t>
        </is>
      </c>
      <c r="B455" s="9" t="inlineStr">
        <is>
          <t>Harbor Insurance</t>
        </is>
      </c>
      <c r="C455" s="9" t="inlineStr">
        <is>
          <t>Specialty</t>
        </is>
      </c>
      <c r="D455" s="9" t="inlineStr">
        <is>
          <t>North America</t>
        </is>
      </c>
      <c r="E455" s="9" t="inlineStr">
        <is>
          <t>Hannah Weber</t>
        </is>
      </c>
      <c r="F455" s="9" t="inlineStr">
        <is>
          <t>Facultative</t>
        </is>
      </c>
      <c r="G455" s="9" t="n">
        <v>2023</v>
      </c>
      <c r="H455" s="12" t="n">
        <v>7900000</v>
      </c>
      <c r="I455" s="12" t="n">
        <v>1336796.88</v>
      </c>
      <c r="J455" s="12" t="n">
        <v>139565.04</v>
      </c>
      <c r="K455" s="12" t="n">
        <v>1336796.88</v>
      </c>
      <c r="L455" s="12" t="n">
        <v>218737.92</v>
      </c>
      <c r="M455" s="9" t="n">
        <v>13</v>
      </c>
      <c r="N455" s="12" t="n">
        <v>1133530.92</v>
      </c>
      <c r="O455" s="12" t="n">
        <v>1451791.59</v>
      </c>
      <c r="P455" s="12" t="n">
        <v>7900000</v>
      </c>
      <c r="Q455" s="9" t="inlineStr">
        <is>
          <t>Low</t>
        </is>
      </c>
      <c r="R455" s="11">
        <f>IFERROR(O455/K455,0)</f>
        <v/>
      </c>
    </row>
    <row r="456">
      <c r="A456" s="9" t="inlineStr">
        <is>
          <t>T0455</t>
        </is>
      </c>
      <c r="B456" s="9" t="inlineStr">
        <is>
          <t>Orion Insurance</t>
        </is>
      </c>
      <c r="C456" s="9" t="inlineStr">
        <is>
          <t>Property</t>
        </is>
      </c>
      <c r="D456" s="9" t="inlineStr">
        <is>
          <t>Asia Pacific</t>
        </is>
      </c>
      <c r="E456" s="9" t="inlineStr">
        <is>
          <t>Hannah Weber</t>
        </is>
      </c>
      <c r="F456" s="9" t="inlineStr">
        <is>
          <t>Excess of Loss</t>
        </is>
      </c>
      <c r="G456" s="9" t="n">
        <v>2023</v>
      </c>
      <c r="H456" s="12" t="n">
        <v>10300000</v>
      </c>
      <c r="I456" s="12" t="n">
        <v>1334992.68</v>
      </c>
      <c r="J456" s="12" t="n">
        <v>71042.39999999999</v>
      </c>
      <c r="K456" s="12" t="n">
        <v>1334992.68</v>
      </c>
      <c r="L456" s="12" t="n">
        <v>143322.12</v>
      </c>
      <c r="M456" s="9" t="n">
        <v>13</v>
      </c>
      <c r="N456" s="12" t="n">
        <v>1297346.48</v>
      </c>
      <c r="O456" s="12" t="n">
        <v>1510564.44</v>
      </c>
      <c r="P456" s="12" t="n">
        <v>10300000</v>
      </c>
      <c r="Q456" s="9" t="inlineStr">
        <is>
          <t>Low</t>
        </is>
      </c>
      <c r="R456" s="11">
        <f>IFERROR(O456/K456,0)</f>
        <v/>
      </c>
    </row>
    <row r="457">
      <c r="A457" s="9" t="inlineStr">
        <is>
          <t>T0456</t>
        </is>
      </c>
      <c r="B457" s="9" t="inlineStr">
        <is>
          <t>Meridian General</t>
        </is>
      </c>
      <c r="C457" s="9" t="inlineStr">
        <is>
          <t>Property</t>
        </is>
      </c>
      <c r="D457" s="9" t="inlineStr">
        <is>
          <t>North America</t>
        </is>
      </c>
      <c r="E457" s="9" t="inlineStr">
        <is>
          <t>Hannah Weber</t>
        </is>
      </c>
      <c r="F457" s="9" t="inlineStr">
        <is>
          <t>Excess of Loss</t>
        </is>
      </c>
      <c r="G457" s="9" t="n">
        <v>2023</v>
      </c>
      <c r="H457" s="12" t="n">
        <v>69200000</v>
      </c>
      <c r="I457" s="12" t="n">
        <v>9662306.399999999</v>
      </c>
      <c r="J457" s="12" t="n">
        <v>583033.2</v>
      </c>
      <c r="K457" s="12" t="n">
        <v>9662306.399999999</v>
      </c>
      <c r="L457" s="12" t="n">
        <v>1048571.16</v>
      </c>
      <c r="M457" s="9" t="n">
        <v>7</v>
      </c>
      <c r="N457" s="12" t="n">
        <v>5216628.7</v>
      </c>
      <c r="O457" s="12" t="n">
        <v>5216628.7</v>
      </c>
      <c r="P457" s="12" t="n">
        <v>69200000</v>
      </c>
      <c r="Q457" s="9" t="inlineStr">
        <is>
          <t>Low</t>
        </is>
      </c>
      <c r="R457" s="11">
        <f>IFERROR(O457/K457,0)</f>
        <v/>
      </c>
    </row>
    <row r="458">
      <c r="A458" s="9" t="inlineStr">
        <is>
          <t>T0457</t>
        </is>
      </c>
      <c r="B458" s="9" t="inlineStr">
        <is>
          <t>Crown Indemnity</t>
        </is>
      </c>
      <c r="C458" s="9" t="inlineStr">
        <is>
          <t>Property</t>
        </is>
      </c>
      <c r="D458" s="9" t="inlineStr">
        <is>
          <t>Asia Pacific</t>
        </is>
      </c>
      <c r="E458" s="9" t="inlineStr">
        <is>
          <t>Kenji Sato</t>
        </is>
      </c>
      <c r="F458" s="9" t="inlineStr">
        <is>
          <t>Excess of Loss</t>
        </is>
      </c>
      <c r="G458" s="9" t="n">
        <v>2022</v>
      </c>
      <c r="H458" s="12" t="n">
        <v>7200000</v>
      </c>
      <c r="I458" s="12" t="n">
        <v>868019.64</v>
      </c>
      <c r="J458" s="12" t="n">
        <v>69542.16</v>
      </c>
      <c r="K458" s="12" t="n">
        <v>868019.64</v>
      </c>
      <c r="L458" s="12" t="n">
        <v>71092.44</v>
      </c>
      <c r="M458" s="9" t="n">
        <v>9</v>
      </c>
      <c r="N458" s="12" t="n">
        <v>501212.81</v>
      </c>
      <c r="O458" s="12" t="n">
        <v>512895.87</v>
      </c>
      <c r="P458" s="12" t="n">
        <v>7200000</v>
      </c>
      <c r="Q458" s="9" t="inlineStr">
        <is>
          <t>Low</t>
        </is>
      </c>
      <c r="R458" s="11">
        <f>IFERROR(O458/K458,0)</f>
        <v/>
      </c>
    </row>
    <row r="459">
      <c r="A459" s="9" t="inlineStr">
        <is>
          <t>T0458</t>
        </is>
      </c>
      <c r="B459" s="9" t="inlineStr">
        <is>
          <t>Harbor Insurance</t>
        </is>
      </c>
      <c r="C459" s="9" t="inlineStr">
        <is>
          <t>Specialty</t>
        </is>
      </c>
      <c r="D459" s="9" t="inlineStr">
        <is>
          <t>North America</t>
        </is>
      </c>
      <c r="E459" s="9" t="inlineStr">
        <is>
          <t>Aarav Mehta</t>
        </is>
      </c>
      <c r="F459" s="9" t="inlineStr">
        <is>
          <t>Proportional</t>
        </is>
      </c>
      <c r="G459" s="9" t="n">
        <v>2021</v>
      </c>
      <c r="H459" s="12" t="n">
        <v>6500000</v>
      </c>
      <c r="I459" s="12" t="n">
        <v>927001.24</v>
      </c>
      <c r="J459" s="12" t="n">
        <v>96496.84000000001</v>
      </c>
      <c r="K459" s="12" t="n">
        <v>927001.24</v>
      </c>
      <c r="L459" s="12" t="n">
        <v>250064.1</v>
      </c>
      <c r="M459" s="9" t="n">
        <v>7</v>
      </c>
      <c r="N459" s="12" t="n">
        <v>853498.36</v>
      </c>
      <c r="O459" s="12" t="n">
        <v>938978.85</v>
      </c>
      <c r="P459" s="12" t="n">
        <v>3250000</v>
      </c>
      <c r="Q459" s="9" t="inlineStr">
        <is>
          <t>Low</t>
        </is>
      </c>
      <c r="R459" s="11">
        <f>IFERROR(O459/K459,0)</f>
        <v/>
      </c>
    </row>
    <row r="460">
      <c r="A460" s="9" t="inlineStr">
        <is>
          <t>T0459</t>
        </is>
      </c>
      <c r="B460" s="9" t="inlineStr">
        <is>
          <t>Orion General</t>
        </is>
      </c>
      <c r="C460" s="9" t="inlineStr">
        <is>
          <t>Specialty</t>
        </is>
      </c>
      <c r="D460" s="9" t="inlineStr">
        <is>
          <t>North America</t>
        </is>
      </c>
      <c r="E460" s="9" t="inlineStr">
        <is>
          <t>Priya Nair</t>
        </is>
      </c>
      <c r="F460" s="9" t="inlineStr">
        <is>
          <t>Excess of Loss</t>
        </is>
      </c>
      <c r="G460" s="9" t="n">
        <v>2025</v>
      </c>
      <c r="H460" s="12" t="n">
        <v>9800000</v>
      </c>
      <c r="I460" s="12" t="n">
        <v>702486.12</v>
      </c>
      <c r="J460" s="12" t="n">
        <v>43005.60000000001</v>
      </c>
      <c r="K460" s="12" t="n">
        <v>702486.12</v>
      </c>
      <c r="L460" s="12" t="n">
        <v>72285</v>
      </c>
      <c r="M460" s="9" t="n">
        <v>10</v>
      </c>
      <c r="N460" s="12" t="n">
        <v>183527.91</v>
      </c>
      <c r="O460" s="12" t="n">
        <v>255814.34</v>
      </c>
      <c r="P460" s="12" t="n">
        <v>9800000</v>
      </c>
      <c r="Q460" s="9" t="inlineStr">
        <is>
          <t>Low</t>
        </is>
      </c>
      <c r="R460" s="11">
        <f>IFERROR(O460/K460,0)</f>
        <v/>
      </c>
    </row>
    <row r="461">
      <c r="A461" s="9" t="inlineStr">
        <is>
          <t>T0460</t>
        </is>
      </c>
      <c r="B461" s="9" t="inlineStr">
        <is>
          <t>Cobalt Assurance</t>
        </is>
      </c>
      <c r="C461" s="9" t="inlineStr">
        <is>
          <t>Casualty</t>
        </is>
      </c>
      <c r="D461" s="9" t="inlineStr">
        <is>
          <t>Europe</t>
        </is>
      </c>
      <c r="E461" s="9" t="inlineStr">
        <is>
          <t>Kenji Sato</t>
        </is>
      </c>
      <c r="F461" s="9" t="inlineStr">
        <is>
          <t>Excess of Loss</t>
        </is>
      </c>
      <c r="G461" s="9" t="n">
        <v>2024</v>
      </c>
      <c r="H461" s="12" t="n">
        <v>21699999.9972</v>
      </c>
      <c r="I461" s="12" t="n">
        <v>2609807.688</v>
      </c>
      <c r="J461" s="12" t="n">
        <v>150262.6464</v>
      </c>
      <c r="K461" s="12" t="n">
        <v>2609807.688</v>
      </c>
      <c r="L461" s="12" t="n">
        <v>304048.8576000001</v>
      </c>
      <c r="M461" s="9" t="n">
        <v>8</v>
      </c>
      <c r="N461" s="12" t="n">
        <v>2410067.9412</v>
      </c>
      <c r="O461" s="12" t="n">
        <v>3089820.0708</v>
      </c>
      <c r="P461" s="12" t="n">
        <v>21699999.9972</v>
      </c>
      <c r="Q461" s="9" t="inlineStr">
        <is>
          <t>Low</t>
        </is>
      </c>
      <c r="R461" s="11">
        <f>IFERROR(O461/K461,0)</f>
        <v/>
      </c>
    </row>
    <row r="462">
      <c r="A462" s="9" t="inlineStr">
        <is>
          <t>T0461</t>
        </is>
      </c>
      <c r="B462" s="9" t="inlineStr">
        <is>
          <t>Evergreen General</t>
        </is>
      </c>
      <c r="C462" s="9" t="inlineStr">
        <is>
          <t>Financial Lines</t>
        </is>
      </c>
      <c r="D462" s="9" t="inlineStr">
        <is>
          <t>North America</t>
        </is>
      </c>
      <c r="E462" s="9" t="inlineStr">
        <is>
          <t>Carlos Ibarra</t>
        </is>
      </c>
      <c r="F462" s="9" t="inlineStr">
        <is>
          <t>Excess of Loss</t>
        </is>
      </c>
      <c r="G462" s="9" t="n">
        <v>2026</v>
      </c>
      <c r="H462" s="12" t="n">
        <v>17000000</v>
      </c>
      <c r="I462" s="12" t="n">
        <v>229137.8</v>
      </c>
      <c r="J462" s="12" t="n">
        <v>20586.24</v>
      </c>
      <c r="K462" s="12" t="n">
        <v>129844.75</v>
      </c>
      <c r="L462" s="12" t="n">
        <v>10632.11706038899</v>
      </c>
      <c r="M462" s="9" t="n">
        <v>1</v>
      </c>
      <c r="N462" s="12" t="n">
        <v>12810.52</v>
      </c>
      <c r="O462" s="12" t="n">
        <v>45397.87</v>
      </c>
      <c r="P462" s="12" t="n">
        <v>17000000</v>
      </c>
      <c r="Q462" s="9" t="inlineStr">
        <is>
          <t>Low</t>
        </is>
      </c>
      <c r="R462" s="11">
        <f>IFERROR(O462/K462,0)</f>
        <v/>
      </c>
    </row>
    <row r="463">
      <c r="A463" s="9" t="inlineStr">
        <is>
          <t>T0462</t>
        </is>
      </c>
      <c r="B463" s="9" t="inlineStr">
        <is>
          <t>Sterling Mutual</t>
        </is>
      </c>
      <c r="C463" s="9" t="inlineStr">
        <is>
          <t>Property</t>
        </is>
      </c>
      <c r="D463" s="9" t="inlineStr">
        <is>
          <t>Europe</t>
        </is>
      </c>
      <c r="E463" s="9" t="inlineStr">
        <is>
          <t>Hannah Weber</t>
        </is>
      </c>
      <c r="F463" s="9" t="inlineStr">
        <is>
          <t>Excess of Loss</t>
        </is>
      </c>
      <c r="G463" s="9" t="n">
        <v>2024</v>
      </c>
      <c r="H463" s="12" t="n">
        <v>54900000.0042</v>
      </c>
      <c r="I463" s="12" t="n">
        <v>4316732.1336</v>
      </c>
      <c r="J463" s="12" t="n">
        <v>252242.7264</v>
      </c>
      <c r="K463" s="12" t="n">
        <v>4316732.1336</v>
      </c>
      <c r="L463" s="12" t="n">
        <v>218899.8924</v>
      </c>
      <c r="M463" s="9" t="n">
        <v>10</v>
      </c>
      <c r="N463" s="12" t="n">
        <v>2276664.5983</v>
      </c>
      <c r="O463" s="12" t="n">
        <v>2447102.9671</v>
      </c>
      <c r="P463" s="12" t="n">
        <v>54900000.0042</v>
      </c>
      <c r="Q463" s="9" t="inlineStr">
        <is>
          <t>Low</t>
        </is>
      </c>
      <c r="R463" s="11">
        <f>IFERROR(O463/K463,0)</f>
        <v/>
      </c>
    </row>
    <row r="464">
      <c r="A464" s="9" t="inlineStr">
        <is>
          <t>T0463</t>
        </is>
      </c>
      <c r="B464" s="9" t="inlineStr">
        <is>
          <t>Atlas Indemnity</t>
        </is>
      </c>
      <c r="C464" s="9" t="inlineStr">
        <is>
          <t>Property</t>
        </is>
      </c>
      <c r="D464" s="9" t="inlineStr">
        <is>
          <t>North America</t>
        </is>
      </c>
      <c r="E464" s="9" t="inlineStr">
        <is>
          <t>Hannah Weber</t>
        </is>
      </c>
      <c r="F464" s="9" t="inlineStr">
        <is>
          <t>Facultative</t>
        </is>
      </c>
      <c r="G464" s="9" t="n">
        <v>2025</v>
      </c>
      <c r="H464" s="12" t="n">
        <v>48900000</v>
      </c>
      <c r="I464" s="12" t="n">
        <v>3747022.44</v>
      </c>
      <c r="J464" s="12" t="n">
        <v>227136.96</v>
      </c>
      <c r="K464" s="12" t="n">
        <v>3747022.44</v>
      </c>
      <c r="L464" s="12" t="n">
        <v>726619.3200000001</v>
      </c>
      <c r="M464" s="9" t="n">
        <v>2</v>
      </c>
      <c r="N464" s="12" t="n">
        <v>798393.78</v>
      </c>
      <c r="O464" s="12" t="n">
        <v>1657585.83</v>
      </c>
      <c r="P464" s="12" t="n">
        <v>48900000</v>
      </c>
      <c r="Q464" s="9" t="inlineStr">
        <is>
          <t>Low</t>
        </is>
      </c>
      <c r="R464" s="11">
        <f>IFERROR(O464/K464,0)</f>
        <v/>
      </c>
    </row>
    <row r="465">
      <c r="A465" s="9" t="inlineStr">
        <is>
          <t>T0464</t>
        </is>
      </c>
      <c r="B465" s="9" t="inlineStr">
        <is>
          <t>Crown General</t>
        </is>
      </c>
      <c r="C465" s="9" t="inlineStr">
        <is>
          <t>Financial Lines</t>
        </is>
      </c>
      <c r="D465" s="9" t="inlineStr">
        <is>
          <t>North America</t>
        </is>
      </c>
      <c r="E465" s="9" t="inlineStr">
        <is>
          <t>Hannah Weber</t>
        </is>
      </c>
      <c r="F465" s="9" t="inlineStr">
        <is>
          <t>Proportional</t>
        </is>
      </c>
      <c r="G465" s="9" t="n">
        <v>2022</v>
      </c>
      <c r="H465" s="12" t="n">
        <v>31000000</v>
      </c>
      <c r="I465" s="12" t="n">
        <v>5968654.199999999</v>
      </c>
      <c r="J465" s="12" t="n">
        <v>476362.2</v>
      </c>
      <c r="K465" s="12" t="n">
        <v>5968654.199999999</v>
      </c>
      <c r="L465" s="12" t="n">
        <v>1906442.16</v>
      </c>
      <c r="M465" s="9" t="n">
        <v>7</v>
      </c>
      <c r="N465" s="12" t="n">
        <v>3060185.88</v>
      </c>
      <c r="O465" s="12" t="n">
        <v>3060185.88</v>
      </c>
      <c r="P465" s="12" t="n">
        <v>6200000</v>
      </c>
      <c r="Q465" s="9" t="inlineStr">
        <is>
          <t>Low</t>
        </is>
      </c>
      <c r="R465" s="11">
        <f>IFERROR(O465/K465,0)</f>
        <v/>
      </c>
    </row>
    <row r="466">
      <c r="A466" s="9" t="inlineStr">
        <is>
          <t>T0465</t>
        </is>
      </c>
      <c r="B466" s="9" t="inlineStr">
        <is>
          <t>Northwind General</t>
        </is>
      </c>
      <c r="C466" s="9" t="inlineStr">
        <is>
          <t>Property</t>
        </is>
      </c>
      <c r="D466" s="9" t="inlineStr">
        <is>
          <t>Asia Pacific</t>
        </is>
      </c>
      <c r="E466" s="9" t="inlineStr">
        <is>
          <t>Aarav Mehta</t>
        </is>
      </c>
      <c r="F466" s="9" t="inlineStr">
        <is>
          <t>Proportional</t>
        </is>
      </c>
      <c r="G466" s="9" t="n">
        <v>2025</v>
      </c>
      <c r="H466" s="12" t="n">
        <v>9000000</v>
      </c>
      <c r="I466" s="12" t="n">
        <v>1219764.62016</v>
      </c>
      <c r="J466" s="12" t="n">
        <v>80220.21264000001</v>
      </c>
      <c r="K466" s="12" t="n">
        <v>1219764.62016</v>
      </c>
      <c r="L466" s="12" t="n">
        <v>329596.59744</v>
      </c>
      <c r="M466" s="9" t="n">
        <v>11</v>
      </c>
      <c r="N466" s="12" t="n">
        <v>272575.11492</v>
      </c>
      <c r="O466" s="12" t="n">
        <v>1092386.24784</v>
      </c>
      <c r="P466" s="12" t="n">
        <v>2700000</v>
      </c>
      <c r="Q466" s="9" t="inlineStr">
        <is>
          <t>Low</t>
        </is>
      </c>
      <c r="R466" s="11">
        <f>IFERROR(O466/K466,0)</f>
        <v/>
      </c>
    </row>
    <row r="467">
      <c r="A467" s="9" t="inlineStr">
        <is>
          <t>T0466</t>
        </is>
      </c>
      <c r="B467" s="9" t="inlineStr">
        <is>
          <t>Summit Indemnity</t>
        </is>
      </c>
      <c r="C467" s="9" t="inlineStr">
        <is>
          <t>Property</t>
        </is>
      </c>
      <c r="D467" s="9" t="inlineStr">
        <is>
          <t>Asia Pacific</t>
        </is>
      </c>
      <c r="E467" s="9" t="inlineStr">
        <is>
          <t>Carlos Ibarra</t>
        </is>
      </c>
      <c r="F467" s="9" t="inlineStr">
        <is>
          <t>Excess of Loss</t>
        </is>
      </c>
      <c r="G467" s="9" t="n">
        <v>2022</v>
      </c>
      <c r="H467" s="12" t="n">
        <v>19600000</v>
      </c>
      <c r="I467" s="12" t="n">
        <v>1828219.68</v>
      </c>
      <c r="J467" s="12" t="n">
        <v>202752.84</v>
      </c>
      <c r="K467" s="12" t="n">
        <v>1828219.68</v>
      </c>
      <c r="L467" s="12" t="n">
        <v>142782.6</v>
      </c>
      <c r="M467" s="9" t="n">
        <v>15</v>
      </c>
      <c r="N467" s="12" t="n">
        <v>1320312.09</v>
      </c>
      <c r="O467" s="12" t="n">
        <v>1354604.92</v>
      </c>
      <c r="P467" s="12" t="n">
        <v>19600000</v>
      </c>
      <c r="Q467" s="9" t="inlineStr">
        <is>
          <t>Low</t>
        </is>
      </c>
      <c r="R467" s="11">
        <f>IFERROR(O467/K467,0)</f>
        <v/>
      </c>
    </row>
    <row r="468">
      <c r="A468" s="9" t="inlineStr">
        <is>
          <t>T0467</t>
        </is>
      </c>
      <c r="B468" s="9" t="inlineStr">
        <is>
          <t>Sterling Indemnity</t>
        </is>
      </c>
      <c r="C468" s="9" t="inlineStr">
        <is>
          <t>Property</t>
        </is>
      </c>
      <c r="D468" s="9" t="inlineStr">
        <is>
          <t>Europe</t>
        </is>
      </c>
      <c r="E468" s="9" t="inlineStr">
        <is>
          <t>Hannah Weber</t>
        </is>
      </c>
      <c r="F468" s="9" t="inlineStr">
        <is>
          <t>Proportional</t>
        </is>
      </c>
      <c r="G468" s="9" t="n">
        <v>2022</v>
      </c>
      <c r="H468" s="12" t="n">
        <v>15300000.0036</v>
      </c>
      <c r="I468" s="12" t="n">
        <v>2997820.8864</v>
      </c>
      <c r="J468" s="12" t="n">
        <v>164302.992</v>
      </c>
      <c r="K468" s="12" t="n">
        <v>2997820.8864</v>
      </c>
      <c r="L468" s="12" t="n">
        <v>714377.3615999999</v>
      </c>
      <c r="M468" s="9" t="n">
        <v>8</v>
      </c>
      <c r="N468" s="12" t="n">
        <v>1756900.0656</v>
      </c>
      <c r="O468" s="12" t="n">
        <v>1768850.1144</v>
      </c>
      <c r="P468" s="12" t="n">
        <v>1530000.0036</v>
      </c>
      <c r="Q468" s="9" t="inlineStr">
        <is>
          <t>Low</t>
        </is>
      </c>
      <c r="R468" s="11">
        <f>IFERROR(O468/K468,0)</f>
        <v/>
      </c>
    </row>
    <row r="469">
      <c r="A469" s="9" t="inlineStr">
        <is>
          <t>T0468</t>
        </is>
      </c>
      <c r="B469" s="9" t="inlineStr">
        <is>
          <t>Orion Indemnity</t>
        </is>
      </c>
      <c r="C469" s="9" t="inlineStr">
        <is>
          <t>Property</t>
        </is>
      </c>
      <c r="D469" s="9" t="inlineStr">
        <is>
          <t>Latin America</t>
        </is>
      </c>
      <c r="E469" s="9" t="inlineStr">
        <is>
          <t>Aarav Mehta</t>
        </is>
      </c>
      <c r="F469" s="9" t="inlineStr">
        <is>
          <t>Proportional</t>
        </is>
      </c>
      <c r="G469" s="9" t="n">
        <v>2021</v>
      </c>
      <c r="H469" s="12" t="n">
        <v>28700000</v>
      </c>
      <c r="I469" s="12" t="n">
        <v>2353431</v>
      </c>
      <c r="J469" s="12" t="n">
        <v>128602.8</v>
      </c>
      <c r="K469" s="12" t="n">
        <v>2353431</v>
      </c>
      <c r="L469" s="12" t="n">
        <v>633451.8</v>
      </c>
      <c r="M469" s="9" t="n">
        <v>11</v>
      </c>
      <c r="N469" s="12" t="n">
        <v>805315.38</v>
      </c>
      <c r="O469" s="12" t="n">
        <v>950887.1699999999</v>
      </c>
      <c r="P469" s="12" t="n">
        <v>14350000</v>
      </c>
      <c r="Q469" s="9" t="inlineStr">
        <is>
          <t>Low</t>
        </is>
      </c>
      <c r="R469" s="11">
        <f>IFERROR(O469/K469,0)</f>
        <v/>
      </c>
    </row>
    <row r="470">
      <c r="A470" s="9" t="inlineStr">
        <is>
          <t>T0469</t>
        </is>
      </c>
      <c r="B470" s="9" t="inlineStr">
        <is>
          <t>Crown General</t>
        </is>
      </c>
      <c r="C470" s="9" t="inlineStr">
        <is>
          <t>Specialty</t>
        </is>
      </c>
      <c r="D470" s="9" t="inlineStr">
        <is>
          <t>North America</t>
        </is>
      </c>
      <c r="E470" s="9" t="inlineStr">
        <is>
          <t>Omar Haddad</t>
        </is>
      </c>
      <c r="F470" s="9" t="inlineStr">
        <is>
          <t>Excess of Loss</t>
        </is>
      </c>
      <c r="G470" s="9" t="n">
        <v>2024</v>
      </c>
      <c r="H470" s="12" t="n">
        <v>3200000</v>
      </c>
      <c r="I470" s="12" t="n">
        <v>301053.84</v>
      </c>
      <c r="J470" s="12" t="n">
        <v>32652.72</v>
      </c>
      <c r="K470" s="12" t="n">
        <v>301053.84</v>
      </c>
      <c r="L470" s="12" t="n">
        <v>19220.4</v>
      </c>
      <c r="M470" s="9" t="n">
        <v>7</v>
      </c>
      <c r="N470" s="12" t="n">
        <v>891711.4</v>
      </c>
      <c r="O470" s="12" t="n">
        <v>3741523.78</v>
      </c>
      <c r="P470" s="12" t="n">
        <v>3200000</v>
      </c>
      <c r="Q470" s="9" t="inlineStr">
        <is>
          <t>Critical</t>
        </is>
      </c>
      <c r="R470" s="11">
        <f>IFERROR(O470/K470,0)</f>
        <v/>
      </c>
    </row>
    <row r="471">
      <c r="A471" s="9" t="inlineStr">
        <is>
          <t>T0470</t>
        </is>
      </c>
      <c r="B471" s="9" t="inlineStr">
        <is>
          <t>Pioneer Insurance</t>
        </is>
      </c>
      <c r="C471" s="9" t="inlineStr">
        <is>
          <t>Financial Lines</t>
        </is>
      </c>
      <c r="D471" s="9" t="inlineStr">
        <is>
          <t>Unassigned</t>
        </is>
      </c>
      <c r="E471" s="9" t="inlineStr">
        <is>
          <t>Sophie Laurent</t>
        </is>
      </c>
      <c r="F471" s="9" t="inlineStr">
        <is>
          <t>Excess of Loss</t>
        </is>
      </c>
      <c r="G471" s="9" t="n">
        <v>2026</v>
      </c>
      <c r="H471" s="12" t="n">
        <v>40800000.0024</v>
      </c>
      <c r="I471" s="12" t="n">
        <v>5313659.3244</v>
      </c>
      <c r="J471" s="12" t="n">
        <v>549363.1248</v>
      </c>
      <c r="K471" s="12" t="n">
        <v>5293979.100000001</v>
      </c>
      <c r="L471" s="12" t="n">
        <v>617508.2971741084</v>
      </c>
      <c r="M471" s="9" t="n">
        <v>6</v>
      </c>
      <c r="N471" s="12" t="n">
        <v>2005379.6184</v>
      </c>
      <c r="O471" s="12" t="n">
        <v>2437106.508</v>
      </c>
      <c r="P471" s="12" t="n">
        <v>40800000.0024</v>
      </c>
      <c r="Q471" s="9" t="inlineStr">
        <is>
          <t>Low</t>
        </is>
      </c>
      <c r="R471" s="11">
        <f>IFERROR(O471/K471,0)</f>
        <v/>
      </c>
    </row>
    <row r="472">
      <c r="A472" s="9" t="inlineStr">
        <is>
          <t>T0471</t>
        </is>
      </c>
      <c r="B472" s="9" t="inlineStr">
        <is>
          <t>Cobalt Mutual</t>
        </is>
      </c>
      <c r="C472" s="9" t="inlineStr">
        <is>
          <t>Property</t>
        </is>
      </c>
      <c r="D472" s="9" t="inlineStr">
        <is>
          <t>Europe</t>
        </is>
      </c>
      <c r="E472" s="9" t="inlineStr">
        <is>
          <t>Omar Haddad</t>
        </is>
      </c>
      <c r="F472" s="9" t="inlineStr">
        <is>
          <t>Proportional</t>
        </is>
      </c>
      <c r="G472" s="9" t="n">
        <v>2025</v>
      </c>
      <c r="H472" s="12" t="n">
        <v>11199999.9996</v>
      </c>
      <c r="I472" s="12" t="n">
        <v>1000724.8032</v>
      </c>
      <c r="J472" s="12" t="n">
        <v>87499.56960000002</v>
      </c>
      <c r="K472" s="12" t="n">
        <v>1000724.8032</v>
      </c>
      <c r="L472" s="12" t="n">
        <v>254354.6448</v>
      </c>
      <c r="M472" s="9" t="n">
        <v>11</v>
      </c>
      <c r="N472" s="12" t="n">
        <v>294387.8364</v>
      </c>
      <c r="O472" s="12" t="n">
        <v>429841.6524</v>
      </c>
      <c r="P472" s="12" t="n">
        <v>1120000.0032</v>
      </c>
      <c r="Q472" s="9" t="inlineStr">
        <is>
          <t>Low</t>
        </is>
      </c>
      <c r="R472" s="11">
        <f>IFERROR(O472/K472,0)</f>
        <v/>
      </c>
    </row>
    <row r="473">
      <c r="A473" s="9" t="inlineStr">
        <is>
          <t>T0472</t>
        </is>
      </c>
      <c r="B473" s="9" t="inlineStr">
        <is>
          <t>Crown General</t>
        </is>
      </c>
      <c r="C473" s="9" t="inlineStr">
        <is>
          <t>Property</t>
        </is>
      </c>
      <c r="D473" s="9" t="inlineStr">
        <is>
          <t>North America</t>
        </is>
      </c>
      <c r="E473" s="9" t="inlineStr">
        <is>
          <t>James Whitfield</t>
        </is>
      </c>
      <c r="F473" s="9" t="inlineStr">
        <is>
          <t>Proportional</t>
        </is>
      </c>
      <c r="G473" s="9" t="n">
        <v>2024</v>
      </c>
      <c r="H473" s="12" t="n">
        <v>6700000</v>
      </c>
      <c r="I473" s="12" t="n">
        <v>929831.64</v>
      </c>
      <c r="J473" s="12" t="n">
        <v>58813.2</v>
      </c>
      <c r="K473" s="12" t="n">
        <v>929831.64</v>
      </c>
      <c r="L473" s="12" t="n">
        <v>293537.52</v>
      </c>
      <c r="M473" s="9" t="n">
        <v>8</v>
      </c>
      <c r="N473" s="12" t="n">
        <v>489837.82</v>
      </c>
      <c r="O473" s="12" t="n">
        <v>489837.82</v>
      </c>
      <c r="P473" s="12" t="n">
        <v>1005000</v>
      </c>
      <c r="Q473" s="9" t="inlineStr">
        <is>
          <t>Low</t>
        </is>
      </c>
      <c r="R473" s="11">
        <f>IFERROR(O473/K473,0)</f>
        <v/>
      </c>
    </row>
    <row r="474">
      <c r="A474" s="9" t="inlineStr">
        <is>
          <t>T0473</t>
        </is>
      </c>
      <c r="B474" s="9" t="inlineStr">
        <is>
          <t>Sterling Mutual</t>
        </is>
      </c>
      <c r="C474" s="9" t="inlineStr">
        <is>
          <t>Property</t>
        </is>
      </c>
      <c r="D474" s="9" t="inlineStr">
        <is>
          <t>Europe</t>
        </is>
      </c>
      <c r="E474" s="9" t="inlineStr">
        <is>
          <t>Carlos Ibarra</t>
        </is>
      </c>
      <c r="F474" s="9" t="inlineStr">
        <is>
          <t>Excess of Loss</t>
        </is>
      </c>
      <c r="G474" s="9" t="n">
        <v>2024</v>
      </c>
      <c r="H474" s="12" t="n">
        <v>13500000.0002</v>
      </c>
      <c r="I474" s="12" t="n">
        <v>1695235.116</v>
      </c>
      <c r="J474" s="12" t="n">
        <v>127298.3484</v>
      </c>
      <c r="K474" s="12" t="n">
        <v>1695235.116</v>
      </c>
      <c r="L474" s="12" t="n">
        <v>180253.6908</v>
      </c>
      <c r="M474" s="9" t="n">
        <v>11</v>
      </c>
      <c r="N474" s="12" t="n">
        <v>731655.5597999999</v>
      </c>
      <c r="O474" s="12" t="n">
        <v>731655.5597999999</v>
      </c>
      <c r="P474" s="12" t="n">
        <v>13500000.0002</v>
      </c>
      <c r="Q474" s="9" t="inlineStr">
        <is>
          <t>Low</t>
        </is>
      </c>
      <c r="R474" s="11">
        <f>IFERROR(O474/K474,0)</f>
        <v/>
      </c>
    </row>
    <row r="475">
      <c r="A475" s="9" t="inlineStr">
        <is>
          <t>T0474</t>
        </is>
      </c>
      <c r="B475" s="9" t="inlineStr">
        <is>
          <t>Orion General</t>
        </is>
      </c>
      <c r="C475" s="9" t="inlineStr">
        <is>
          <t>Casualty</t>
        </is>
      </c>
      <c r="D475" s="9" t="inlineStr">
        <is>
          <t>North America</t>
        </is>
      </c>
      <c r="E475" s="9" t="inlineStr">
        <is>
          <t>James Whitfield</t>
        </is>
      </c>
      <c r="F475" s="9" t="inlineStr">
        <is>
          <t>Proportional</t>
        </is>
      </c>
      <c r="G475" s="9" t="n">
        <v>2021</v>
      </c>
      <c r="H475" s="12" t="n">
        <v>35800000</v>
      </c>
      <c r="I475" s="12" t="n">
        <v>2678642.76</v>
      </c>
      <c r="J475" s="12" t="n">
        <v>256256.64</v>
      </c>
      <c r="K475" s="12" t="n">
        <v>2678642.76</v>
      </c>
      <c r="L475" s="12" t="n">
        <v>773950.08</v>
      </c>
      <c r="M475" s="9" t="n">
        <v>7</v>
      </c>
      <c r="N475" s="12" t="n">
        <v>1924444.15</v>
      </c>
      <c r="O475" s="12" t="n">
        <v>1924444.15</v>
      </c>
      <c r="P475" s="12" t="n">
        <v>8950000</v>
      </c>
      <c r="Q475" s="9" t="inlineStr">
        <is>
          <t>Low</t>
        </is>
      </c>
      <c r="R475" s="11">
        <f>IFERROR(O475/K475,0)</f>
        <v/>
      </c>
    </row>
    <row r="476">
      <c r="A476" s="9" t="inlineStr">
        <is>
          <t>T0475</t>
        </is>
      </c>
      <c r="B476" s="9" t="inlineStr">
        <is>
          <t>Atlas General</t>
        </is>
      </c>
      <c r="C476" s="9" t="inlineStr">
        <is>
          <t>Casualty</t>
        </is>
      </c>
      <c r="D476" s="9" t="inlineStr">
        <is>
          <t>Asia Pacific</t>
        </is>
      </c>
      <c r="E476" s="9" t="inlineStr">
        <is>
          <t>Carlos Ibarra</t>
        </is>
      </c>
      <c r="F476" s="9" t="inlineStr">
        <is>
          <t>Facultative</t>
        </is>
      </c>
      <c r="G476" s="9" t="n">
        <v>2023</v>
      </c>
      <c r="H476" s="12" t="n">
        <v>20800000</v>
      </c>
      <c r="I476" s="12" t="n">
        <v>2161945.61</v>
      </c>
      <c r="J476" s="12" t="n">
        <v>162454.93</v>
      </c>
      <c r="K476" s="12" t="n">
        <v>2161945.61</v>
      </c>
      <c r="L476" s="12" t="n">
        <v>370569.76</v>
      </c>
      <c r="M476" s="9" t="n">
        <v>9</v>
      </c>
      <c r="N476" s="12" t="n">
        <v>2083475.99</v>
      </c>
      <c r="O476" s="12" t="n">
        <v>2243736.81</v>
      </c>
      <c r="P476" s="12" t="n">
        <v>20800000</v>
      </c>
      <c r="Q476" s="9" t="inlineStr">
        <is>
          <t>Low</t>
        </is>
      </c>
      <c r="R476" s="11">
        <f>IFERROR(O476/K476,0)</f>
        <v/>
      </c>
    </row>
    <row r="477">
      <c r="A477" s="9" t="inlineStr">
        <is>
          <t>T0476</t>
        </is>
      </c>
      <c r="B477" s="9" t="inlineStr">
        <is>
          <t>Cobalt Mutual</t>
        </is>
      </c>
      <c r="C477" s="9" t="inlineStr">
        <is>
          <t>Casualty</t>
        </is>
      </c>
      <c r="D477" s="9" t="inlineStr">
        <is>
          <t>Europe</t>
        </is>
      </c>
      <c r="E477" s="9" t="inlineStr">
        <is>
          <t>Hannah Weber</t>
        </is>
      </c>
      <c r="F477" s="9" t="inlineStr">
        <is>
          <t>Excess of Loss</t>
        </is>
      </c>
      <c r="G477" s="9" t="n">
        <v>2021</v>
      </c>
      <c r="H477" s="12" t="n">
        <v>8899999.999200001</v>
      </c>
      <c r="I477" s="12" t="n">
        <v>815495.04</v>
      </c>
      <c r="J477" s="12" t="n">
        <v>75650.50079999999</v>
      </c>
      <c r="K477" s="12" t="n">
        <v>815495.04</v>
      </c>
      <c r="L477" s="12" t="n">
        <v>81844.73280000001</v>
      </c>
      <c r="M477" s="9" t="n">
        <v>6</v>
      </c>
      <c r="N477" s="12" t="n">
        <v>266041.5732</v>
      </c>
      <c r="O477" s="12" t="n">
        <v>280124.4276</v>
      </c>
      <c r="P477" s="12" t="n">
        <v>8899999.999200001</v>
      </c>
      <c r="Q477" s="9" t="inlineStr">
        <is>
          <t>Low</t>
        </is>
      </c>
      <c r="R477" s="11">
        <f>IFERROR(O477/K477,0)</f>
        <v/>
      </c>
    </row>
    <row r="478">
      <c r="A478" s="9" t="inlineStr">
        <is>
          <t>T0477</t>
        </is>
      </c>
      <c r="B478" s="9" t="inlineStr">
        <is>
          <t>Orion Mutual</t>
        </is>
      </c>
      <c r="C478" s="9" t="inlineStr">
        <is>
          <t>Property</t>
        </is>
      </c>
      <c r="D478" s="9" t="inlineStr">
        <is>
          <t>Europe</t>
        </is>
      </c>
      <c r="E478" s="9" t="inlineStr">
        <is>
          <t>Priya Nair</t>
        </is>
      </c>
      <c r="F478" s="9" t="inlineStr">
        <is>
          <t>Proportional</t>
        </is>
      </c>
      <c r="G478" s="9" t="n">
        <v>2022</v>
      </c>
      <c r="H478" s="12" t="n">
        <v>10800000</v>
      </c>
      <c r="I478" s="12" t="n">
        <v>889481.2176000001</v>
      </c>
      <c r="J478" s="12" t="n">
        <v>75501.5904</v>
      </c>
      <c r="K478" s="12" t="n">
        <v>889481.2176000001</v>
      </c>
      <c r="L478" s="12" t="n">
        <v>208913.7744</v>
      </c>
      <c r="M478" s="9" t="n">
        <v>12</v>
      </c>
      <c r="N478" s="12" t="n">
        <v>452231.2836000001</v>
      </c>
      <c r="O478" s="12" t="n">
        <v>484910.0424</v>
      </c>
      <c r="P478" s="12" t="n">
        <v>1080000</v>
      </c>
      <c r="Q478" s="9" t="inlineStr">
        <is>
          <t>Low</t>
        </is>
      </c>
      <c r="R478" s="11">
        <f>IFERROR(O478/K478,0)</f>
        <v/>
      </c>
    </row>
    <row r="479">
      <c r="A479" s="9" t="inlineStr">
        <is>
          <t>T0478</t>
        </is>
      </c>
      <c r="B479" s="9" t="inlineStr">
        <is>
          <t>Lumen Assurance</t>
        </is>
      </c>
      <c r="C479" s="9" t="inlineStr">
        <is>
          <t>Property</t>
        </is>
      </c>
      <c r="D479" s="9" t="inlineStr">
        <is>
          <t>Latin America</t>
        </is>
      </c>
      <c r="E479" s="9" t="inlineStr">
        <is>
          <t>Hannah Weber</t>
        </is>
      </c>
      <c r="F479" s="9" t="inlineStr">
        <is>
          <t>Proportional</t>
        </is>
      </c>
      <c r="G479" s="9" t="n">
        <v>2022</v>
      </c>
      <c r="H479" s="12" t="n">
        <v>6100000</v>
      </c>
      <c r="I479" s="12" t="n">
        <v>1147601.16</v>
      </c>
      <c r="J479" s="12" t="n">
        <v>77276.52</v>
      </c>
      <c r="K479" s="12" t="n">
        <v>1147601.16</v>
      </c>
      <c r="L479" s="12" t="n">
        <v>349565.16</v>
      </c>
      <c r="M479" s="9" t="n">
        <v>12</v>
      </c>
      <c r="N479" s="12" t="n">
        <v>769269.6</v>
      </c>
      <c r="O479" s="12" t="n">
        <v>808766.05</v>
      </c>
      <c r="P479" s="12" t="n">
        <v>1830000</v>
      </c>
      <c r="Q479" s="9" t="inlineStr">
        <is>
          <t>Low</t>
        </is>
      </c>
      <c r="R479" s="11">
        <f>IFERROR(O479/K479,0)</f>
        <v/>
      </c>
    </row>
    <row r="480">
      <c r="A480" s="9" t="inlineStr">
        <is>
          <t>T0479</t>
        </is>
      </c>
      <c r="B480" s="9" t="inlineStr">
        <is>
          <t>Sterling Mutual</t>
        </is>
      </c>
      <c r="C480" s="9" t="inlineStr">
        <is>
          <t>Casualty</t>
        </is>
      </c>
      <c r="D480" s="9" t="inlineStr">
        <is>
          <t>Europe</t>
        </is>
      </c>
      <c r="E480" s="9" t="inlineStr">
        <is>
          <t>Hannah Weber</t>
        </is>
      </c>
      <c r="F480" s="9" t="inlineStr">
        <is>
          <t>Excess of Loss</t>
        </is>
      </c>
      <c r="G480" s="9" t="n">
        <v>2025</v>
      </c>
      <c r="H480" s="12" t="n">
        <v>4699999.998</v>
      </c>
      <c r="I480" s="12" t="n">
        <v>525402.3528</v>
      </c>
      <c r="J480" s="12" t="n">
        <v>44127.42</v>
      </c>
      <c r="K480" s="12" t="n">
        <v>525402.3528</v>
      </c>
      <c r="L480" s="12" t="n">
        <v>31637.3256</v>
      </c>
      <c r="M480" s="9" t="n">
        <v>11</v>
      </c>
      <c r="N480" s="12" t="n">
        <v>120954.3682</v>
      </c>
      <c r="O480" s="12" t="n">
        <v>338527.5678</v>
      </c>
      <c r="P480" s="12" t="n">
        <v>4699999.998</v>
      </c>
      <c r="Q480" s="9" t="inlineStr">
        <is>
          <t>Low</t>
        </is>
      </c>
      <c r="R480" s="11">
        <f>IFERROR(O480/K480,0)</f>
        <v/>
      </c>
    </row>
    <row r="481">
      <c r="A481" s="9" t="inlineStr">
        <is>
          <t>T0480</t>
        </is>
      </c>
      <c r="B481" s="9" t="inlineStr">
        <is>
          <t>Granite Indemnity</t>
        </is>
      </c>
      <c r="C481" s="9" t="inlineStr">
        <is>
          <t>Casualty</t>
        </is>
      </c>
      <c r="D481" s="9" t="inlineStr">
        <is>
          <t>Europe</t>
        </is>
      </c>
      <c r="E481" s="9" t="inlineStr">
        <is>
          <t>Kenji Sato</t>
        </is>
      </c>
      <c r="F481" s="9" t="inlineStr">
        <is>
          <t>Excess of Loss</t>
        </is>
      </c>
      <c r="G481" s="9" t="n">
        <v>2023</v>
      </c>
      <c r="H481" s="12" t="n">
        <v>8700000.004799999</v>
      </c>
      <c r="I481" s="12" t="n">
        <v>701826.768</v>
      </c>
      <c r="J481" s="12" t="n">
        <v>76268.69280000002</v>
      </c>
      <c r="K481" s="12" t="n">
        <v>701826.768</v>
      </c>
      <c r="L481" s="12" t="n">
        <v>38780.3376</v>
      </c>
      <c r="M481" s="9" t="n">
        <v>9</v>
      </c>
      <c r="N481" s="12" t="n">
        <v>393098.2056</v>
      </c>
      <c r="O481" s="12" t="n">
        <v>393098.2056</v>
      </c>
      <c r="P481" s="12" t="n">
        <v>8700000.004799999</v>
      </c>
      <c r="Q481" s="9" t="inlineStr">
        <is>
          <t>Low</t>
        </is>
      </c>
      <c r="R481" s="11">
        <f>IFERROR(O481/K481,0)</f>
        <v/>
      </c>
    </row>
    <row r="482">
      <c r="A482" s="9" t="inlineStr">
        <is>
          <t>T0481</t>
        </is>
      </c>
      <c r="B482" s="9" t="inlineStr">
        <is>
          <t>Lumen Assurance</t>
        </is>
      </c>
      <c r="C482" s="9" t="inlineStr">
        <is>
          <t>Specialty</t>
        </is>
      </c>
      <c r="D482" s="9" t="inlineStr">
        <is>
          <t>Latin America</t>
        </is>
      </c>
      <c r="E482" s="9" t="inlineStr">
        <is>
          <t>Sophie Laurent</t>
        </is>
      </c>
      <c r="F482" s="9" t="inlineStr">
        <is>
          <t>Excess of Loss</t>
        </is>
      </c>
      <c r="G482" s="9" t="n">
        <v>2022</v>
      </c>
      <c r="H482" s="12" t="n">
        <v>6800000</v>
      </c>
      <c r="I482" s="12" t="n">
        <v>1053048.24</v>
      </c>
      <c r="J482" s="12" t="n">
        <v>114073.32</v>
      </c>
      <c r="K482" s="12" t="n">
        <v>1053048.24</v>
      </c>
      <c r="L482" s="12" t="n">
        <v>123676.8</v>
      </c>
      <c r="M482" s="9" t="n">
        <v>6</v>
      </c>
      <c r="N482" s="12" t="n">
        <v>938623.51</v>
      </c>
      <c r="O482" s="12" t="n">
        <v>938623.51</v>
      </c>
      <c r="P482" s="12" t="n">
        <v>6800000</v>
      </c>
      <c r="Q482" s="9" t="inlineStr">
        <is>
          <t>Low</t>
        </is>
      </c>
      <c r="R482" s="11">
        <f>IFERROR(O482/K482,0)</f>
        <v/>
      </c>
    </row>
    <row r="483">
      <c r="A483" s="9" t="inlineStr">
        <is>
          <t>T0482</t>
        </is>
      </c>
      <c r="B483" s="9" t="inlineStr">
        <is>
          <t>Cobalt Indemnity</t>
        </is>
      </c>
      <c r="C483" s="9" t="inlineStr">
        <is>
          <t>Casualty</t>
        </is>
      </c>
      <c r="D483" s="9" t="inlineStr">
        <is>
          <t>North America</t>
        </is>
      </c>
      <c r="E483" s="9" t="inlineStr">
        <is>
          <t>Priya Nair</t>
        </is>
      </c>
      <c r="F483" s="9" t="inlineStr">
        <is>
          <t>Facultative</t>
        </is>
      </c>
      <c r="G483" s="9" t="n">
        <v>2023</v>
      </c>
      <c r="H483" s="12" t="n">
        <v>19700000</v>
      </c>
      <c r="I483" s="12" t="n">
        <v>1818062.52</v>
      </c>
      <c r="J483" s="12" t="n">
        <v>97814.88</v>
      </c>
      <c r="K483" s="12" t="n">
        <v>1818062.52</v>
      </c>
      <c r="L483" s="12" t="n">
        <v>316542.24</v>
      </c>
      <c r="M483" s="9" t="n">
        <v>8</v>
      </c>
      <c r="N483" s="12" t="n">
        <v>1657862.86</v>
      </c>
      <c r="O483" s="12" t="n">
        <v>1657862.86</v>
      </c>
      <c r="P483" s="12" t="n">
        <v>19700000</v>
      </c>
      <c r="Q483" s="9" t="inlineStr">
        <is>
          <t>Low</t>
        </is>
      </c>
      <c r="R483" s="11">
        <f>IFERROR(O483/K483,0)</f>
        <v/>
      </c>
    </row>
    <row r="484">
      <c r="A484" s="9" t="inlineStr">
        <is>
          <t>T0483</t>
        </is>
      </c>
      <c r="B484" s="9" t="inlineStr">
        <is>
          <t>Evergreen General</t>
        </is>
      </c>
      <c r="C484" s="9" t="inlineStr">
        <is>
          <t>Casualty</t>
        </is>
      </c>
      <c r="D484" s="9" t="inlineStr">
        <is>
          <t>North America</t>
        </is>
      </c>
      <c r="E484" s="9" t="inlineStr">
        <is>
          <t>Kenji Sato</t>
        </is>
      </c>
      <c r="F484" s="9" t="inlineStr">
        <is>
          <t>Excess of Loss</t>
        </is>
      </c>
      <c r="G484" s="9" t="n">
        <v>2025</v>
      </c>
      <c r="H484" s="12" t="n">
        <v>2400000</v>
      </c>
      <c r="I484" s="12" t="n">
        <v>458354.88</v>
      </c>
      <c r="J484" s="12" t="n">
        <v>24053.16</v>
      </c>
      <c r="K484" s="12" t="n">
        <v>458354.88</v>
      </c>
      <c r="L484" s="12" t="n">
        <v>30017.88</v>
      </c>
      <c r="M484" s="9" t="n">
        <v>12</v>
      </c>
      <c r="N484" s="12" t="n">
        <v>844715.51</v>
      </c>
      <c r="O484" s="12" t="n">
        <v>3277690.35</v>
      </c>
      <c r="P484" s="12" t="n">
        <v>2400000</v>
      </c>
      <c r="Q484" s="9" t="inlineStr">
        <is>
          <t>Critical</t>
        </is>
      </c>
      <c r="R484" s="11">
        <f>IFERROR(O484/K484,0)</f>
        <v/>
      </c>
    </row>
    <row r="485">
      <c r="A485" s="9" t="inlineStr">
        <is>
          <t>T0484</t>
        </is>
      </c>
      <c r="B485" s="9" t="inlineStr">
        <is>
          <t>Meridian Assurance</t>
        </is>
      </c>
      <c r="C485" s="9" t="inlineStr">
        <is>
          <t>Property</t>
        </is>
      </c>
      <c r="D485" s="9" t="inlineStr">
        <is>
          <t>Europe</t>
        </is>
      </c>
      <c r="E485" s="9" t="inlineStr">
        <is>
          <t>Kenji Sato</t>
        </is>
      </c>
      <c r="F485" s="9" t="inlineStr">
        <is>
          <t>Excess of Loss</t>
        </is>
      </c>
      <c r="G485" s="9" t="n">
        <v>2024</v>
      </c>
      <c r="H485" s="12" t="n">
        <v>30999999.996</v>
      </c>
      <c r="I485" s="12" t="n">
        <v>4176902.7648</v>
      </c>
      <c r="J485" s="12" t="n">
        <v>492034.3056</v>
      </c>
      <c r="K485" s="12" t="n">
        <v>4176902.7648</v>
      </c>
      <c r="L485" s="12" t="n">
        <v>454046.472</v>
      </c>
      <c r="M485" s="9" t="n">
        <v>8</v>
      </c>
      <c r="N485" s="12" t="n">
        <v>4848846.4404</v>
      </c>
      <c r="O485" s="12" t="n">
        <v>4848846.4404</v>
      </c>
      <c r="P485" s="12" t="n">
        <v>30999999.996</v>
      </c>
      <c r="Q485" s="9" t="inlineStr">
        <is>
          <t>Low</t>
        </is>
      </c>
      <c r="R485" s="11">
        <f>IFERROR(O485/K485,0)</f>
        <v/>
      </c>
    </row>
    <row r="486">
      <c r="A486" s="9" t="inlineStr">
        <is>
          <t>T0485</t>
        </is>
      </c>
      <c r="B486" s="9" t="inlineStr">
        <is>
          <t>Summit Insurance</t>
        </is>
      </c>
      <c r="C486" s="9" t="inlineStr">
        <is>
          <t>Financial Lines</t>
        </is>
      </c>
      <c r="D486" s="9" t="inlineStr">
        <is>
          <t>Europe</t>
        </is>
      </c>
      <c r="E486" s="9" t="inlineStr">
        <is>
          <t>Kenji Sato</t>
        </is>
      </c>
      <c r="F486" s="9" t="inlineStr">
        <is>
          <t>Facultative</t>
        </is>
      </c>
      <c r="G486" s="9" t="n">
        <v>2025</v>
      </c>
      <c r="H486" s="12" t="n">
        <v>80900000.0028</v>
      </c>
      <c r="I486" s="12" t="n">
        <v>5812171.2</v>
      </c>
      <c r="J486" s="12" t="n">
        <v>683281.0080000001</v>
      </c>
      <c r="K486" s="12" t="n">
        <v>5812171.2</v>
      </c>
      <c r="L486" s="12" t="n">
        <v>1103154.8112</v>
      </c>
      <c r="M486" s="9" t="n">
        <v>14</v>
      </c>
      <c r="N486" s="12" t="n">
        <v>1443652.1028</v>
      </c>
      <c r="O486" s="12" t="n">
        <v>3016103.4396</v>
      </c>
      <c r="P486" s="12" t="n">
        <v>80900000.0028</v>
      </c>
      <c r="Q486" s="9" t="inlineStr">
        <is>
          <t>Low</t>
        </is>
      </c>
      <c r="R486" s="11">
        <f>IFERROR(O486/K486,0)</f>
        <v/>
      </c>
    </row>
    <row r="487">
      <c r="A487" s="9" t="inlineStr">
        <is>
          <t>T0486</t>
        </is>
      </c>
      <c r="B487" s="9" t="inlineStr">
        <is>
          <t>Cobalt Indemnity</t>
        </is>
      </c>
      <c r="C487" s="9" t="inlineStr">
        <is>
          <t>Casualty</t>
        </is>
      </c>
      <c r="D487" s="9" t="inlineStr">
        <is>
          <t>North America</t>
        </is>
      </c>
      <c r="E487" s="9" t="inlineStr">
        <is>
          <t>Kenji Sato</t>
        </is>
      </c>
      <c r="F487" s="9" t="inlineStr">
        <is>
          <t>Excess of Loss</t>
        </is>
      </c>
      <c r="G487" s="9" t="n">
        <v>2024</v>
      </c>
      <c r="H487" s="12" t="n">
        <v>4700000</v>
      </c>
      <c r="I487" s="12" t="n">
        <v>811463.8800000001</v>
      </c>
      <c r="J487" s="12" t="n">
        <v>88625.16</v>
      </c>
      <c r="K487" s="12" t="n">
        <v>811463.8800000001</v>
      </c>
      <c r="L487" s="12" t="n">
        <v>60419.75999999999</v>
      </c>
      <c r="M487" s="9" t="n">
        <v>7</v>
      </c>
      <c r="N487" s="12" t="n">
        <v>841425.84</v>
      </c>
      <c r="O487" s="12" t="n">
        <v>1045064.29</v>
      </c>
      <c r="P487" s="12" t="n">
        <v>4700000</v>
      </c>
      <c r="Q487" s="9" t="inlineStr">
        <is>
          <t>Medium</t>
        </is>
      </c>
      <c r="R487" s="11">
        <f>IFERROR(O487/K487,0)</f>
        <v/>
      </c>
    </row>
    <row r="488">
      <c r="A488" s="9" t="inlineStr">
        <is>
          <t>T0487</t>
        </is>
      </c>
      <c r="B488" s="9" t="inlineStr">
        <is>
          <t>Evergreen Assurance</t>
        </is>
      </c>
      <c r="C488" s="9" t="inlineStr">
        <is>
          <t>Property</t>
        </is>
      </c>
      <c r="D488" s="9" t="inlineStr">
        <is>
          <t>North America</t>
        </is>
      </c>
      <c r="E488" s="9" t="inlineStr">
        <is>
          <t>Hannah Weber</t>
        </is>
      </c>
      <c r="F488" s="9" t="inlineStr">
        <is>
          <t>Excess of Loss</t>
        </is>
      </c>
      <c r="G488" s="9" t="n">
        <v>2025</v>
      </c>
      <c r="H488" s="12" t="n">
        <v>16900000</v>
      </c>
      <c r="I488" s="12" t="n">
        <v>1489081.32</v>
      </c>
      <c r="J488" s="12" t="n">
        <v>85909.79999999999</v>
      </c>
      <c r="K488" s="12" t="n">
        <v>1489081.32</v>
      </c>
      <c r="L488" s="12" t="n">
        <v>98522.16</v>
      </c>
      <c r="M488" s="9" t="n">
        <v>6</v>
      </c>
      <c r="N488" s="12" t="n">
        <v>1021453.03</v>
      </c>
      <c r="O488" s="12" t="n">
        <v>1333316.27</v>
      </c>
      <c r="P488" s="12" t="n">
        <v>16900000</v>
      </c>
      <c r="Q488" s="9" t="inlineStr">
        <is>
          <t>Low</t>
        </is>
      </c>
      <c r="R488" s="11">
        <f>IFERROR(O488/K488,0)</f>
        <v/>
      </c>
    </row>
    <row r="489">
      <c r="A489" s="9" t="inlineStr">
        <is>
          <t>T0488</t>
        </is>
      </c>
      <c r="B489" s="9" t="inlineStr">
        <is>
          <t>Granite Insurance</t>
        </is>
      </c>
      <c r="C489" s="9" t="inlineStr">
        <is>
          <t>Property</t>
        </is>
      </c>
      <c r="D489" s="9" t="inlineStr">
        <is>
          <t>Asia Pacific</t>
        </is>
      </c>
      <c r="E489" s="9" t="inlineStr">
        <is>
          <t>Kenji Sato</t>
        </is>
      </c>
      <c r="F489" s="9" t="inlineStr">
        <is>
          <t>Excess of Loss</t>
        </is>
      </c>
      <c r="G489" s="9" t="n">
        <v>2025</v>
      </c>
      <c r="H489" s="12" t="n">
        <v>43500000</v>
      </c>
      <c r="I489" s="12" t="n">
        <v>5495322.029999999</v>
      </c>
      <c r="J489" s="12" t="n">
        <v>420575.1</v>
      </c>
      <c r="K489" s="12" t="n">
        <v>5312144.63</v>
      </c>
      <c r="L489" s="12" t="n">
        <v>454956.7367523113</v>
      </c>
      <c r="M489" s="9" t="n">
        <v>6</v>
      </c>
      <c r="N489" s="12" t="n">
        <v>891509.5</v>
      </c>
      <c r="O489" s="12" t="n">
        <v>4413576.78</v>
      </c>
      <c r="P489" s="12" t="n">
        <v>43500000</v>
      </c>
      <c r="Q489" s="9" t="inlineStr">
        <is>
          <t>Low</t>
        </is>
      </c>
      <c r="R489" s="11">
        <f>IFERROR(O489/K489,0)</f>
        <v/>
      </c>
    </row>
    <row r="490">
      <c r="A490" s="9" t="inlineStr">
        <is>
          <t>T0489</t>
        </is>
      </c>
      <c r="B490" s="9" t="inlineStr">
        <is>
          <t>Pioneer Insurance</t>
        </is>
      </c>
      <c r="C490" s="9" t="inlineStr">
        <is>
          <t>Casualty</t>
        </is>
      </c>
      <c r="D490" s="9" t="inlineStr">
        <is>
          <t>Europe</t>
        </is>
      </c>
      <c r="E490" s="9" t="inlineStr">
        <is>
          <t>Omar Haddad</t>
        </is>
      </c>
      <c r="F490" s="9" t="inlineStr">
        <is>
          <t>Excess of Loss</t>
        </is>
      </c>
      <c r="G490" s="9" t="n">
        <v>2022</v>
      </c>
      <c r="H490" s="12" t="n">
        <v>43400000.0052</v>
      </c>
      <c r="I490" s="12" t="n">
        <v>3302583.7104</v>
      </c>
      <c r="J490" s="12" t="n">
        <v>333209.376</v>
      </c>
      <c r="K490" s="12" t="n">
        <v>3302583.7104</v>
      </c>
      <c r="L490" s="12" t="n">
        <v>230799.8448000001</v>
      </c>
      <c r="M490" s="9" t="n">
        <v>13</v>
      </c>
      <c r="N490" s="12" t="n">
        <v>1417147.002</v>
      </c>
      <c r="O490" s="12" t="n">
        <v>1488254.9364</v>
      </c>
      <c r="P490" s="12" t="n">
        <v>43400000.0052</v>
      </c>
      <c r="Q490" s="9" t="inlineStr">
        <is>
          <t>Low</t>
        </is>
      </c>
      <c r="R490" s="11">
        <f>IFERROR(O490/K490,0)</f>
        <v/>
      </c>
    </row>
    <row r="491">
      <c r="A491" s="9" t="inlineStr">
        <is>
          <t>T0490</t>
        </is>
      </c>
      <c r="B491" s="9" t="inlineStr">
        <is>
          <t>Sterling Indemnity</t>
        </is>
      </c>
      <c r="C491" s="9" t="inlineStr">
        <is>
          <t>Specialty</t>
        </is>
      </c>
      <c r="D491" s="9" t="inlineStr">
        <is>
          <t>Europe</t>
        </is>
      </c>
      <c r="E491" s="9" t="inlineStr">
        <is>
          <t>Aarav Mehta</t>
        </is>
      </c>
      <c r="F491" s="9" t="inlineStr">
        <is>
          <t>Excess of Loss</t>
        </is>
      </c>
      <c r="G491" s="9" t="n">
        <v>2025</v>
      </c>
      <c r="H491" s="12" t="n">
        <v>8499999.999600001</v>
      </c>
      <c r="I491" s="12" t="n">
        <v>791982.792</v>
      </c>
      <c r="J491" s="12" t="n">
        <v>65769.408</v>
      </c>
      <c r="K491" s="12" t="n">
        <v>755023.5936</v>
      </c>
      <c r="L491" s="12" t="n">
        <v>55095.95509491961</v>
      </c>
      <c r="M491" s="9" t="n">
        <v>6</v>
      </c>
      <c r="N491" s="12" t="n">
        <v>172043.3736</v>
      </c>
      <c r="O491" s="12" t="n">
        <v>498406.4892000001</v>
      </c>
      <c r="P491" s="12" t="n">
        <v>8499999.999600001</v>
      </c>
      <c r="Q491" s="9" t="inlineStr">
        <is>
          <t>Low</t>
        </is>
      </c>
      <c r="R491" s="11">
        <f>IFERROR(O491/K491,0)</f>
        <v/>
      </c>
    </row>
    <row r="492">
      <c r="A492" s="9" t="inlineStr">
        <is>
          <t>T0491</t>
        </is>
      </c>
      <c r="B492" s="9" t="inlineStr">
        <is>
          <t>Cobalt Insurance</t>
        </is>
      </c>
      <c r="C492" s="9" t="inlineStr">
        <is>
          <t>Specialty</t>
        </is>
      </c>
      <c r="D492" s="9" t="inlineStr">
        <is>
          <t>Middle East &amp; Africa</t>
        </is>
      </c>
      <c r="E492" s="9" t="inlineStr">
        <is>
          <t>Priya Nair</t>
        </is>
      </c>
      <c r="F492" s="9" t="inlineStr">
        <is>
          <t>Excess of Loss</t>
        </is>
      </c>
      <c r="G492" s="9" t="n">
        <v>2024</v>
      </c>
      <c r="H492" s="12" t="n">
        <v>10900000</v>
      </c>
      <c r="I492" s="12" t="n">
        <v>1326996.36</v>
      </c>
      <c r="J492" s="12" t="n">
        <v>71143.68000000001</v>
      </c>
      <c r="K492" s="12" t="n">
        <v>1326996.36</v>
      </c>
      <c r="L492" s="12" t="n">
        <v>117754.8</v>
      </c>
      <c r="M492" s="9" t="n">
        <v>9</v>
      </c>
      <c r="N492" s="12" t="n">
        <v>883798.1799999999</v>
      </c>
      <c r="O492" s="12" t="n">
        <v>883798.1799999999</v>
      </c>
      <c r="P492" s="12" t="n">
        <v>10900000</v>
      </c>
      <c r="Q492" s="9" t="inlineStr">
        <is>
          <t>Low</t>
        </is>
      </c>
      <c r="R492" s="11">
        <f>IFERROR(O492/K492,0)</f>
        <v/>
      </c>
    </row>
    <row r="493">
      <c r="A493" s="9" t="inlineStr">
        <is>
          <t>T0492</t>
        </is>
      </c>
      <c r="B493" s="9" t="inlineStr">
        <is>
          <t>Sterling Assurance</t>
        </is>
      </c>
      <c r="C493" s="9" t="inlineStr">
        <is>
          <t>Professional</t>
        </is>
      </c>
      <c r="D493" s="9" t="inlineStr">
        <is>
          <t>Latin America</t>
        </is>
      </c>
      <c r="E493" s="9" t="inlineStr">
        <is>
          <t>Omar Haddad</t>
        </is>
      </c>
      <c r="F493" s="9" t="inlineStr">
        <is>
          <t>Proportional</t>
        </is>
      </c>
      <c r="G493" s="9" t="n">
        <v>2022</v>
      </c>
      <c r="H493" s="12" t="n">
        <v>20400000</v>
      </c>
      <c r="I493" s="12" t="n">
        <v>2673665.04</v>
      </c>
      <c r="J493" s="12" t="n">
        <v>274632.6</v>
      </c>
      <c r="K493" s="12" t="n">
        <v>2673665.04</v>
      </c>
      <c r="L493" s="12" t="n">
        <v>711949.2</v>
      </c>
      <c r="M493" s="9" t="n">
        <v>9</v>
      </c>
      <c r="N493" s="12" t="n">
        <v>864698.4299999999</v>
      </c>
      <c r="O493" s="12" t="n">
        <v>940321.2</v>
      </c>
      <c r="P493" s="12" t="n">
        <v>6120000</v>
      </c>
      <c r="Q493" s="9" t="inlineStr">
        <is>
          <t>Low</t>
        </is>
      </c>
      <c r="R493" s="11">
        <f>IFERROR(O493/K493,0)</f>
        <v/>
      </c>
    </row>
    <row r="494">
      <c r="A494" s="9" t="inlineStr">
        <is>
          <t>T0493</t>
        </is>
      </c>
      <c r="B494" s="9" t="inlineStr">
        <is>
          <t>Evergreen Indemnity</t>
        </is>
      </c>
      <c r="C494" s="9" t="inlineStr">
        <is>
          <t>Financial Lines</t>
        </is>
      </c>
      <c r="D494" s="9" t="inlineStr">
        <is>
          <t>North America</t>
        </is>
      </c>
      <c r="E494" s="9" t="inlineStr">
        <is>
          <t>Aarav Mehta</t>
        </is>
      </c>
      <c r="F494" s="9" t="inlineStr">
        <is>
          <t>Proportional</t>
        </is>
      </c>
      <c r="G494" s="9" t="n">
        <v>2022</v>
      </c>
      <c r="H494" s="12" t="n">
        <v>18600000</v>
      </c>
      <c r="I494" s="12" t="n">
        <v>2992825.2</v>
      </c>
      <c r="J494" s="12" t="n">
        <v>315814.56</v>
      </c>
      <c r="K494" s="12" t="n">
        <v>2992825.2</v>
      </c>
      <c r="L494" s="12" t="n">
        <v>845778.6000000001</v>
      </c>
      <c r="M494" s="9" t="n">
        <v>7</v>
      </c>
      <c r="N494" s="12" t="n">
        <v>590396.67</v>
      </c>
      <c r="O494" s="12" t="n">
        <v>612199.61</v>
      </c>
      <c r="P494" s="12" t="n">
        <v>1860000</v>
      </c>
      <c r="Q494" s="9" t="inlineStr">
        <is>
          <t>Low</t>
        </is>
      </c>
      <c r="R494" s="11">
        <f>IFERROR(O494/K494,0)</f>
        <v/>
      </c>
    </row>
    <row r="495">
      <c r="A495" s="9" t="inlineStr">
        <is>
          <t>T0494</t>
        </is>
      </c>
      <c r="B495" s="9" t="inlineStr">
        <is>
          <t>Sterling Mutual</t>
        </is>
      </c>
      <c r="C495" s="9" t="inlineStr">
        <is>
          <t>Specialty</t>
        </is>
      </c>
      <c r="D495" s="9" t="inlineStr">
        <is>
          <t>Europe</t>
        </is>
      </c>
      <c r="E495" s="9" t="inlineStr">
        <is>
          <t>Aarav Mehta</t>
        </is>
      </c>
      <c r="F495" s="9" t="inlineStr">
        <is>
          <t>Proportional</t>
        </is>
      </c>
      <c r="G495" s="9" t="n">
        <v>2025</v>
      </c>
      <c r="H495" s="12" t="n">
        <v>8699999.999</v>
      </c>
      <c r="I495" s="12" t="n">
        <v>980900.3496000001</v>
      </c>
      <c r="J495" s="12" t="n">
        <v>93613.986</v>
      </c>
      <c r="K495" s="12" t="n">
        <v>970001.4636</v>
      </c>
      <c r="L495" s="12" t="n">
        <v>232284.4883686645</v>
      </c>
      <c r="M495" s="9" t="n">
        <v>8</v>
      </c>
      <c r="N495" s="12" t="n">
        <v>102384.9362</v>
      </c>
      <c r="O495" s="12" t="n">
        <v>258624.0192</v>
      </c>
      <c r="P495" s="12" t="n">
        <v>869999.9999000001</v>
      </c>
      <c r="Q495" s="9" t="inlineStr">
        <is>
          <t>Low</t>
        </is>
      </c>
      <c r="R495" s="11">
        <f>IFERROR(O495/K495,0)</f>
        <v/>
      </c>
    </row>
    <row r="496">
      <c r="A496" s="9" t="inlineStr">
        <is>
          <t>T0495</t>
        </is>
      </c>
      <c r="B496" s="9" t="inlineStr">
        <is>
          <t>Vantage Mutual</t>
        </is>
      </c>
      <c r="C496" s="9" t="inlineStr">
        <is>
          <t>Property</t>
        </is>
      </c>
      <c r="D496" s="9" t="inlineStr">
        <is>
          <t>Asia Pacific</t>
        </is>
      </c>
      <c r="E496" s="9" t="inlineStr">
        <is>
          <t>Priya Nair</t>
        </is>
      </c>
      <c r="F496" s="9" t="inlineStr">
        <is>
          <t>Excess of Loss</t>
        </is>
      </c>
      <c r="G496" s="9" t="n">
        <v>2025</v>
      </c>
      <c r="H496" s="12" t="n">
        <v>21200000.00004</v>
      </c>
      <c r="I496" s="12" t="n">
        <v>3295890.67968</v>
      </c>
      <c r="J496" s="12" t="n">
        <v>243522.54</v>
      </c>
      <c r="K496" s="12" t="n">
        <v>3295890.67968</v>
      </c>
      <c r="L496" s="12" t="n">
        <v>367366.72896</v>
      </c>
      <c r="M496" s="9" t="n">
        <v>17</v>
      </c>
      <c r="N496" s="12" t="n">
        <v>1446575.42916</v>
      </c>
      <c r="O496" s="12" t="n">
        <v>1923645.40476</v>
      </c>
      <c r="P496" s="12" t="n">
        <v>21200000.00004</v>
      </c>
      <c r="Q496" s="9" t="inlineStr">
        <is>
          <t>Low</t>
        </is>
      </c>
      <c r="R496" s="11">
        <f>IFERROR(O496/K496,0)</f>
        <v/>
      </c>
    </row>
    <row r="497">
      <c r="A497" s="9" t="inlineStr">
        <is>
          <t>T0496</t>
        </is>
      </c>
      <c r="B497" s="9" t="inlineStr">
        <is>
          <t>Crown Insurance</t>
        </is>
      </c>
      <c r="C497" s="9" t="inlineStr">
        <is>
          <t>Specialty</t>
        </is>
      </c>
      <c r="D497" s="9" t="inlineStr">
        <is>
          <t>Asia Pacific</t>
        </is>
      </c>
      <c r="E497" s="9" t="inlineStr">
        <is>
          <t>James Whitfield</t>
        </is>
      </c>
      <c r="F497" s="9" t="inlineStr">
        <is>
          <t>Proportional</t>
        </is>
      </c>
      <c r="G497" s="9" t="n">
        <v>2025</v>
      </c>
      <c r="H497" s="12" t="n">
        <v>12500000</v>
      </c>
      <c r="I497" s="12" t="n">
        <v>1462713.96</v>
      </c>
      <c r="J497" s="12" t="n">
        <v>166992.48</v>
      </c>
      <c r="K497" s="12" t="n">
        <v>1462713.96</v>
      </c>
      <c r="L497" s="12" t="n">
        <v>390062.88</v>
      </c>
      <c r="M497" s="9" t="n">
        <v>7</v>
      </c>
      <c r="N497" s="12" t="n">
        <v>198562.52</v>
      </c>
      <c r="O497" s="12" t="n">
        <v>387956.94</v>
      </c>
      <c r="P497" s="12" t="n">
        <v>1250000</v>
      </c>
      <c r="Q497" s="9" t="inlineStr">
        <is>
          <t>Low</t>
        </is>
      </c>
      <c r="R497" s="11">
        <f>IFERROR(O497/K497,0)</f>
        <v/>
      </c>
    </row>
    <row r="498">
      <c r="A498" s="9" t="inlineStr">
        <is>
          <t>T0497</t>
        </is>
      </c>
      <c r="B498" s="9" t="inlineStr">
        <is>
          <t>Atlas General</t>
        </is>
      </c>
      <c r="C498" s="9" t="inlineStr">
        <is>
          <t>Casualty</t>
        </is>
      </c>
      <c r="D498" s="9" t="inlineStr">
        <is>
          <t>Asia Pacific</t>
        </is>
      </c>
      <c r="E498" s="9" t="inlineStr">
        <is>
          <t>Kenji Sato</t>
        </is>
      </c>
      <c r="F498" s="9" t="inlineStr">
        <is>
          <t>Excess of Loss</t>
        </is>
      </c>
      <c r="G498" s="9" t="n">
        <v>2024</v>
      </c>
      <c r="H498" s="12" t="n">
        <v>26800000</v>
      </c>
      <c r="I498" s="12" t="n">
        <v>2634091.08</v>
      </c>
      <c r="J498" s="12" t="n">
        <v>159938.4</v>
      </c>
      <c r="K498" s="12" t="n">
        <v>2634091.08</v>
      </c>
      <c r="L498" s="12" t="n">
        <v>286216.56</v>
      </c>
      <c r="M498" s="9" t="n">
        <v>9</v>
      </c>
      <c r="N498" s="12" t="n">
        <v>1659916.6</v>
      </c>
      <c r="O498" s="12" t="n">
        <v>1659916.6</v>
      </c>
      <c r="P498" s="12" t="n">
        <v>26800000</v>
      </c>
      <c r="Q498" s="9" t="inlineStr">
        <is>
          <t>Low</t>
        </is>
      </c>
      <c r="R498" s="11">
        <f>IFERROR(O498/K498,0)</f>
        <v/>
      </c>
    </row>
    <row r="499">
      <c r="A499" s="9" t="inlineStr">
        <is>
          <t>T0498</t>
        </is>
      </c>
      <c r="B499" s="9" t="inlineStr">
        <is>
          <t>Evergreen General</t>
        </is>
      </c>
      <c r="C499" s="9" t="inlineStr">
        <is>
          <t>Casualty</t>
        </is>
      </c>
      <c r="D499" s="9" t="inlineStr">
        <is>
          <t>North America</t>
        </is>
      </c>
      <c r="E499" s="9" t="inlineStr">
        <is>
          <t>James Whitfield</t>
        </is>
      </c>
      <c r="F499" s="9" t="inlineStr">
        <is>
          <t>Proportional</t>
        </is>
      </c>
      <c r="G499" s="9" t="n">
        <v>2024</v>
      </c>
      <c r="H499" s="12" t="n">
        <v>14000000</v>
      </c>
      <c r="I499" s="12" t="n">
        <v>1491197.28</v>
      </c>
      <c r="J499" s="12" t="n">
        <v>150112.8</v>
      </c>
      <c r="K499" s="12" t="n">
        <v>1491197.28</v>
      </c>
      <c r="L499" s="12" t="n">
        <v>368855.04</v>
      </c>
      <c r="M499" s="9" t="n">
        <v>10</v>
      </c>
      <c r="N499" s="12" t="n">
        <v>844041.46</v>
      </c>
      <c r="O499" s="12" t="n">
        <v>844041.46</v>
      </c>
      <c r="P499" s="12" t="n">
        <v>1400000</v>
      </c>
      <c r="Q499" s="9" t="inlineStr">
        <is>
          <t>Low</t>
        </is>
      </c>
      <c r="R499" s="11">
        <f>IFERROR(O499/K499,0)</f>
        <v/>
      </c>
    </row>
    <row r="500">
      <c r="A500" s="9" t="inlineStr">
        <is>
          <t>T0499</t>
        </is>
      </c>
      <c r="B500" s="9" t="inlineStr">
        <is>
          <t>Sterling Indemnity</t>
        </is>
      </c>
      <c r="C500" s="9" t="inlineStr">
        <is>
          <t>Professional</t>
        </is>
      </c>
      <c r="D500" s="9" t="inlineStr">
        <is>
          <t>Europe</t>
        </is>
      </c>
      <c r="E500" s="9" t="inlineStr">
        <is>
          <t>Kenji Sato</t>
        </is>
      </c>
      <c r="F500" s="9" t="inlineStr">
        <is>
          <t>Proportional</t>
        </is>
      </c>
      <c r="G500" s="9" t="n">
        <v>2022</v>
      </c>
      <c r="H500" s="12" t="n">
        <v>7600000.0032</v>
      </c>
      <c r="I500" s="12" t="n">
        <v>760786.0848000001</v>
      </c>
      <c r="J500" s="12" t="n">
        <v>59422.24800000001</v>
      </c>
      <c r="K500" s="12" t="n">
        <v>760786.0848000001</v>
      </c>
      <c r="L500" s="12" t="n">
        <v>232443.8208</v>
      </c>
      <c r="M500" s="9" t="n">
        <v>8</v>
      </c>
      <c r="N500" s="12" t="n">
        <v>291139.3908</v>
      </c>
      <c r="O500" s="12" t="n">
        <v>309502.242</v>
      </c>
      <c r="P500" s="12" t="n">
        <v>3039999.9948</v>
      </c>
      <c r="Q500" s="9" t="inlineStr">
        <is>
          <t>Low</t>
        </is>
      </c>
      <c r="R500" s="11">
        <f>IFERROR(O500/K500,0)</f>
        <v/>
      </c>
    </row>
    <row r="501">
      <c r="A501" s="9" t="inlineStr">
        <is>
          <t>T0500</t>
        </is>
      </c>
      <c r="B501" s="9" t="inlineStr">
        <is>
          <t>Northwind Indemnity</t>
        </is>
      </c>
      <c r="C501" s="9" t="inlineStr">
        <is>
          <t>Financial Lines</t>
        </is>
      </c>
      <c r="D501" s="9" t="inlineStr">
        <is>
          <t>Unassigned</t>
        </is>
      </c>
      <c r="E501" s="9" t="inlineStr">
        <is>
          <t>Kenji Sato</t>
        </is>
      </c>
      <c r="F501" s="9" t="inlineStr">
        <is>
          <t>Proportional</t>
        </is>
      </c>
      <c r="G501" s="9" t="n">
        <v>2024</v>
      </c>
      <c r="H501" s="12" t="n">
        <v>34800000</v>
      </c>
      <c r="I501" s="12" t="n">
        <v>3953983.68</v>
      </c>
      <c r="J501" s="12" t="n">
        <v>438081.48</v>
      </c>
      <c r="K501" s="12" t="n">
        <v>3953983.68</v>
      </c>
      <c r="L501" s="12" t="n">
        <v>967465.7999999999</v>
      </c>
      <c r="M501" s="9" t="n">
        <v>12</v>
      </c>
      <c r="N501" s="12" t="n">
        <v>1505950.17</v>
      </c>
      <c r="O501" s="12" t="n">
        <v>1982131.42</v>
      </c>
      <c r="P501" s="12" t="n">
        <v>17400000</v>
      </c>
      <c r="Q501" s="9" t="inlineStr">
        <is>
          <t>Low</t>
        </is>
      </c>
      <c r="R501" s="11">
        <f>IFERROR(O501/K501,0)</f>
        <v/>
      </c>
    </row>
    <row r="502">
      <c r="A502" s="9" t="inlineStr">
        <is>
          <t>T0501</t>
        </is>
      </c>
      <c r="B502" s="9" t="inlineStr">
        <is>
          <t>Cobalt General</t>
        </is>
      </c>
      <c r="C502" s="9" t="inlineStr">
        <is>
          <t>Financial Lines</t>
        </is>
      </c>
      <c r="D502" s="9" t="inlineStr">
        <is>
          <t>North America</t>
        </is>
      </c>
      <c r="E502" s="9" t="inlineStr">
        <is>
          <t>James Whitfield</t>
        </is>
      </c>
      <c r="F502" s="9" t="inlineStr">
        <is>
          <t>Proportional</t>
        </is>
      </c>
      <c r="G502" s="9" t="n">
        <v>2025</v>
      </c>
      <c r="H502" s="12" t="n">
        <v>12700000</v>
      </c>
      <c r="I502" s="12" t="n">
        <v>836866.0299999999</v>
      </c>
      <c r="J502" s="12" t="n">
        <v>42560.65</v>
      </c>
      <c r="K502" s="12" t="n">
        <v>768395.1699999999</v>
      </c>
      <c r="L502" s="12" t="n">
        <v>189102.5012616983</v>
      </c>
      <c r="M502" s="9" t="n">
        <v>9</v>
      </c>
      <c r="N502" s="12" t="n">
        <v>32149.59</v>
      </c>
      <c r="O502" s="12" t="n">
        <v>160766.51</v>
      </c>
      <c r="P502" s="12" t="n">
        <v>1905000</v>
      </c>
      <c r="Q502" s="9" t="inlineStr">
        <is>
          <t>Low</t>
        </is>
      </c>
      <c r="R502" s="11">
        <f>IFERROR(O502/K502,0)</f>
        <v/>
      </c>
    </row>
    <row r="503">
      <c r="A503" s="9" t="inlineStr">
        <is>
          <t>T0502</t>
        </is>
      </c>
      <c r="B503" s="9" t="inlineStr">
        <is>
          <t>Northwind General</t>
        </is>
      </c>
      <c r="C503" s="9" t="inlineStr">
        <is>
          <t>Casualty</t>
        </is>
      </c>
      <c r="D503" s="9" t="inlineStr">
        <is>
          <t>Asia Pacific</t>
        </is>
      </c>
      <c r="E503" s="9" t="inlineStr">
        <is>
          <t>Omar Haddad</t>
        </is>
      </c>
      <c r="F503" s="9" t="inlineStr">
        <is>
          <t>Facultative</t>
        </is>
      </c>
      <c r="G503" s="9" t="n">
        <v>2023</v>
      </c>
      <c r="H503" s="12" t="n">
        <v>2300000.00004</v>
      </c>
      <c r="I503" s="12" t="n">
        <v>294089.34816</v>
      </c>
      <c r="J503" s="12" t="n">
        <v>15664.752</v>
      </c>
      <c r="K503" s="12" t="n">
        <v>294089.34816</v>
      </c>
      <c r="L503" s="12" t="n">
        <v>57016.02096000001</v>
      </c>
      <c r="M503" s="9" t="n">
        <v>11</v>
      </c>
      <c r="N503" s="12" t="n">
        <v>114417.2574</v>
      </c>
      <c r="O503" s="12" t="n">
        <v>116833.68792</v>
      </c>
      <c r="P503" s="12" t="n">
        <v>2300000.00004</v>
      </c>
      <c r="Q503" s="9" t="inlineStr">
        <is>
          <t>Low</t>
        </is>
      </c>
      <c r="R503" s="11">
        <f>IFERROR(O503/K503,0)</f>
        <v/>
      </c>
    </row>
    <row r="504">
      <c r="A504" s="9" t="inlineStr">
        <is>
          <t>T0503</t>
        </is>
      </c>
      <c r="B504" s="9" t="inlineStr">
        <is>
          <t>Granite Insurance</t>
        </is>
      </c>
      <c r="C504" s="9" t="inlineStr">
        <is>
          <t>Specialty</t>
        </is>
      </c>
      <c r="D504" s="9" t="inlineStr">
        <is>
          <t>Asia Pacific</t>
        </is>
      </c>
      <c r="E504" s="9" t="inlineStr">
        <is>
          <t>Kenji Sato</t>
        </is>
      </c>
      <c r="F504" s="9" t="inlineStr">
        <is>
          <t>Proportional</t>
        </is>
      </c>
      <c r="G504" s="9" t="n">
        <v>2025</v>
      </c>
      <c r="H504" s="12" t="n">
        <v>7300000</v>
      </c>
      <c r="I504" s="12" t="n">
        <v>955482</v>
      </c>
      <c r="J504" s="12" t="n">
        <v>68104.10000000001</v>
      </c>
      <c r="K504" s="12" t="n">
        <v>923632.6</v>
      </c>
      <c r="L504" s="12" t="n">
        <v>246558.6766666667</v>
      </c>
      <c r="M504" s="9" t="n">
        <v>11</v>
      </c>
      <c r="N504" s="12" t="n">
        <v>151581.92</v>
      </c>
      <c r="O504" s="12" t="n">
        <v>463957.21</v>
      </c>
      <c r="P504" s="12" t="n">
        <v>1095000</v>
      </c>
      <c r="Q504" s="9" t="inlineStr">
        <is>
          <t>Low</t>
        </is>
      </c>
      <c r="R504" s="11">
        <f>IFERROR(O504/K504,0)</f>
        <v/>
      </c>
    </row>
    <row r="505">
      <c r="A505" s="9" t="inlineStr">
        <is>
          <t>T0504</t>
        </is>
      </c>
      <c r="B505" s="9" t="inlineStr">
        <is>
          <t>Evergreen Assurance</t>
        </is>
      </c>
      <c r="C505" s="9" t="inlineStr">
        <is>
          <t>Casualty</t>
        </is>
      </c>
      <c r="D505" s="9" t="inlineStr">
        <is>
          <t>North America</t>
        </is>
      </c>
      <c r="E505" s="9" t="inlineStr">
        <is>
          <t>Sophie Laurent</t>
        </is>
      </c>
      <c r="F505" s="9" t="inlineStr">
        <is>
          <t>Facultative</t>
        </is>
      </c>
      <c r="G505" s="9" t="n">
        <v>2021</v>
      </c>
      <c r="H505" s="12" t="n">
        <v>27000000</v>
      </c>
      <c r="I505" s="12" t="n">
        <v>3493004.76</v>
      </c>
      <c r="J505" s="12" t="n">
        <v>417298.2</v>
      </c>
      <c r="K505" s="12" t="n">
        <v>3493004.76</v>
      </c>
      <c r="L505" s="12" t="n">
        <v>613532.64</v>
      </c>
      <c r="M505" s="9" t="n">
        <v>8</v>
      </c>
      <c r="N505" s="12" t="n">
        <v>1941575.58</v>
      </c>
      <c r="O505" s="12" t="n">
        <v>2027525.91</v>
      </c>
      <c r="P505" s="12" t="n">
        <v>27000000</v>
      </c>
      <c r="Q505" s="9" t="inlineStr">
        <is>
          <t>Low</t>
        </is>
      </c>
      <c r="R505" s="11">
        <f>IFERROR(O505/K505,0)</f>
        <v/>
      </c>
    </row>
    <row r="506">
      <c r="A506" s="9" t="inlineStr">
        <is>
          <t>T0505</t>
        </is>
      </c>
      <c r="B506" s="9" t="inlineStr">
        <is>
          <t>Evergreen General</t>
        </is>
      </c>
      <c r="C506" s="9" t="inlineStr">
        <is>
          <t>Property</t>
        </is>
      </c>
      <c r="D506" s="9" t="inlineStr">
        <is>
          <t>North America</t>
        </is>
      </c>
      <c r="E506" s="9" t="inlineStr">
        <is>
          <t>Sophie Laurent</t>
        </is>
      </c>
      <c r="F506" s="9" t="inlineStr">
        <is>
          <t>Excess of Loss</t>
        </is>
      </c>
      <c r="G506" s="9" t="n">
        <v>2023</v>
      </c>
      <c r="H506" s="12" t="n">
        <v>81100000</v>
      </c>
      <c r="I506" s="12" t="n">
        <v>8489133.600000001</v>
      </c>
      <c r="J506" s="12" t="n">
        <v>732267.72</v>
      </c>
      <c r="K506" s="12" t="n">
        <v>8489133.600000001</v>
      </c>
      <c r="L506" s="12" t="n">
        <v>571044.72</v>
      </c>
      <c r="M506" s="9" t="n">
        <v>8</v>
      </c>
      <c r="N506" s="12" t="n">
        <v>5006690.91</v>
      </c>
      <c r="O506" s="12" t="n">
        <v>5326437.22</v>
      </c>
      <c r="P506" s="12" t="n">
        <v>81100000</v>
      </c>
      <c r="Q506" s="9" t="inlineStr">
        <is>
          <t>Low</t>
        </is>
      </c>
      <c r="R506" s="11">
        <f>IFERROR(O506/K506,0)</f>
        <v/>
      </c>
    </row>
    <row r="507">
      <c r="A507" s="9" t="inlineStr">
        <is>
          <t>T0506</t>
        </is>
      </c>
      <c r="B507" s="9" t="inlineStr">
        <is>
          <t>Pioneer General</t>
        </is>
      </c>
      <c r="C507" s="9" t="inlineStr">
        <is>
          <t>Professional</t>
        </is>
      </c>
      <c r="D507" s="9" t="inlineStr">
        <is>
          <t>Europe</t>
        </is>
      </c>
      <c r="E507" s="9" t="inlineStr">
        <is>
          <t>Sophie Laurent</t>
        </is>
      </c>
      <c r="F507" s="9" t="inlineStr">
        <is>
          <t>Proportional</t>
        </is>
      </c>
      <c r="G507" s="9" t="n">
        <v>2021</v>
      </c>
      <c r="H507" s="12" t="n">
        <v>6599999.998800001</v>
      </c>
      <c r="I507" s="12" t="n">
        <v>517392.1008000001</v>
      </c>
      <c r="J507" s="12" t="n">
        <v>56801.3472</v>
      </c>
      <c r="K507" s="12" t="n">
        <v>517392.1008000001</v>
      </c>
      <c r="L507" s="12" t="n">
        <v>126258.3936</v>
      </c>
      <c r="M507" s="9" t="n">
        <v>13</v>
      </c>
      <c r="N507" s="12" t="n">
        <v>306156.834</v>
      </c>
      <c r="O507" s="12" t="n">
        <v>317808.36</v>
      </c>
      <c r="P507" s="12" t="n">
        <v>1650000.0024</v>
      </c>
      <c r="Q507" s="9" t="inlineStr">
        <is>
          <t>Low</t>
        </is>
      </c>
      <c r="R507" s="11">
        <f>IFERROR(O507/K507,0)</f>
        <v/>
      </c>
    </row>
    <row r="508">
      <c r="A508" s="9" t="inlineStr">
        <is>
          <t>T0507</t>
        </is>
      </c>
      <c r="B508" s="9" t="inlineStr">
        <is>
          <t>Crown Mutual</t>
        </is>
      </c>
      <c r="C508" s="9" t="inlineStr">
        <is>
          <t>Financial Lines</t>
        </is>
      </c>
      <c r="D508" s="9" t="inlineStr">
        <is>
          <t>North America</t>
        </is>
      </c>
      <c r="E508" s="9" t="inlineStr">
        <is>
          <t>Aarav Mehta</t>
        </is>
      </c>
      <c r="F508" s="9" t="inlineStr">
        <is>
          <t>Proportional</t>
        </is>
      </c>
      <c r="G508" s="9" t="n">
        <v>2022</v>
      </c>
      <c r="H508" s="12" t="n">
        <v>15200000</v>
      </c>
      <c r="I508" s="12" t="n">
        <v>1128882.12</v>
      </c>
      <c r="J508" s="12" t="n">
        <v>105167.16</v>
      </c>
      <c r="K508" s="12" t="n">
        <v>1128882.12</v>
      </c>
      <c r="L508" s="12" t="n">
        <v>297819.24</v>
      </c>
      <c r="M508" s="9" t="n">
        <v>10</v>
      </c>
      <c r="N508" s="12" t="n">
        <v>478400.3</v>
      </c>
      <c r="O508" s="12" t="n">
        <v>490073.85</v>
      </c>
      <c r="P508" s="12" t="n">
        <v>1520000</v>
      </c>
      <c r="Q508" s="9" t="inlineStr">
        <is>
          <t>Low</t>
        </is>
      </c>
      <c r="R508" s="11">
        <f>IFERROR(O508/K508,0)</f>
        <v/>
      </c>
    </row>
    <row r="509">
      <c r="A509" s="9" t="inlineStr">
        <is>
          <t>T0508</t>
        </is>
      </c>
      <c r="B509" s="9" t="inlineStr">
        <is>
          <t>Lumen General</t>
        </is>
      </c>
      <c r="C509" s="9" t="inlineStr">
        <is>
          <t>Unmapped</t>
        </is>
      </c>
      <c r="D509" s="9" t="inlineStr">
        <is>
          <t>North America</t>
        </is>
      </c>
      <c r="E509" s="9" t="inlineStr">
        <is>
          <t>Hannah Weber</t>
        </is>
      </c>
      <c r="F509" s="9" t="inlineStr">
        <is>
          <t>Excess of Loss</t>
        </is>
      </c>
      <c r="G509" s="9" t="n">
        <v>2024</v>
      </c>
      <c r="H509" s="12" t="n">
        <v>5700000</v>
      </c>
      <c r="I509" s="12" t="n">
        <v>535875.24</v>
      </c>
      <c r="J509" s="12" t="n">
        <v>57580.56</v>
      </c>
      <c r="K509" s="12" t="n">
        <v>535875.24</v>
      </c>
      <c r="L509" s="12" t="n">
        <v>63138.84</v>
      </c>
      <c r="M509" s="9" t="n">
        <v>7</v>
      </c>
      <c r="N509" s="12" t="n">
        <v>352290.01</v>
      </c>
      <c r="O509" s="12" t="n">
        <v>410230.6</v>
      </c>
      <c r="P509" s="12" t="n">
        <v>5700000</v>
      </c>
      <c r="Q509" s="9" t="inlineStr">
        <is>
          <t>Low</t>
        </is>
      </c>
      <c r="R509" s="11">
        <f>IFERROR(O509/K509,0)</f>
        <v/>
      </c>
    </row>
    <row r="510">
      <c r="A510" s="9" t="inlineStr">
        <is>
          <t>T0509</t>
        </is>
      </c>
      <c r="B510" s="9" t="inlineStr">
        <is>
          <t>Atlas General</t>
        </is>
      </c>
      <c r="C510" s="9" t="inlineStr">
        <is>
          <t>Professional</t>
        </is>
      </c>
      <c r="D510" s="9" t="inlineStr">
        <is>
          <t>Asia Pacific</t>
        </is>
      </c>
      <c r="E510" s="9" t="inlineStr">
        <is>
          <t>Priya Nair</t>
        </is>
      </c>
      <c r="F510" s="9" t="inlineStr">
        <is>
          <t>Proportional</t>
        </is>
      </c>
      <c r="G510" s="9" t="n">
        <v>2022</v>
      </c>
      <c r="H510" s="12" t="n">
        <v>17700000</v>
      </c>
      <c r="I510" s="12" t="n">
        <v>1291012.2</v>
      </c>
      <c r="J510" s="12" t="n">
        <v>137150.04</v>
      </c>
      <c r="K510" s="12" t="n">
        <v>1291012.2</v>
      </c>
      <c r="L510" s="12" t="n">
        <v>395546.64</v>
      </c>
      <c r="M510" s="9" t="n">
        <v>8</v>
      </c>
      <c r="N510" s="12" t="n">
        <v>515146.39</v>
      </c>
      <c r="O510" s="12" t="n">
        <v>535838.98</v>
      </c>
      <c r="P510" s="12" t="n">
        <v>4425000</v>
      </c>
      <c r="Q510" s="9" t="inlineStr">
        <is>
          <t>Low</t>
        </is>
      </c>
      <c r="R510" s="11">
        <f>IFERROR(O510/K510,0)</f>
        <v/>
      </c>
    </row>
    <row r="511">
      <c r="A511" s="9" t="inlineStr">
        <is>
          <t>T0510</t>
        </is>
      </c>
      <c r="B511" s="9" t="inlineStr">
        <is>
          <t>Meridian General</t>
        </is>
      </c>
      <c r="C511" s="9" t="inlineStr">
        <is>
          <t>Casualty</t>
        </is>
      </c>
      <c r="D511" s="9" t="inlineStr">
        <is>
          <t>North America</t>
        </is>
      </c>
      <c r="E511" s="9" t="inlineStr">
        <is>
          <t>Priya Nair</t>
        </is>
      </c>
      <c r="F511" s="9" t="inlineStr">
        <is>
          <t>Proportional</t>
        </is>
      </c>
      <c r="G511" s="9" t="n">
        <v>2022</v>
      </c>
      <c r="H511" s="12" t="n">
        <v>5800000</v>
      </c>
      <c r="I511" s="12" t="n">
        <v>1120197.36</v>
      </c>
      <c r="J511" s="12" t="n">
        <v>64290.72</v>
      </c>
      <c r="K511" s="12" t="n">
        <v>1120197.36</v>
      </c>
      <c r="L511" s="12" t="n">
        <v>259257.96</v>
      </c>
      <c r="M511" s="9" t="n">
        <v>6</v>
      </c>
      <c r="N511" s="12" t="n">
        <v>518254.7</v>
      </c>
      <c r="O511" s="12" t="n">
        <v>835380.1899999999</v>
      </c>
      <c r="P511" s="12" t="n">
        <v>580000</v>
      </c>
      <c r="Q511" s="9" t="inlineStr">
        <is>
          <t>Low</t>
        </is>
      </c>
      <c r="R511" s="11">
        <f>IFERROR(O511/K511,0)</f>
        <v/>
      </c>
    </row>
    <row r="512">
      <c r="A512" s="9" t="inlineStr">
        <is>
          <t>T0511</t>
        </is>
      </c>
      <c r="B512" s="9" t="inlineStr">
        <is>
          <t>Orion Insurance</t>
        </is>
      </c>
      <c r="C512" s="9" t="inlineStr">
        <is>
          <t>Property</t>
        </is>
      </c>
      <c r="D512" s="9" t="inlineStr">
        <is>
          <t>Asia Pacific</t>
        </is>
      </c>
      <c r="E512" s="9" t="inlineStr">
        <is>
          <t>Sophie Laurent</t>
        </is>
      </c>
      <c r="F512" s="9" t="inlineStr">
        <is>
          <t>Proportional</t>
        </is>
      </c>
      <c r="G512" s="9" t="n">
        <v>2021</v>
      </c>
      <c r="H512" s="12" t="n">
        <v>38500000</v>
      </c>
      <c r="I512" s="12" t="n">
        <v>4013920.68</v>
      </c>
      <c r="J512" s="12" t="n">
        <v>269502.96</v>
      </c>
      <c r="K512" s="12" t="n">
        <v>4013920.68</v>
      </c>
      <c r="L512" s="12" t="n">
        <v>927864.36</v>
      </c>
      <c r="M512" s="9" t="n">
        <v>11</v>
      </c>
      <c r="N512" s="12" t="n">
        <v>2185988.29</v>
      </c>
      <c r="O512" s="12" t="n">
        <v>2226430.93</v>
      </c>
      <c r="P512" s="12" t="n">
        <v>3850000</v>
      </c>
      <c r="Q512" s="9" t="inlineStr">
        <is>
          <t>Low</t>
        </is>
      </c>
      <c r="R512" s="11">
        <f>IFERROR(O512/K512,0)</f>
        <v/>
      </c>
    </row>
    <row r="513">
      <c r="A513" s="9" t="inlineStr">
        <is>
          <t>T0512</t>
        </is>
      </c>
      <c r="B513" s="9" t="inlineStr">
        <is>
          <t>Pioneer General</t>
        </is>
      </c>
      <c r="C513" s="9" t="inlineStr">
        <is>
          <t>Professional</t>
        </is>
      </c>
      <c r="D513" s="9" t="inlineStr">
        <is>
          <t>Europe</t>
        </is>
      </c>
      <c r="E513" s="9" t="inlineStr">
        <is>
          <t>Unassigned</t>
        </is>
      </c>
      <c r="F513" s="9" t="inlineStr">
        <is>
          <t>Excess of Loss</t>
        </is>
      </c>
      <c r="G513" s="9" t="n">
        <v>2022</v>
      </c>
      <c r="H513" s="12" t="n">
        <v>6999999.998400001</v>
      </c>
      <c r="I513" s="12" t="n">
        <v>1374403.8528</v>
      </c>
      <c r="J513" s="12" t="n">
        <v>133877.7072</v>
      </c>
      <c r="K513" s="12" t="n">
        <v>1374403.8528</v>
      </c>
      <c r="L513" s="12" t="n">
        <v>124811.0208</v>
      </c>
      <c r="M513" s="9" t="n">
        <v>10</v>
      </c>
      <c r="N513" s="12" t="n">
        <v>756266.2848</v>
      </c>
      <c r="O513" s="12" t="n">
        <v>756266.2848</v>
      </c>
      <c r="P513" s="12" t="n">
        <v>6999999.998400001</v>
      </c>
      <c r="Q513" s="9" t="inlineStr">
        <is>
          <t>Low</t>
        </is>
      </c>
      <c r="R513" s="11">
        <f>IFERROR(O513/K513,0)</f>
        <v/>
      </c>
    </row>
    <row r="514">
      <c r="A514" s="9" t="inlineStr">
        <is>
          <t>T0513</t>
        </is>
      </c>
      <c r="B514" s="9" t="inlineStr">
        <is>
          <t>Atlas Indemnity</t>
        </is>
      </c>
      <c r="C514" s="9" t="inlineStr">
        <is>
          <t>Financial Lines</t>
        </is>
      </c>
      <c r="D514" s="9" t="inlineStr">
        <is>
          <t>North America</t>
        </is>
      </c>
      <c r="E514" s="9" t="inlineStr">
        <is>
          <t>Aarav Mehta</t>
        </is>
      </c>
      <c r="F514" s="9" t="inlineStr">
        <is>
          <t>Proportional</t>
        </is>
      </c>
      <c r="G514" s="9" t="n">
        <v>2024</v>
      </c>
      <c r="H514" s="12" t="n">
        <v>28100000</v>
      </c>
      <c r="I514" s="12" t="n">
        <v>2480083.44</v>
      </c>
      <c r="J514" s="12" t="n">
        <v>159783.24</v>
      </c>
      <c r="K514" s="12" t="n">
        <v>2480083.44</v>
      </c>
      <c r="L514" s="12" t="n">
        <v>742507.92</v>
      </c>
      <c r="M514" s="9" t="n">
        <v>8</v>
      </c>
      <c r="N514" s="12" t="n">
        <v>1168831.92</v>
      </c>
      <c r="O514" s="12" t="n">
        <v>1292557.64</v>
      </c>
      <c r="P514" s="12" t="n">
        <v>7025000</v>
      </c>
      <c r="Q514" s="9" t="inlineStr">
        <is>
          <t>Low</t>
        </is>
      </c>
      <c r="R514" s="11">
        <f>IFERROR(O514/K514,0)</f>
        <v/>
      </c>
    </row>
    <row r="515">
      <c r="A515" s="9" t="inlineStr">
        <is>
          <t>T0514</t>
        </is>
      </c>
      <c r="B515" s="9" t="inlineStr">
        <is>
          <t>Cobalt Insurance</t>
        </is>
      </c>
      <c r="C515" s="9" t="inlineStr">
        <is>
          <t>Specialty</t>
        </is>
      </c>
      <c r="D515" s="9" t="inlineStr">
        <is>
          <t>Unassigned</t>
        </is>
      </c>
      <c r="E515" s="9" t="inlineStr">
        <is>
          <t>Aarav Mehta</t>
        </is>
      </c>
      <c r="F515" s="9" t="inlineStr">
        <is>
          <t>Facultative</t>
        </is>
      </c>
      <c r="G515" s="9" t="n">
        <v>2021</v>
      </c>
      <c r="H515" s="12" t="n">
        <v>8900000</v>
      </c>
      <c r="I515" s="12" t="n">
        <v>1039759.82</v>
      </c>
      <c r="J515" s="12" t="n">
        <v>89902.23000000001</v>
      </c>
      <c r="K515" s="12" t="n">
        <v>1039759.82</v>
      </c>
      <c r="L515" s="12" t="n">
        <v>207392.35</v>
      </c>
      <c r="M515" s="9" t="n">
        <v>8</v>
      </c>
      <c r="N515" s="12" t="n">
        <v>678858.25</v>
      </c>
      <c r="O515" s="12" t="n">
        <v>726475.47</v>
      </c>
      <c r="P515" s="12" t="n">
        <v>8900000</v>
      </c>
      <c r="Q515" s="9" t="inlineStr">
        <is>
          <t>Low</t>
        </is>
      </c>
      <c r="R515" s="11">
        <f>IFERROR(O515/K515,0)</f>
        <v/>
      </c>
    </row>
    <row r="516">
      <c r="A516" s="9" t="inlineStr">
        <is>
          <t>T0515</t>
        </is>
      </c>
      <c r="B516" s="9" t="inlineStr">
        <is>
          <t>Cobalt Mutual</t>
        </is>
      </c>
      <c r="C516" s="9" t="inlineStr">
        <is>
          <t>Specialty</t>
        </is>
      </c>
      <c r="D516" s="9" t="inlineStr">
        <is>
          <t>Europe</t>
        </is>
      </c>
      <c r="E516" s="9" t="inlineStr">
        <is>
          <t>Kenji Sato</t>
        </is>
      </c>
      <c r="F516" s="9" t="inlineStr">
        <is>
          <t>Proportional</t>
        </is>
      </c>
      <c r="G516" s="9" t="n">
        <v>2026</v>
      </c>
      <c r="H516" s="12" t="n">
        <v>12700000.0008</v>
      </c>
      <c r="I516" s="12" t="n">
        <v>408275.424</v>
      </c>
      <c r="J516" s="12" t="n">
        <v>34045.974</v>
      </c>
      <c r="K516" s="12" t="n">
        <v>375613.3944</v>
      </c>
      <c r="L516" s="12" t="n">
        <v>87735.22876905929</v>
      </c>
      <c r="M516" s="9" t="n">
        <v>2</v>
      </c>
      <c r="N516" s="12" t="n">
        <v>44940.0744</v>
      </c>
      <c r="O516" s="12" t="n">
        <v>120207.2076</v>
      </c>
      <c r="P516" s="12" t="n">
        <v>5079999.996</v>
      </c>
      <c r="Q516" s="9" t="inlineStr">
        <is>
          <t>Low</t>
        </is>
      </c>
      <c r="R516" s="11">
        <f>IFERROR(O516/K516,0)</f>
        <v/>
      </c>
    </row>
    <row r="517">
      <c r="A517" s="9" t="inlineStr">
        <is>
          <t>T0516</t>
        </is>
      </c>
      <c r="B517" s="9" t="inlineStr">
        <is>
          <t>Cobalt Indemnity</t>
        </is>
      </c>
      <c r="C517" s="9" t="inlineStr">
        <is>
          <t>Professional</t>
        </is>
      </c>
      <c r="D517" s="9" t="inlineStr">
        <is>
          <t>North America</t>
        </is>
      </c>
      <c r="E517" s="9" t="inlineStr">
        <is>
          <t>Hannah Weber</t>
        </is>
      </c>
      <c r="F517" s="9" t="inlineStr">
        <is>
          <t>Excess of Loss</t>
        </is>
      </c>
      <c r="G517" s="9" t="n">
        <v>2023</v>
      </c>
      <c r="H517" s="12" t="n">
        <v>23800000</v>
      </c>
      <c r="I517" s="12" t="n">
        <v>2666868.84</v>
      </c>
      <c r="J517" s="12" t="n">
        <v>218719.68</v>
      </c>
      <c r="K517" s="12" t="n">
        <v>2666868.84</v>
      </c>
      <c r="L517" s="12" t="n">
        <v>214678.32</v>
      </c>
      <c r="M517" s="9" t="n">
        <v>8</v>
      </c>
      <c r="N517" s="12" t="n">
        <v>1877362.8</v>
      </c>
      <c r="O517" s="12" t="n">
        <v>1877362.8</v>
      </c>
      <c r="P517" s="12" t="n">
        <v>23800000</v>
      </c>
      <c r="Q517" s="9" t="inlineStr">
        <is>
          <t>Low</t>
        </is>
      </c>
      <c r="R517" s="11">
        <f>IFERROR(O517/K517,0)</f>
        <v/>
      </c>
    </row>
    <row r="518">
      <c r="A518" s="9" t="inlineStr">
        <is>
          <t>T0517</t>
        </is>
      </c>
      <c r="B518" s="9" t="inlineStr">
        <is>
          <t>Cobalt Assurance</t>
        </is>
      </c>
      <c r="C518" s="9" t="inlineStr">
        <is>
          <t>Financial Lines</t>
        </is>
      </c>
      <c r="D518" s="9" t="inlineStr">
        <is>
          <t>Europe</t>
        </is>
      </c>
      <c r="E518" s="9" t="inlineStr">
        <is>
          <t>James Whitfield</t>
        </is>
      </c>
      <c r="F518" s="9" t="inlineStr">
        <is>
          <t>Proportional</t>
        </is>
      </c>
      <c r="G518" s="9" t="n">
        <v>2024</v>
      </c>
      <c r="H518" s="12" t="n">
        <v>5499999.9972</v>
      </c>
      <c r="I518" s="12" t="n">
        <v>406264.3776</v>
      </c>
      <c r="J518" s="12" t="n">
        <v>21985.0848</v>
      </c>
      <c r="K518" s="12" t="n">
        <v>406264.3776</v>
      </c>
      <c r="L518" s="12" t="n">
        <v>125372.1888</v>
      </c>
      <c r="M518" s="9" t="n">
        <v>11</v>
      </c>
      <c r="N518" s="12" t="n">
        <v>122453.5644</v>
      </c>
      <c r="O518" s="12" t="n">
        <v>167690.4228</v>
      </c>
      <c r="P518" s="12" t="n">
        <v>1100000.0016</v>
      </c>
      <c r="Q518" s="9" t="inlineStr">
        <is>
          <t>Low</t>
        </is>
      </c>
      <c r="R518" s="11">
        <f>IFERROR(O518/K518,0)</f>
        <v/>
      </c>
    </row>
    <row r="519">
      <c r="A519" s="9" t="inlineStr">
        <is>
          <t>T0518</t>
        </is>
      </c>
      <c r="B519" s="9" t="inlineStr">
        <is>
          <t>Harbor Mutual</t>
        </is>
      </c>
      <c r="C519" s="9" t="inlineStr">
        <is>
          <t>Professional</t>
        </is>
      </c>
      <c r="D519" s="9" t="inlineStr">
        <is>
          <t>North America</t>
        </is>
      </c>
      <c r="E519" s="9" t="inlineStr">
        <is>
          <t>Aarav Mehta</t>
        </is>
      </c>
      <c r="F519" s="9" t="inlineStr">
        <is>
          <t>Proportional</t>
        </is>
      </c>
      <c r="G519" s="9" t="n">
        <v>2023</v>
      </c>
      <c r="H519" s="12" t="n">
        <v>47400000</v>
      </c>
      <c r="I519" s="12" t="n">
        <v>4124246.52</v>
      </c>
      <c r="J519" s="12" t="n">
        <v>338575.68</v>
      </c>
      <c r="K519" s="12" t="n">
        <v>4124246.52</v>
      </c>
      <c r="L519" s="12" t="n">
        <v>1136918.64</v>
      </c>
      <c r="M519" s="9" t="n">
        <v>8</v>
      </c>
      <c r="N519" s="12" t="n">
        <v>1928918.83</v>
      </c>
      <c r="O519" s="12" t="n">
        <v>1928918.83</v>
      </c>
      <c r="P519" s="12" t="n">
        <v>7110000</v>
      </c>
      <c r="Q519" s="9" t="inlineStr">
        <is>
          <t>Low</t>
        </is>
      </c>
      <c r="R519" s="11">
        <f>IFERROR(O519/K519,0)</f>
        <v/>
      </c>
    </row>
    <row r="520">
      <c r="A520" s="9" t="inlineStr">
        <is>
          <t>T0519</t>
        </is>
      </c>
      <c r="B520" s="9" t="inlineStr">
        <is>
          <t>Sterling Indemnity</t>
        </is>
      </c>
      <c r="C520" s="9" t="inlineStr">
        <is>
          <t>Property</t>
        </is>
      </c>
      <c r="D520" s="9" t="inlineStr">
        <is>
          <t>Europe</t>
        </is>
      </c>
      <c r="E520" s="9" t="inlineStr">
        <is>
          <t>Sophie Laurent</t>
        </is>
      </c>
      <c r="F520" s="9" t="inlineStr">
        <is>
          <t>Proportional</t>
        </is>
      </c>
      <c r="G520" s="9" t="n">
        <v>2024</v>
      </c>
      <c r="H520" s="12" t="n">
        <v>4699999.998</v>
      </c>
      <c r="I520" s="12" t="n">
        <v>372252.672</v>
      </c>
      <c r="J520" s="12" t="n">
        <v>37892.5776</v>
      </c>
      <c r="K520" s="12" t="n">
        <v>372252.672</v>
      </c>
      <c r="L520" s="12" t="n">
        <v>93487.08960000001</v>
      </c>
      <c r="M520" s="9" t="n">
        <v>9</v>
      </c>
      <c r="N520" s="12" t="n">
        <v>212324.4252</v>
      </c>
      <c r="O520" s="12" t="n">
        <v>214400.142</v>
      </c>
      <c r="P520" s="12" t="n">
        <v>705000.0024000001</v>
      </c>
      <c r="Q520" s="9" t="inlineStr">
        <is>
          <t>Low</t>
        </is>
      </c>
      <c r="R520" s="11">
        <f>IFERROR(O520/K520,0)</f>
        <v/>
      </c>
    </row>
    <row r="521">
      <c r="A521" s="9" t="inlineStr">
        <is>
          <t>T0520</t>
        </is>
      </c>
      <c r="B521" s="9" t="inlineStr">
        <is>
          <t>Orion Mutual</t>
        </is>
      </c>
      <c r="C521" s="9" t="inlineStr">
        <is>
          <t>Specialty</t>
        </is>
      </c>
      <c r="D521" s="9" t="inlineStr">
        <is>
          <t>Europe</t>
        </is>
      </c>
      <c r="E521" s="9" t="inlineStr">
        <is>
          <t>Priya Nair</t>
        </is>
      </c>
      <c r="F521" s="9" t="inlineStr">
        <is>
          <t>Excess of Loss</t>
        </is>
      </c>
      <c r="G521" s="9" t="n">
        <v>2023</v>
      </c>
      <c r="H521" s="12" t="n">
        <v>7799999.9976</v>
      </c>
      <c r="I521" s="12" t="n">
        <v>1257729.3792</v>
      </c>
      <c r="J521" s="12" t="n">
        <v>129085.0992</v>
      </c>
      <c r="K521" s="12" t="n">
        <v>1257729.3792</v>
      </c>
      <c r="L521" s="12" t="n">
        <v>65930.24160000001</v>
      </c>
      <c r="M521" s="9" t="n">
        <v>6</v>
      </c>
      <c r="N521" s="12" t="n">
        <v>1135979.5104</v>
      </c>
      <c r="O521" s="12" t="n">
        <v>1135979.5104</v>
      </c>
      <c r="P521" s="12" t="n">
        <v>7799999.9976</v>
      </c>
      <c r="Q521" s="9" t="inlineStr">
        <is>
          <t>Low</t>
        </is>
      </c>
      <c r="R521" s="11">
        <f>IFERROR(O521/K521,0)</f>
        <v/>
      </c>
    </row>
    <row r="522">
      <c r="A522" s="9" t="inlineStr">
        <is>
          <t>T0521</t>
        </is>
      </c>
      <c r="B522" s="9" t="inlineStr">
        <is>
          <t>Granite Insurance</t>
        </is>
      </c>
      <c r="C522" s="9" t="inlineStr">
        <is>
          <t>Professional</t>
        </is>
      </c>
      <c r="D522" s="9" t="inlineStr">
        <is>
          <t>Asia Pacific</t>
        </is>
      </c>
      <c r="E522" s="9" t="inlineStr">
        <is>
          <t>James Whitfield</t>
        </is>
      </c>
      <c r="F522" s="9" t="inlineStr">
        <is>
          <t>Proportional</t>
        </is>
      </c>
      <c r="G522" s="9" t="n">
        <v>2024</v>
      </c>
      <c r="H522" s="12" t="n">
        <v>31900000</v>
      </c>
      <c r="I522" s="12" t="n">
        <v>2313745.68</v>
      </c>
      <c r="J522" s="12" t="n">
        <v>174337.44</v>
      </c>
      <c r="K522" s="12" t="n">
        <v>2313745.68</v>
      </c>
      <c r="L522" s="12" t="n">
        <v>512436.24</v>
      </c>
      <c r="M522" s="9" t="n">
        <v>5</v>
      </c>
      <c r="N522" s="12" t="n">
        <v>466791.16</v>
      </c>
      <c r="O522" s="12" t="n">
        <v>695919.61</v>
      </c>
      <c r="P522" s="12" t="n">
        <v>12760000</v>
      </c>
      <c r="Q522" s="9" t="inlineStr">
        <is>
          <t>Low</t>
        </is>
      </c>
      <c r="R522" s="11">
        <f>IFERROR(O522/K522,0)</f>
        <v/>
      </c>
    </row>
    <row r="523">
      <c r="A523" s="9" t="inlineStr">
        <is>
          <t>T0522</t>
        </is>
      </c>
      <c r="B523" s="9" t="inlineStr">
        <is>
          <t>Atlas Indemnity</t>
        </is>
      </c>
      <c r="C523" s="9" t="inlineStr">
        <is>
          <t>Property</t>
        </is>
      </c>
      <c r="D523" s="9" t="inlineStr">
        <is>
          <t>North America</t>
        </is>
      </c>
      <c r="E523" s="9" t="inlineStr">
        <is>
          <t>Aarav Mehta</t>
        </is>
      </c>
      <c r="F523" s="9" t="inlineStr">
        <is>
          <t>Excess of Loss</t>
        </is>
      </c>
      <c r="G523" s="9" t="n">
        <v>2021</v>
      </c>
      <c r="H523" s="12" t="n">
        <v>3100000</v>
      </c>
      <c r="I523" s="12" t="n">
        <v>313684.8</v>
      </c>
      <c r="J523" s="12" t="n">
        <v>35665.44</v>
      </c>
      <c r="K523" s="12" t="n">
        <v>313684.8</v>
      </c>
      <c r="L523" s="12" t="n">
        <v>16053.72</v>
      </c>
      <c r="M523" s="9" t="n">
        <v>11</v>
      </c>
      <c r="N523" s="12" t="n">
        <v>188622.82</v>
      </c>
      <c r="O523" s="12" t="n">
        <v>306124.85</v>
      </c>
      <c r="P523" s="12" t="n">
        <v>3100000</v>
      </c>
      <c r="Q523" s="9" t="inlineStr">
        <is>
          <t>Low</t>
        </is>
      </c>
      <c r="R523" s="11">
        <f>IFERROR(O523/K523,0)</f>
        <v/>
      </c>
    </row>
    <row r="524">
      <c r="A524" s="9" t="inlineStr">
        <is>
          <t>T0523</t>
        </is>
      </c>
      <c r="B524" s="9" t="inlineStr">
        <is>
          <t>Pioneer Insurance</t>
        </is>
      </c>
      <c r="C524" s="9" t="inlineStr">
        <is>
          <t>Property</t>
        </is>
      </c>
      <c r="D524" s="9" t="inlineStr">
        <is>
          <t>Europe</t>
        </is>
      </c>
      <c r="E524" s="9" t="inlineStr">
        <is>
          <t>Hannah Weber</t>
        </is>
      </c>
      <c r="F524" s="9" t="inlineStr">
        <is>
          <t>Excess of Loss</t>
        </is>
      </c>
      <c r="G524" s="9" t="n">
        <v>2025</v>
      </c>
      <c r="H524" s="12" t="n">
        <v>10400000.0004</v>
      </c>
      <c r="I524" s="12" t="n">
        <v>1445617.6272</v>
      </c>
      <c r="J524" s="12" t="n">
        <v>137336.8608</v>
      </c>
      <c r="K524" s="12" t="n">
        <v>1405461.5856</v>
      </c>
      <c r="L524" s="12" t="n">
        <v>159788.1604092872</v>
      </c>
      <c r="M524" s="9" t="n">
        <v>13</v>
      </c>
      <c r="N524" s="12" t="n">
        <v>197943.4692</v>
      </c>
      <c r="O524" s="12" t="n">
        <v>720586.6704000001</v>
      </c>
      <c r="P524" s="12" t="n">
        <v>10400000.0004</v>
      </c>
      <c r="Q524" s="9" t="inlineStr">
        <is>
          <t>Low</t>
        </is>
      </c>
      <c r="R524" s="11">
        <f>IFERROR(O524/K524,0)</f>
        <v/>
      </c>
    </row>
    <row r="525">
      <c r="A525" s="9" t="inlineStr">
        <is>
          <t>T0524</t>
        </is>
      </c>
      <c r="B525" s="9" t="inlineStr">
        <is>
          <t>Atlas Insurance</t>
        </is>
      </c>
      <c r="C525" s="9" t="inlineStr">
        <is>
          <t>Casualty</t>
        </is>
      </c>
      <c r="D525" s="9" t="inlineStr">
        <is>
          <t>Asia Pacific</t>
        </is>
      </c>
      <c r="E525" s="9" t="inlineStr">
        <is>
          <t>Carlos Ibarra</t>
        </is>
      </c>
      <c r="F525" s="9" t="inlineStr">
        <is>
          <t>Proportional</t>
        </is>
      </c>
      <c r="G525" s="9" t="n">
        <v>2025</v>
      </c>
      <c r="H525" s="12" t="n">
        <v>9900000</v>
      </c>
      <c r="I525" s="12" t="n">
        <v>1079659.92</v>
      </c>
      <c r="J525" s="12" t="n">
        <v>95394.24000000001</v>
      </c>
      <c r="K525" s="12" t="n">
        <v>1079659.92</v>
      </c>
      <c r="L525" s="12" t="n">
        <v>343019.9999999999</v>
      </c>
      <c r="M525" s="9" t="n">
        <v>8</v>
      </c>
      <c r="N525" s="12" t="n">
        <v>496196.92</v>
      </c>
      <c r="O525" s="12" t="n">
        <v>945198.73</v>
      </c>
      <c r="P525" s="12" t="n">
        <v>990000</v>
      </c>
      <c r="Q525" s="9" t="inlineStr">
        <is>
          <t>Low</t>
        </is>
      </c>
      <c r="R525" s="11">
        <f>IFERROR(O525/K525,0)</f>
        <v/>
      </c>
    </row>
    <row r="526">
      <c r="A526" s="9" t="inlineStr">
        <is>
          <t>T0525</t>
        </is>
      </c>
      <c r="B526" s="9" t="inlineStr">
        <is>
          <t>Lumen Insurance</t>
        </is>
      </c>
      <c r="C526" s="9" t="inlineStr">
        <is>
          <t>Professional</t>
        </is>
      </c>
      <c r="D526" s="9" t="inlineStr">
        <is>
          <t>North America</t>
        </is>
      </c>
      <c r="E526" s="9" t="inlineStr">
        <is>
          <t>Sophie Laurent</t>
        </is>
      </c>
      <c r="F526" s="9" t="inlineStr">
        <is>
          <t>Proportional</t>
        </is>
      </c>
      <c r="G526" s="9" t="n">
        <v>2023</v>
      </c>
      <c r="H526" s="12" t="n">
        <v>63800000</v>
      </c>
      <c r="I526" s="12" t="n">
        <v>5857120.800000001</v>
      </c>
      <c r="J526" s="12" t="n">
        <v>446524.8</v>
      </c>
      <c r="K526" s="12" t="n">
        <v>5857120.800000001</v>
      </c>
      <c r="L526" s="12" t="n">
        <v>1584334.92</v>
      </c>
      <c r="M526" s="9" t="n">
        <v>12</v>
      </c>
      <c r="N526" s="12" t="n">
        <v>2307142.08</v>
      </c>
      <c r="O526" s="12" t="n">
        <v>2386459.09</v>
      </c>
      <c r="P526" s="12" t="n">
        <v>12760000</v>
      </c>
      <c r="Q526" s="9" t="inlineStr">
        <is>
          <t>Low</t>
        </is>
      </c>
      <c r="R526" s="11">
        <f>IFERROR(O526/K526,0)</f>
        <v/>
      </c>
    </row>
    <row r="527">
      <c r="A527" s="9" t="inlineStr">
        <is>
          <t>T0526</t>
        </is>
      </c>
      <c r="B527" s="9" t="inlineStr">
        <is>
          <t>Granite Indemnity</t>
        </is>
      </c>
      <c r="C527" s="9" t="inlineStr">
        <is>
          <t>Professional</t>
        </is>
      </c>
      <c r="D527" s="9" t="inlineStr">
        <is>
          <t>Europe</t>
        </is>
      </c>
      <c r="E527" s="9" t="inlineStr">
        <is>
          <t>James Whitfield</t>
        </is>
      </c>
      <c r="F527" s="9" t="inlineStr">
        <is>
          <t>Excess of Loss</t>
        </is>
      </c>
      <c r="G527" s="9" t="n">
        <v>2024</v>
      </c>
      <c r="H527" s="12" t="n">
        <v>15199999.9956</v>
      </c>
      <c r="I527" s="12" t="n">
        <v>1270214.136</v>
      </c>
      <c r="J527" s="12" t="n">
        <v>107352.216</v>
      </c>
      <c r="K527" s="12" t="n">
        <v>1270214.136</v>
      </c>
      <c r="L527" s="12" t="n">
        <v>77568.32160000001</v>
      </c>
      <c r="M527" s="9" t="n">
        <v>5</v>
      </c>
      <c r="N527" s="12" t="n">
        <v>460387.3032</v>
      </c>
      <c r="O527" s="12" t="n">
        <v>560938.3272000001</v>
      </c>
      <c r="P527" s="12" t="n">
        <v>15199999.9956</v>
      </c>
      <c r="Q527" s="9" t="inlineStr">
        <is>
          <t>Low</t>
        </is>
      </c>
      <c r="R527" s="11">
        <f>IFERROR(O527/K527,0)</f>
        <v/>
      </c>
    </row>
    <row r="528">
      <c r="A528" s="9" t="inlineStr">
        <is>
          <t>T0527</t>
        </is>
      </c>
      <c r="B528" s="9" t="inlineStr">
        <is>
          <t>Cobalt Mutual</t>
        </is>
      </c>
      <c r="C528" s="9" t="inlineStr">
        <is>
          <t>Financial Lines</t>
        </is>
      </c>
      <c r="D528" s="9" t="inlineStr">
        <is>
          <t>Europe</t>
        </is>
      </c>
      <c r="E528" s="9" t="inlineStr">
        <is>
          <t>Aarav Mehta</t>
        </is>
      </c>
      <c r="F528" s="9" t="inlineStr">
        <is>
          <t>Facultative</t>
        </is>
      </c>
      <c r="G528" s="9" t="n">
        <v>2025</v>
      </c>
      <c r="H528" s="12" t="n">
        <v>14600000.0016</v>
      </c>
      <c r="I528" s="12" t="n">
        <v>1657693.7712</v>
      </c>
      <c r="J528" s="12" t="n">
        <v>141113.4048</v>
      </c>
      <c r="K528" s="12" t="n">
        <v>1657693.7712</v>
      </c>
      <c r="L528" s="12" t="n">
        <v>262573.3584</v>
      </c>
      <c r="M528" s="9" t="n">
        <v>4</v>
      </c>
      <c r="N528" s="12" t="n">
        <v>413258.1012</v>
      </c>
      <c r="O528" s="12" t="n">
        <v>768528.0540000001</v>
      </c>
      <c r="P528" s="12" t="n">
        <v>14600000.0016</v>
      </c>
      <c r="Q528" s="9" t="inlineStr">
        <is>
          <t>Low</t>
        </is>
      </c>
      <c r="R528" s="11">
        <f>IFERROR(O528/K528,0)</f>
        <v/>
      </c>
    </row>
    <row r="529">
      <c r="A529" s="9" t="inlineStr">
        <is>
          <t>T0528</t>
        </is>
      </c>
      <c r="B529" s="9" t="inlineStr">
        <is>
          <t>Cobalt Indemnity</t>
        </is>
      </c>
      <c r="C529" s="9" t="inlineStr">
        <is>
          <t>Specialty</t>
        </is>
      </c>
      <c r="D529" s="9" t="inlineStr">
        <is>
          <t>North America</t>
        </is>
      </c>
      <c r="E529" s="9" t="inlineStr">
        <is>
          <t>James Whitfield</t>
        </is>
      </c>
      <c r="F529" s="9" t="inlineStr">
        <is>
          <t>Facultative</t>
        </is>
      </c>
      <c r="G529" s="9" t="n">
        <v>2022</v>
      </c>
      <c r="H529" s="12" t="n">
        <v>3700000</v>
      </c>
      <c r="I529" s="12" t="n">
        <v>341171.16</v>
      </c>
      <c r="J529" s="12" t="n">
        <v>17416.2</v>
      </c>
      <c r="K529" s="12" t="n">
        <v>341171.16</v>
      </c>
      <c r="L529" s="12" t="n">
        <v>59532.48</v>
      </c>
      <c r="M529" s="9" t="n">
        <v>5</v>
      </c>
      <c r="N529" s="12" t="n">
        <v>176591.62</v>
      </c>
      <c r="O529" s="12" t="n">
        <v>176591.62</v>
      </c>
      <c r="P529" s="12" t="n">
        <v>3700000</v>
      </c>
      <c r="Q529" s="9" t="inlineStr">
        <is>
          <t>Low</t>
        </is>
      </c>
      <c r="R529" s="11">
        <f>IFERROR(O529/K529,0)</f>
        <v/>
      </c>
    </row>
    <row r="530">
      <c r="A530" s="9" t="inlineStr">
        <is>
          <t>T0529</t>
        </is>
      </c>
      <c r="B530" s="9" t="inlineStr">
        <is>
          <t>Orion Insurance</t>
        </is>
      </c>
      <c r="C530" s="9" t="inlineStr">
        <is>
          <t>Specialty</t>
        </is>
      </c>
      <c r="D530" s="9" t="inlineStr">
        <is>
          <t>Asia Pacific</t>
        </is>
      </c>
      <c r="E530" s="9" t="inlineStr">
        <is>
          <t>Sophie Laurent</t>
        </is>
      </c>
      <c r="F530" s="9" t="inlineStr">
        <is>
          <t>Excess of Loss</t>
        </is>
      </c>
      <c r="G530" s="9" t="n">
        <v>2025</v>
      </c>
      <c r="H530" s="12" t="n">
        <v>81800000</v>
      </c>
      <c r="I530" s="12" t="n">
        <v>11178111</v>
      </c>
      <c r="J530" s="12" t="n">
        <v>1328368.56</v>
      </c>
      <c r="K530" s="12" t="n">
        <v>11178111</v>
      </c>
      <c r="L530" s="12" t="n">
        <v>685920.84</v>
      </c>
      <c r="M530" s="9" t="n">
        <v>7</v>
      </c>
      <c r="N530" s="12" t="n">
        <v>2592135.63</v>
      </c>
      <c r="O530" s="12" t="n">
        <v>5486672.45</v>
      </c>
      <c r="P530" s="12" t="n">
        <v>81800000</v>
      </c>
      <c r="Q530" s="9" t="inlineStr">
        <is>
          <t>Low</t>
        </is>
      </c>
      <c r="R530" s="11">
        <f>IFERROR(O530/K530,0)</f>
        <v/>
      </c>
    </row>
    <row r="531">
      <c r="A531" s="9" t="inlineStr">
        <is>
          <t>T0530</t>
        </is>
      </c>
      <c r="B531" s="9" t="inlineStr">
        <is>
          <t>Harbor Mutual</t>
        </is>
      </c>
      <c r="C531" s="9" t="inlineStr">
        <is>
          <t>Professional</t>
        </is>
      </c>
      <c r="D531" s="9" t="inlineStr">
        <is>
          <t>North America</t>
        </is>
      </c>
      <c r="E531" s="9" t="inlineStr">
        <is>
          <t>Carlos Ibarra</t>
        </is>
      </c>
      <c r="F531" s="9" t="inlineStr">
        <is>
          <t>Proportional</t>
        </is>
      </c>
      <c r="G531" s="9" t="n">
        <v>2026</v>
      </c>
      <c r="H531" s="12" t="n">
        <v>2000000</v>
      </c>
      <c r="I531" s="12" t="n">
        <v>115159.32</v>
      </c>
      <c r="J531" s="12" t="n">
        <v>13783.64</v>
      </c>
      <c r="K531" s="12" t="n">
        <v>111320.68</v>
      </c>
      <c r="L531" s="12" t="n">
        <v>26958.32363533928</v>
      </c>
      <c r="M531" s="9" t="n">
        <v>3</v>
      </c>
      <c r="N531" s="12" t="n">
        <v>20780.22</v>
      </c>
      <c r="O531" s="12" t="n">
        <v>52606.4</v>
      </c>
      <c r="P531" s="12" t="n">
        <v>300000</v>
      </c>
      <c r="Q531" s="9" t="inlineStr">
        <is>
          <t>Low</t>
        </is>
      </c>
      <c r="R531" s="11">
        <f>IFERROR(O531/K531,0)</f>
        <v/>
      </c>
    </row>
    <row r="532">
      <c r="A532" s="9" t="inlineStr">
        <is>
          <t>T0531</t>
        </is>
      </c>
      <c r="B532" s="9" t="inlineStr">
        <is>
          <t>Cobalt Mutual</t>
        </is>
      </c>
      <c r="C532" s="9" t="inlineStr">
        <is>
          <t>Professional</t>
        </is>
      </c>
      <c r="D532" s="9" t="inlineStr">
        <is>
          <t>Europe</t>
        </is>
      </c>
      <c r="E532" s="9" t="inlineStr">
        <is>
          <t>James Whitfield</t>
        </is>
      </c>
      <c r="F532" s="9" t="inlineStr">
        <is>
          <t>Proportional</t>
        </is>
      </c>
      <c r="G532" s="9" t="n">
        <v>2023</v>
      </c>
      <c r="H532" s="12" t="n">
        <v>2600000.0028</v>
      </c>
      <c r="I532" s="12" t="n">
        <v>323943.4944</v>
      </c>
      <c r="J532" s="12" t="n">
        <v>23561.4096</v>
      </c>
      <c r="K532" s="12" t="n">
        <v>323943.4944</v>
      </c>
      <c r="L532" s="12" t="n">
        <v>78233.03999999999</v>
      </c>
      <c r="M532" s="9" t="n">
        <v>8</v>
      </c>
      <c r="N532" s="12" t="n">
        <v>193862.0304</v>
      </c>
      <c r="O532" s="12" t="n">
        <v>196670.3004</v>
      </c>
      <c r="P532" s="12" t="n">
        <v>259999.9992</v>
      </c>
      <c r="Q532" s="9" t="inlineStr">
        <is>
          <t>Low</t>
        </is>
      </c>
      <c r="R532" s="11">
        <f>IFERROR(O532/K532,0)</f>
        <v/>
      </c>
    </row>
    <row r="533">
      <c r="A533" s="9" t="inlineStr">
        <is>
          <t>T0532</t>
        </is>
      </c>
      <c r="B533" s="9" t="inlineStr">
        <is>
          <t>Meridian Indemnity</t>
        </is>
      </c>
      <c r="C533" s="9" t="inlineStr">
        <is>
          <t>Casualty</t>
        </is>
      </c>
      <c r="D533" s="9" t="inlineStr">
        <is>
          <t>Europe</t>
        </is>
      </c>
      <c r="E533" s="9" t="inlineStr">
        <is>
          <t>Sophie Laurent</t>
        </is>
      </c>
      <c r="F533" s="9" t="inlineStr">
        <is>
          <t>Excess of Loss</t>
        </is>
      </c>
      <c r="G533" s="9" t="n">
        <v>2024</v>
      </c>
      <c r="H533" s="12" t="n">
        <v>9500000.004000001</v>
      </c>
      <c r="I533" s="12" t="n">
        <v>942316.9344</v>
      </c>
      <c r="J533" s="12" t="n">
        <v>80101.3536</v>
      </c>
      <c r="K533" s="12" t="n">
        <v>942316.9344</v>
      </c>
      <c r="L533" s="12" t="n">
        <v>76000.93920000002</v>
      </c>
      <c r="M533" s="9" t="n">
        <v>11</v>
      </c>
      <c r="N533" s="12" t="n">
        <v>327904.1568000001</v>
      </c>
      <c r="O533" s="12" t="n">
        <v>327904.1568000001</v>
      </c>
      <c r="P533" s="12" t="n">
        <v>9500000.004000001</v>
      </c>
      <c r="Q533" s="9" t="inlineStr">
        <is>
          <t>Low</t>
        </is>
      </c>
      <c r="R533" s="11">
        <f>IFERROR(O533/K533,0)</f>
        <v/>
      </c>
    </row>
    <row r="534">
      <c r="A534" s="9" t="inlineStr">
        <is>
          <t>T0533</t>
        </is>
      </c>
      <c r="B534" s="9" t="inlineStr">
        <is>
          <t>Summit Indemnity</t>
        </is>
      </c>
      <c r="C534" s="9" t="inlineStr">
        <is>
          <t>Casualty</t>
        </is>
      </c>
      <c r="D534" s="9" t="inlineStr">
        <is>
          <t>Unassigned</t>
        </is>
      </c>
      <c r="E534" s="9" t="inlineStr">
        <is>
          <t>Hannah Weber</t>
        </is>
      </c>
      <c r="F534" s="9" t="inlineStr">
        <is>
          <t>Proportional</t>
        </is>
      </c>
      <c r="G534" s="9" t="n">
        <v>2024</v>
      </c>
      <c r="H534" s="12" t="n">
        <v>43000000</v>
      </c>
      <c r="I534" s="12" t="n">
        <v>5009444.4</v>
      </c>
      <c r="J534" s="12" t="n">
        <v>343161.48</v>
      </c>
      <c r="K534" s="12" t="n">
        <v>5009444.4</v>
      </c>
      <c r="L534" s="12" t="n">
        <v>1503747.6</v>
      </c>
      <c r="M534" s="9" t="n">
        <v>9</v>
      </c>
      <c r="N534" s="12" t="n">
        <v>3784461.24</v>
      </c>
      <c r="O534" s="12" t="n">
        <v>3784461.24</v>
      </c>
      <c r="P534" s="12" t="n">
        <v>21500000</v>
      </c>
      <c r="Q534" s="9" t="inlineStr">
        <is>
          <t>Low</t>
        </is>
      </c>
      <c r="R534" s="11">
        <f>IFERROR(O534/K534,0)</f>
        <v/>
      </c>
    </row>
    <row r="535">
      <c r="A535" s="9" t="inlineStr">
        <is>
          <t>T0534</t>
        </is>
      </c>
      <c r="B535" s="9" t="inlineStr">
        <is>
          <t>Northwind Indemnity</t>
        </is>
      </c>
      <c r="C535" s="9" t="inlineStr">
        <is>
          <t>Specialty</t>
        </is>
      </c>
      <c r="D535" s="9" t="inlineStr">
        <is>
          <t>North America</t>
        </is>
      </c>
      <c r="E535" s="9" t="inlineStr">
        <is>
          <t>Carlos Ibarra</t>
        </is>
      </c>
      <c r="F535" s="9" t="inlineStr">
        <is>
          <t>Proportional</t>
        </is>
      </c>
      <c r="G535" s="9" t="n">
        <v>2024</v>
      </c>
      <c r="H535" s="12" t="n">
        <v>5400000</v>
      </c>
      <c r="I535" s="12" t="n">
        <v>851348.04</v>
      </c>
      <c r="J535" s="12" t="n">
        <v>64024.56</v>
      </c>
      <c r="K535" s="12" t="n">
        <v>851348.04</v>
      </c>
      <c r="L535" s="12" t="n">
        <v>197844.84</v>
      </c>
      <c r="M535" s="9" t="n">
        <v>7</v>
      </c>
      <c r="N535" s="12" t="n">
        <v>685451.26</v>
      </c>
      <c r="O535" s="12" t="n">
        <v>710435.12</v>
      </c>
      <c r="P535" s="12" t="n">
        <v>1080000</v>
      </c>
      <c r="Q535" s="9" t="inlineStr">
        <is>
          <t>Low</t>
        </is>
      </c>
      <c r="R535" s="11">
        <f>IFERROR(O535/K535,0)</f>
        <v/>
      </c>
    </row>
    <row r="536">
      <c r="A536" s="9" t="inlineStr">
        <is>
          <t>T0535</t>
        </is>
      </c>
      <c r="B536" s="9" t="inlineStr">
        <is>
          <t>Crown Insurance</t>
        </is>
      </c>
      <c r="C536" s="9" t="inlineStr">
        <is>
          <t>Specialty</t>
        </is>
      </c>
      <c r="D536" s="9" t="inlineStr">
        <is>
          <t>Asia Pacific</t>
        </is>
      </c>
      <c r="E536" s="9" t="inlineStr">
        <is>
          <t>Sophie Laurent</t>
        </is>
      </c>
      <c r="F536" s="9" t="inlineStr">
        <is>
          <t>Excess of Loss</t>
        </is>
      </c>
      <c r="G536" s="9" t="n">
        <v>2023</v>
      </c>
      <c r="H536" s="12" t="n">
        <v>27200000</v>
      </c>
      <c r="I536" s="12" t="n">
        <v>2322996.48</v>
      </c>
      <c r="J536" s="12" t="n">
        <v>224546.28</v>
      </c>
      <c r="K536" s="12" t="n">
        <v>2322996.48</v>
      </c>
      <c r="L536" s="12" t="n">
        <v>176368.68</v>
      </c>
      <c r="M536" s="9" t="n">
        <v>11</v>
      </c>
      <c r="N536" s="12" t="n">
        <v>635826.36</v>
      </c>
      <c r="O536" s="12" t="n">
        <v>686692.62</v>
      </c>
      <c r="P536" s="12" t="n">
        <v>27200000</v>
      </c>
      <c r="Q536" s="9" t="inlineStr">
        <is>
          <t>Low</t>
        </is>
      </c>
      <c r="R536" s="11">
        <f>IFERROR(O536/K536,0)</f>
        <v/>
      </c>
    </row>
    <row r="537">
      <c r="A537" s="9" t="inlineStr">
        <is>
          <t>T0536</t>
        </is>
      </c>
      <c r="B537" s="9" t="inlineStr">
        <is>
          <t>Cobalt General</t>
        </is>
      </c>
      <c r="C537" s="9" t="inlineStr">
        <is>
          <t>Professional</t>
        </is>
      </c>
      <c r="D537" s="9" t="inlineStr">
        <is>
          <t>North America</t>
        </is>
      </c>
      <c r="E537" s="9" t="inlineStr">
        <is>
          <t>Priya Nair</t>
        </is>
      </c>
      <c r="F537" s="9" t="inlineStr">
        <is>
          <t>Excess of Loss</t>
        </is>
      </c>
      <c r="G537" s="9" t="n">
        <v>2025</v>
      </c>
      <c r="H537" s="12" t="n">
        <v>16500000</v>
      </c>
      <c r="I537" s="12" t="n">
        <v>2187552.84</v>
      </c>
      <c r="J537" s="12" t="n">
        <v>160499.64</v>
      </c>
      <c r="K537" s="12" t="n">
        <v>2187552.84</v>
      </c>
      <c r="L537" s="12" t="n">
        <v>230502.6</v>
      </c>
      <c r="M537" s="9" t="n">
        <v>6</v>
      </c>
      <c r="N537" s="12" t="n">
        <v>493585.59</v>
      </c>
      <c r="O537" s="12" t="n">
        <v>1124123.08</v>
      </c>
      <c r="P537" s="12" t="n">
        <v>16500000</v>
      </c>
      <c r="Q537" s="9" t="inlineStr">
        <is>
          <t>Low</t>
        </is>
      </c>
      <c r="R537" s="11">
        <f>IFERROR(O537/K537,0)</f>
        <v/>
      </c>
    </row>
    <row r="538">
      <c r="A538" s="9" t="inlineStr">
        <is>
          <t>T0537</t>
        </is>
      </c>
      <c r="B538" s="9" t="inlineStr">
        <is>
          <t>Evergreen Indemnity</t>
        </is>
      </c>
      <c r="C538" s="9" t="inlineStr">
        <is>
          <t>Property</t>
        </is>
      </c>
      <c r="D538" s="9" t="inlineStr">
        <is>
          <t>North America</t>
        </is>
      </c>
      <c r="E538" s="9" t="inlineStr">
        <is>
          <t>Aarav Mehta</t>
        </is>
      </c>
      <c r="F538" s="9" t="inlineStr">
        <is>
          <t>Facultative</t>
        </is>
      </c>
      <c r="G538" s="9" t="n">
        <v>2026</v>
      </c>
      <c r="H538" s="12" t="n">
        <v>6800000</v>
      </c>
      <c r="I538" s="12" t="n">
        <v>396619.7</v>
      </c>
      <c r="J538" s="12" t="n">
        <v>44972.05</v>
      </c>
      <c r="K538" s="12" t="n">
        <v>386043.17</v>
      </c>
      <c r="L538" s="12" t="n">
        <v>68984.02583275616</v>
      </c>
      <c r="M538" s="9" t="n">
        <v>4</v>
      </c>
      <c r="N538" s="12" t="n">
        <v>192987.29</v>
      </c>
      <c r="O538" s="12" t="n">
        <v>474877.87</v>
      </c>
      <c r="P538" s="12" t="n">
        <v>6800000</v>
      </c>
      <c r="Q538" s="9" t="inlineStr">
        <is>
          <t>Low</t>
        </is>
      </c>
      <c r="R538" s="11">
        <f>IFERROR(O538/K538,0)</f>
        <v/>
      </c>
    </row>
    <row r="539">
      <c r="A539" s="9" t="inlineStr">
        <is>
          <t>T0538</t>
        </is>
      </c>
      <c r="B539" s="9" t="inlineStr">
        <is>
          <t>Lumen Assurance</t>
        </is>
      </c>
      <c r="C539" s="9" t="inlineStr">
        <is>
          <t>Property</t>
        </is>
      </c>
      <c r="D539" s="9" t="inlineStr">
        <is>
          <t>Latin America</t>
        </is>
      </c>
      <c r="E539" s="9" t="inlineStr">
        <is>
          <t>Omar Haddad</t>
        </is>
      </c>
      <c r="F539" s="9" t="inlineStr">
        <is>
          <t>Excess of Loss</t>
        </is>
      </c>
      <c r="G539" s="9" t="n">
        <v>2022</v>
      </c>
      <c r="H539" s="12" t="n">
        <v>62500000</v>
      </c>
      <c r="I539" s="12" t="n">
        <v>6294232.68</v>
      </c>
      <c r="J539" s="12" t="n">
        <v>629874.6000000001</v>
      </c>
      <c r="K539" s="12" t="n">
        <v>6294232.68</v>
      </c>
      <c r="L539" s="12" t="n">
        <v>655687.08</v>
      </c>
      <c r="M539" s="9" t="n">
        <v>12</v>
      </c>
      <c r="N539" s="12" t="n">
        <v>2452990.26</v>
      </c>
      <c r="O539" s="12" t="n">
        <v>2452990.26</v>
      </c>
      <c r="P539" s="12" t="n">
        <v>62500000</v>
      </c>
      <c r="Q539" s="9" t="inlineStr">
        <is>
          <t>Low</t>
        </is>
      </c>
      <c r="R539" s="11">
        <f>IFERROR(O539/K539,0)</f>
        <v/>
      </c>
    </row>
    <row r="540">
      <c r="A540" s="9" t="inlineStr">
        <is>
          <t>T0539</t>
        </is>
      </c>
      <c r="B540" s="9" t="inlineStr">
        <is>
          <t>Harbor Mutual</t>
        </is>
      </c>
      <c r="C540" s="9" t="inlineStr">
        <is>
          <t>Specialty</t>
        </is>
      </c>
      <c r="D540" s="9" t="inlineStr">
        <is>
          <t>North America</t>
        </is>
      </c>
      <c r="E540" s="9" t="inlineStr">
        <is>
          <t>Sophie Laurent</t>
        </is>
      </c>
      <c r="F540" s="9" t="inlineStr">
        <is>
          <t>Excess of Loss</t>
        </is>
      </c>
      <c r="G540" s="9" t="n">
        <v>2026</v>
      </c>
      <c r="H540" s="12" t="n">
        <v>42800000</v>
      </c>
      <c r="I540" s="12" t="n">
        <v>1245469.36</v>
      </c>
      <c r="J540" s="12" t="n">
        <v>93379.64</v>
      </c>
      <c r="K540" s="12" t="n">
        <v>1006754.4</v>
      </c>
      <c r="L540" s="12" t="n">
        <v>89100.41705900176</v>
      </c>
      <c r="M540" s="9" t="n">
        <v>3</v>
      </c>
      <c r="N540" s="12" t="n">
        <v>114725.56</v>
      </c>
      <c r="O540" s="12" t="n">
        <v>902697.49</v>
      </c>
      <c r="P540" s="12" t="n">
        <v>42800000</v>
      </c>
      <c r="Q540" s="9" t="inlineStr">
        <is>
          <t>Low</t>
        </is>
      </c>
      <c r="R540" s="11">
        <f>IFERROR(O540/K540,0)</f>
        <v/>
      </c>
    </row>
    <row r="541">
      <c r="A541" s="9" t="inlineStr">
        <is>
          <t>T0540</t>
        </is>
      </c>
      <c r="B541" s="9" t="inlineStr">
        <is>
          <t>Evergreen Indemnity</t>
        </is>
      </c>
      <c r="C541" s="9" t="inlineStr">
        <is>
          <t>Specialty</t>
        </is>
      </c>
      <c r="D541" s="9" t="inlineStr">
        <is>
          <t>North America</t>
        </is>
      </c>
      <c r="E541" s="9" t="inlineStr">
        <is>
          <t>Omar Haddad</t>
        </is>
      </c>
      <c r="F541" s="9" t="inlineStr">
        <is>
          <t>Excess of Loss</t>
        </is>
      </c>
      <c r="G541" s="9" t="n">
        <v>2023</v>
      </c>
      <c r="H541" s="12" t="n">
        <v>18600000</v>
      </c>
      <c r="I541" s="12" t="n">
        <v>1894228.44</v>
      </c>
      <c r="J541" s="12" t="n">
        <v>127695.96</v>
      </c>
      <c r="K541" s="12" t="n">
        <v>1894228.44</v>
      </c>
      <c r="L541" s="12" t="n">
        <v>169941</v>
      </c>
      <c r="M541" s="9" t="n">
        <v>9</v>
      </c>
      <c r="N541" s="12" t="n">
        <v>1029541.59</v>
      </c>
      <c r="O541" s="12" t="n">
        <v>1039442.93</v>
      </c>
      <c r="P541" s="12" t="n">
        <v>18600000</v>
      </c>
      <c r="Q541" s="9" t="inlineStr">
        <is>
          <t>Low</t>
        </is>
      </c>
      <c r="R541" s="11">
        <f>IFERROR(O541/K541,0)</f>
        <v/>
      </c>
    </row>
    <row r="542">
      <c r="A542" s="9" t="inlineStr">
        <is>
          <t>T0541</t>
        </is>
      </c>
      <c r="B542" s="9" t="inlineStr">
        <is>
          <t>Evergreen Assurance</t>
        </is>
      </c>
      <c r="C542" s="9" t="inlineStr">
        <is>
          <t>Specialty</t>
        </is>
      </c>
      <c r="D542" s="9" t="inlineStr">
        <is>
          <t>North America</t>
        </is>
      </c>
      <c r="E542" s="9" t="inlineStr">
        <is>
          <t>Kenji Sato</t>
        </is>
      </c>
      <c r="F542" s="9" t="inlineStr">
        <is>
          <t>Proportional</t>
        </is>
      </c>
      <c r="G542" s="9" t="n">
        <v>2021</v>
      </c>
      <c r="H542" s="12" t="n">
        <v>26700000</v>
      </c>
      <c r="I542" s="12" t="n">
        <v>2354467.8</v>
      </c>
      <c r="J542" s="12" t="n">
        <v>169945.2</v>
      </c>
      <c r="K542" s="12" t="n">
        <v>2354467.8</v>
      </c>
      <c r="L542" s="12" t="n">
        <v>746087.04</v>
      </c>
      <c r="M542" s="9" t="n">
        <v>9</v>
      </c>
      <c r="N542" s="12" t="n">
        <v>1358145.11</v>
      </c>
      <c r="O542" s="12" t="n">
        <v>1963417.47</v>
      </c>
      <c r="P542" s="12" t="n">
        <v>10680000</v>
      </c>
      <c r="Q542" s="9" t="inlineStr">
        <is>
          <t>Low</t>
        </is>
      </c>
      <c r="R542" s="11">
        <f>IFERROR(O542/K542,0)</f>
        <v/>
      </c>
    </row>
    <row r="543">
      <c r="A543" s="9" t="inlineStr">
        <is>
          <t>T0542</t>
        </is>
      </c>
      <c r="B543" s="9" t="inlineStr">
        <is>
          <t>Northwind Insurance</t>
        </is>
      </c>
      <c r="C543" s="9" t="inlineStr">
        <is>
          <t>Specialty</t>
        </is>
      </c>
      <c r="D543" s="9" t="inlineStr">
        <is>
          <t>North America</t>
        </is>
      </c>
      <c r="E543" s="9" t="inlineStr">
        <is>
          <t>Kenji Sato</t>
        </is>
      </c>
      <c r="F543" s="9" t="inlineStr">
        <is>
          <t>Proportional</t>
        </is>
      </c>
      <c r="G543" s="9" t="n">
        <v>2021</v>
      </c>
      <c r="H543" s="12" t="n">
        <v>6500000</v>
      </c>
      <c r="I543" s="12" t="n">
        <v>884565.8400000001</v>
      </c>
      <c r="J543" s="12" t="n">
        <v>68462.75999999999</v>
      </c>
      <c r="K543" s="12" t="n">
        <v>884565.8400000001</v>
      </c>
      <c r="L543" s="12" t="n">
        <v>274830.6</v>
      </c>
      <c r="M543" s="9" t="n">
        <v>10</v>
      </c>
      <c r="N543" s="12" t="n">
        <v>760768.8100000001</v>
      </c>
      <c r="O543" s="12" t="n">
        <v>935245.52</v>
      </c>
      <c r="P543" s="12" t="n">
        <v>650000</v>
      </c>
      <c r="Q543" s="9" t="inlineStr">
        <is>
          <t>Low</t>
        </is>
      </c>
      <c r="R543" s="11">
        <f>IFERROR(O543/K543,0)</f>
        <v/>
      </c>
    </row>
    <row r="544">
      <c r="A544" s="9" t="inlineStr">
        <is>
          <t>T0543</t>
        </is>
      </c>
      <c r="B544" s="9" t="inlineStr">
        <is>
          <t>Orion Insurance</t>
        </is>
      </c>
      <c r="C544" s="9" t="inlineStr">
        <is>
          <t>Professional</t>
        </is>
      </c>
      <c r="D544" s="9" t="inlineStr">
        <is>
          <t>Asia Pacific</t>
        </is>
      </c>
      <c r="E544" s="9" t="inlineStr">
        <is>
          <t>James Whitfield</t>
        </is>
      </c>
      <c r="F544" s="9" t="inlineStr">
        <is>
          <t>Excess of Loss</t>
        </is>
      </c>
      <c r="G544" s="9" t="n">
        <v>2025</v>
      </c>
      <c r="H544" s="12" t="n">
        <v>9700000</v>
      </c>
      <c r="I544" s="12" t="n">
        <v>997079.1599999999</v>
      </c>
      <c r="J544" s="12" t="n">
        <v>86726.39999999999</v>
      </c>
      <c r="K544" s="12" t="n">
        <v>997079.1599999999</v>
      </c>
      <c r="L544" s="12" t="n">
        <v>106497.96</v>
      </c>
      <c r="M544" s="9" t="n">
        <v>12</v>
      </c>
      <c r="N544" s="12" t="n">
        <v>76072.82000000001</v>
      </c>
      <c r="O544" s="12" t="n">
        <v>155747.51</v>
      </c>
      <c r="P544" s="12" t="n">
        <v>9700000</v>
      </c>
      <c r="Q544" s="9" t="inlineStr">
        <is>
          <t>Low</t>
        </is>
      </c>
      <c r="R544" s="11">
        <f>IFERROR(O544/K544,0)</f>
        <v/>
      </c>
    </row>
    <row r="545">
      <c r="A545" s="9" t="inlineStr">
        <is>
          <t>T0544</t>
        </is>
      </c>
      <c r="B545" s="9" t="inlineStr">
        <is>
          <t>Atlas Indemnity</t>
        </is>
      </c>
      <c r="C545" s="9" t="inlineStr">
        <is>
          <t>Financial Lines</t>
        </is>
      </c>
      <c r="D545" s="9" t="inlineStr">
        <is>
          <t>North America</t>
        </is>
      </c>
      <c r="E545" s="9" t="inlineStr">
        <is>
          <t>Omar Haddad</t>
        </is>
      </c>
      <c r="F545" s="9" t="inlineStr">
        <is>
          <t>Proportional</t>
        </is>
      </c>
      <c r="G545" s="9" t="n">
        <v>2021</v>
      </c>
      <c r="H545" s="12" t="n">
        <v>53300000</v>
      </c>
      <c r="I545" s="12" t="n">
        <v>6325108.08</v>
      </c>
      <c r="J545" s="12" t="n">
        <v>750057.6000000001</v>
      </c>
      <c r="K545" s="12" t="n">
        <v>6325108.08</v>
      </c>
      <c r="L545" s="12" t="n">
        <v>1408780.8</v>
      </c>
      <c r="M545" s="9" t="n">
        <v>10</v>
      </c>
      <c r="N545" s="12" t="n">
        <v>2955903.01</v>
      </c>
      <c r="O545" s="12" t="n">
        <v>3314965.41</v>
      </c>
      <c r="P545" s="12" t="n">
        <v>21320000</v>
      </c>
      <c r="Q545" s="9" t="inlineStr">
        <is>
          <t>Low</t>
        </is>
      </c>
      <c r="R545" s="11">
        <f>IFERROR(O545/K545,0)</f>
        <v/>
      </c>
    </row>
    <row r="546">
      <c r="A546" s="9" t="inlineStr">
        <is>
          <t>T0545</t>
        </is>
      </c>
      <c r="B546" s="9" t="inlineStr">
        <is>
          <t>Summit Insurance</t>
        </is>
      </c>
      <c r="C546" s="9" t="inlineStr">
        <is>
          <t>Casualty</t>
        </is>
      </c>
      <c r="D546" s="9" t="inlineStr">
        <is>
          <t>Europe</t>
        </is>
      </c>
      <c r="E546" s="9" t="inlineStr">
        <is>
          <t>Priya Nair</t>
        </is>
      </c>
      <c r="F546" s="9" t="inlineStr">
        <is>
          <t>Proportional</t>
        </is>
      </c>
      <c r="G546" s="9" t="n">
        <v>2021</v>
      </c>
      <c r="H546" s="12" t="n">
        <v>73200000.00240001</v>
      </c>
      <c r="I546" s="12" t="n">
        <v>6963707.635200001</v>
      </c>
      <c r="J546" s="12" t="n">
        <v>429153.0336000001</v>
      </c>
      <c r="K546" s="12" t="n">
        <v>6963707.635200001</v>
      </c>
      <c r="L546" s="12" t="n">
        <v>2158535.4336</v>
      </c>
      <c r="M546" s="9" t="n">
        <v>10</v>
      </c>
      <c r="N546" s="12" t="n">
        <v>4681212.3288</v>
      </c>
      <c r="O546" s="12" t="n">
        <v>6402127.518000001</v>
      </c>
      <c r="P546" s="12" t="n">
        <v>18299999.9952</v>
      </c>
      <c r="Q546" s="9" t="inlineStr">
        <is>
          <t>Low</t>
        </is>
      </c>
      <c r="R546" s="11">
        <f>IFERROR(O546/K546,0)</f>
        <v/>
      </c>
    </row>
    <row r="547">
      <c r="A547" s="9" t="inlineStr">
        <is>
          <t>T0546</t>
        </is>
      </c>
      <c r="B547" s="9" t="inlineStr">
        <is>
          <t>Northwind Insurance</t>
        </is>
      </c>
      <c r="C547" s="9" t="inlineStr">
        <is>
          <t>Property</t>
        </is>
      </c>
      <c r="D547" s="9" t="inlineStr">
        <is>
          <t>North America</t>
        </is>
      </c>
      <c r="E547" s="9" t="inlineStr">
        <is>
          <t>Omar Haddad</t>
        </is>
      </c>
      <c r="F547" s="9" t="inlineStr">
        <is>
          <t>Facultative</t>
        </is>
      </c>
      <c r="G547" s="9" t="n">
        <v>2025</v>
      </c>
      <c r="H547" s="12" t="n">
        <v>16300000</v>
      </c>
      <c r="I547" s="12" t="n">
        <v>1493814.6</v>
      </c>
      <c r="J547" s="12" t="n">
        <v>114626.88</v>
      </c>
      <c r="K547" s="12" t="n">
        <v>1493814.6</v>
      </c>
      <c r="L547" s="12" t="n">
        <v>230443.08</v>
      </c>
      <c r="M547" s="9" t="n">
        <v>6</v>
      </c>
      <c r="N547" s="12" t="n">
        <v>829412.0700000001</v>
      </c>
      <c r="O547" s="12" t="n">
        <v>1078764.64</v>
      </c>
      <c r="P547" s="12" t="n">
        <v>16300000</v>
      </c>
      <c r="Q547" s="9" t="inlineStr">
        <is>
          <t>Low</t>
        </is>
      </c>
      <c r="R547" s="11">
        <f>IFERROR(O547/K547,0)</f>
        <v/>
      </c>
    </row>
    <row r="548">
      <c r="A548" s="9" t="inlineStr">
        <is>
          <t>T0547</t>
        </is>
      </c>
      <c r="B548" s="9" t="inlineStr">
        <is>
          <t>Granite Indemnity</t>
        </is>
      </c>
      <c r="C548" s="9" t="inlineStr">
        <is>
          <t>Casualty</t>
        </is>
      </c>
      <c r="D548" s="9" t="inlineStr">
        <is>
          <t>Europe</t>
        </is>
      </c>
      <c r="E548" s="9" t="inlineStr">
        <is>
          <t>James Whitfield</t>
        </is>
      </c>
      <c r="F548" s="9" t="inlineStr">
        <is>
          <t>Proportional</t>
        </is>
      </c>
      <c r="G548" s="9" t="n">
        <v>2023</v>
      </c>
      <c r="H548" s="12" t="n">
        <v>4399999.9956</v>
      </c>
      <c r="I548" s="12" t="n">
        <v>499574.952</v>
      </c>
      <c r="J548" s="12" t="n">
        <v>45402.12</v>
      </c>
      <c r="K548" s="12" t="n">
        <v>499574.952</v>
      </c>
      <c r="L548" s="12" t="n">
        <v>116154.3888</v>
      </c>
      <c r="M548" s="9" t="n">
        <v>11</v>
      </c>
      <c r="N548" s="12" t="n">
        <v>405335.5344</v>
      </c>
      <c r="O548" s="12" t="n">
        <v>406121.742</v>
      </c>
      <c r="P548" s="12" t="n">
        <v>1100000.0016</v>
      </c>
      <c r="Q548" s="9" t="inlineStr">
        <is>
          <t>Low</t>
        </is>
      </c>
      <c r="R548" s="11">
        <f>IFERROR(O548/K548,0)</f>
        <v/>
      </c>
    </row>
    <row r="549">
      <c r="A549" s="9" t="inlineStr">
        <is>
          <t>T0548</t>
        </is>
      </c>
      <c r="B549" s="9" t="inlineStr">
        <is>
          <t>Pioneer Indemnity</t>
        </is>
      </c>
      <c r="C549" s="9" t="inlineStr">
        <is>
          <t>Property</t>
        </is>
      </c>
      <c r="D549" s="9" t="inlineStr">
        <is>
          <t>Unassigned</t>
        </is>
      </c>
      <c r="E549" s="9" t="inlineStr">
        <is>
          <t>Aarav Mehta</t>
        </is>
      </c>
      <c r="F549" s="9" t="inlineStr">
        <is>
          <t>Proportional</t>
        </is>
      </c>
      <c r="G549" s="9" t="n">
        <v>2021</v>
      </c>
      <c r="H549" s="12" t="n">
        <v>7200000</v>
      </c>
      <c r="I549" s="12" t="n">
        <v>583059.6000000001</v>
      </c>
      <c r="J549" s="12" t="n">
        <v>38011.56</v>
      </c>
      <c r="K549" s="12" t="n">
        <v>583059.6000000001</v>
      </c>
      <c r="L549" s="12" t="n">
        <v>170235</v>
      </c>
      <c r="M549" s="9" t="n">
        <v>5</v>
      </c>
      <c r="N549" s="12" t="n">
        <v>580821.02</v>
      </c>
      <c r="O549" s="12" t="n">
        <v>614867.09</v>
      </c>
      <c r="P549" s="12" t="n">
        <v>1080000</v>
      </c>
      <c r="Q549" s="9" t="inlineStr">
        <is>
          <t>Low</t>
        </is>
      </c>
      <c r="R549" s="11">
        <f>IFERROR(O549/K549,0)</f>
        <v/>
      </c>
    </row>
    <row r="550">
      <c r="A550" s="9" t="inlineStr">
        <is>
          <t>T0549</t>
        </is>
      </c>
      <c r="B550" s="9" t="inlineStr">
        <is>
          <t>Orion General</t>
        </is>
      </c>
      <c r="C550" s="9" t="inlineStr">
        <is>
          <t>Casualty</t>
        </is>
      </c>
      <c r="D550" s="9" t="inlineStr">
        <is>
          <t>North America</t>
        </is>
      </c>
      <c r="E550" s="9" t="inlineStr">
        <is>
          <t>Omar Haddad</t>
        </is>
      </c>
      <c r="F550" s="9" t="inlineStr">
        <is>
          <t>Proportional</t>
        </is>
      </c>
      <c r="G550" s="9" t="n">
        <v>2025</v>
      </c>
      <c r="H550" s="12" t="n">
        <v>3500000</v>
      </c>
      <c r="I550" s="12" t="n">
        <v>581584.5599999999</v>
      </c>
      <c r="J550" s="12" t="n">
        <v>37554</v>
      </c>
      <c r="K550" s="12" t="n">
        <v>581584.5599999999</v>
      </c>
      <c r="L550" s="12" t="n">
        <v>183541.68</v>
      </c>
      <c r="M550" s="9" t="n">
        <v>12</v>
      </c>
      <c r="N550" s="12" t="n">
        <v>2453358</v>
      </c>
      <c r="O550" s="12" t="n">
        <v>10700458.39</v>
      </c>
      <c r="P550" s="12" t="n">
        <v>875000</v>
      </c>
      <c r="Q550" s="9" t="inlineStr">
        <is>
          <t>Critical</t>
        </is>
      </c>
      <c r="R550" s="11">
        <f>IFERROR(O550/K550,0)</f>
        <v/>
      </c>
    </row>
    <row r="551">
      <c r="A551" s="9" t="inlineStr">
        <is>
          <t>T0550</t>
        </is>
      </c>
      <c r="B551" s="9" t="inlineStr">
        <is>
          <t>Northwind Insurance</t>
        </is>
      </c>
      <c r="C551" s="9" t="inlineStr">
        <is>
          <t>Professional</t>
        </is>
      </c>
      <c r="D551" s="9" t="inlineStr">
        <is>
          <t>North America</t>
        </is>
      </c>
      <c r="E551" s="9" t="inlineStr">
        <is>
          <t>Aarav Mehta</t>
        </is>
      </c>
      <c r="F551" s="9" t="inlineStr">
        <is>
          <t>Proportional</t>
        </is>
      </c>
      <c r="G551" s="9" t="n">
        <v>2025</v>
      </c>
      <c r="H551" s="12" t="n">
        <v>7900000</v>
      </c>
      <c r="I551" s="12" t="n">
        <v>845779.7999999999</v>
      </c>
      <c r="J551" s="12" t="n">
        <v>70640.88</v>
      </c>
      <c r="K551" s="12" t="n">
        <v>845779.7999999999</v>
      </c>
      <c r="L551" s="12" t="n">
        <v>234600.72</v>
      </c>
      <c r="M551" s="9" t="n">
        <v>3</v>
      </c>
      <c r="N551" s="12" t="n">
        <v>149911.2</v>
      </c>
      <c r="O551" s="12" t="n">
        <v>328997.75</v>
      </c>
      <c r="P551" s="12" t="n">
        <v>1185000</v>
      </c>
      <c r="Q551" s="9" t="inlineStr">
        <is>
          <t>Low</t>
        </is>
      </c>
      <c r="R551" s="11">
        <f>IFERROR(O551/K551,0)</f>
        <v/>
      </c>
    </row>
    <row r="552">
      <c r="A552" s="9" t="inlineStr">
        <is>
          <t>T0551</t>
        </is>
      </c>
      <c r="B552" s="9" t="inlineStr">
        <is>
          <t>Summit Insurance</t>
        </is>
      </c>
      <c r="C552" s="9" t="inlineStr">
        <is>
          <t>Property</t>
        </is>
      </c>
      <c r="D552" s="9" t="inlineStr">
        <is>
          <t>Europe</t>
        </is>
      </c>
      <c r="E552" s="9" t="inlineStr">
        <is>
          <t>Carlos Ibarra</t>
        </is>
      </c>
      <c r="F552" s="9" t="inlineStr">
        <is>
          <t>Proportional</t>
        </is>
      </c>
      <c r="G552" s="9" t="n">
        <v>2021</v>
      </c>
      <c r="H552" s="12" t="n">
        <v>18900000</v>
      </c>
      <c r="I552" s="12" t="n">
        <v>3405624.1344</v>
      </c>
      <c r="J552" s="12" t="n">
        <v>250734.2688</v>
      </c>
      <c r="K552" s="12" t="n">
        <v>3405624.1344</v>
      </c>
      <c r="L552" s="12" t="n">
        <v>841366.1808</v>
      </c>
      <c r="M552" s="9" t="n">
        <v>14</v>
      </c>
      <c r="N552" s="12" t="n">
        <v>1844047.0692</v>
      </c>
      <c r="O552" s="12" t="n">
        <v>1885114.1988</v>
      </c>
      <c r="P552" s="12" t="n">
        <v>7560000.000000001</v>
      </c>
      <c r="Q552" s="9" t="inlineStr">
        <is>
          <t>Low</t>
        </is>
      </c>
      <c r="R552" s="11">
        <f>IFERROR(O552/K552,0)</f>
        <v/>
      </c>
    </row>
    <row r="553">
      <c r="A553" s="9" t="inlineStr">
        <is>
          <t>T0552</t>
        </is>
      </c>
      <c r="B553" s="9" t="inlineStr">
        <is>
          <t>Crown Mutual</t>
        </is>
      </c>
      <c r="C553" s="9" t="inlineStr">
        <is>
          <t>Financial Lines</t>
        </is>
      </c>
      <c r="D553" s="9" t="inlineStr">
        <is>
          <t>North America</t>
        </is>
      </c>
      <c r="E553" s="9" t="inlineStr">
        <is>
          <t>Hannah Weber</t>
        </is>
      </c>
      <c r="F553" s="9" t="inlineStr">
        <is>
          <t>Excess of Loss</t>
        </is>
      </c>
      <c r="G553" s="9" t="n">
        <v>2024</v>
      </c>
      <c r="H553" s="12" t="n">
        <v>9900000</v>
      </c>
      <c r="I553" s="12" t="n">
        <v>755427.12</v>
      </c>
      <c r="J553" s="12" t="n">
        <v>58878.72</v>
      </c>
      <c r="K553" s="12" t="n">
        <v>755427.12</v>
      </c>
      <c r="L553" s="12" t="n">
        <v>49927.8</v>
      </c>
      <c r="M553" s="9" t="n">
        <v>9</v>
      </c>
      <c r="N553" s="12" t="n">
        <v>326610.42</v>
      </c>
      <c r="O553" s="12" t="n">
        <v>473818.02</v>
      </c>
      <c r="P553" s="12" t="n">
        <v>9900000</v>
      </c>
      <c r="Q553" s="9" t="inlineStr">
        <is>
          <t>Low</t>
        </is>
      </c>
      <c r="R553" s="11">
        <f>IFERROR(O553/K553,0)</f>
        <v/>
      </c>
    </row>
    <row r="554">
      <c r="A554" s="9" t="inlineStr">
        <is>
          <t>T0553</t>
        </is>
      </c>
      <c r="B554" s="9" t="inlineStr">
        <is>
          <t>Granite General</t>
        </is>
      </c>
      <c r="C554" s="9" t="inlineStr">
        <is>
          <t>Financial Lines</t>
        </is>
      </c>
      <c r="D554" s="9" t="inlineStr">
        <is>
          <t>Asia Pacific</t>
        </is>
      </c>
      <c r="E554" s="9" t="inlineStr">
        <is>
          <t>Omar Haddad</t>
        </is>
      </c>
      <c r="F554" s="9" t="inlineStr">
        <is>
          <t>Proportional</t>
        </is>
      </c>
      <c r="G554" s="9" t="n">
        <v>2025</v>
      </c>
      <c r="H554" s="12" t="n">
        <v>41400000</v>
      </c>
      <c r="I554" s="12" t="n">
        <v>4534046.4</v>
      </c>
      <c r="J554" s="12" t="n">
        <v>360749.28</v>
      </c>
      <c r="K554" s="12" t="n">
        <v>4534046.4</v>
      </c>
      <c r="L554" s="12" t="n">
        <v>1383455.04</v>
      </c>
      <c r="M554" s="9" t="n">
        <v>13</v>
      </c>
      <c r="N554" s="12" t="n">
        <v>771313.0700000001</v>
      </c>
      <c r="O554" s="12" t="n">
        <v>1381203.38</v>
      </c>
      <c r="P554" s="12" t="n">
        <v>8280000</v>
      </c>
      <c r="Q554" s="9" t="inlineStr">
        <is>
          <t>Low</t>
        </is>
      </c>
      <c r="R554" s="11">
        <f>IFERROR(O554/K554,0)</f>
        <v/>
      </c>
    </row>
    <row r="555">
      <c r="A555" s="9" t="inlineStr">
        <is>
          <t>T0554</t>
        </is>
      </c>
      <c r="B555" s="9" t="inlineStr">
        <is>
          <t>Pioneer Mutual</t>
        </is>
      </c>
      <c r="C555" s="9" t="inlineStr">
        <is>
          <t>Specialty</t>
        </is>
      </c>
      <c r="D555" s="9" t="inlineStr">
        <is>
          <t>Europe</t>
        </is>
      </c>
      <c r="E555" s="9" t="inlineStr">
        <is>
          <t>Kenji Sato</t>
        </is>
      </c>
      <c r="F555" s="9" t="inlineStr">
        <is>
          <t>Excess of Loss</t>
        </is>
      </c>
      <c r="G555" s="9" t="n">
        <v>2022</v>
      </c>
      <c r="H555" s="12" t="n">
        <v>1299999.996</v>
      </c>
      <c r="I555" s="12" t="n">
        <v>200000.016</v>
      </c>
      <c r="J555" s="12" t="n">
        <v>20135.5632</v>
      </c>
      <c r="K555" s="12" t="n">
        <v>200000.016</v>
      </c>
      <c r="L555" s="12" t="n">
        <v>20716.56</v>
      </c>
      <c r="M555" s="9" t="n">
        <v>9</v>
      </c>
      <c r="N555" s="12" t="n">
        <v>89373.49920000001</v>
      </c>
      <c r="O555" s="12" t="n">
        <v>89373.49920000001</v>
      </c>
      <c r="P555" s="12" t="n">
        <v>1299999.996</v>
      </c>
      <c r="Q555" s="9" t="inlineStr">
        <is>
          <t>Low</t>
        </is>
      </c>
      <c r="R555" s="11">
        <f>IFERROR(O555/K555,0)</f>
        <v/>
      </c>
    </row>
    <row r="556">
      <c r="A556" s="9" t="inlineStr">
        <is>
          <t>T0555</t>
        </is>
      </c>
      <c r="B556" s="9" t="inlineStr">
        <is>
          <t>Cobalt Insurance</t>
        </is>
      </c>
      <c r="C556" s="9" t="inlineStr">
        <is>
          <t>Professional</t>
        </is>
      </c>
      <c r="D556" s="9" t="inlineStr">
        <is>
          <t>Middle East &amp; Africa</t>
        </is>
      </c>
      <c r="E556" s="9" t="inlineStr">
        <is>
          <t>Priya Nair</t>
        </is>
      </c>
      <c r="F556" s="9" t="inlineStr">
        <is>
          <t>Excess of Loss</t>
        </is>
      </c>
      <c r="G556" s="9" t="n">
        <v>2025</v>
      </c>
      <c r="H556" s="12" t="n">
        <v>6000000</v>
      </c>
      <c r="I556" s="12" t="n">
        <v>475266.88</v>
      </c>
      <c r="J556" s="12" t="n">
        <v>55519.09</v>
      </c>
      <c r="K556" s="12" t="n">
        <v>465185.46</v>
      </c>
      <c r="L556" s="12" t="n">
        <v>49593.5275245197</v>
      </c>
      <c r="M556" s="9" t="n">
        <v>10</v>
      </c>
      <c r="N556" s="12" t="n">
        <v>270781.34</v>
      </c>
      <c r="O556" s="12" t="n">
        <v>344210.44</v>
      </c>
      <c r="P556" s="12" t="n">
        <v>6000000</v>
      </c>
      <c r="Q556" s="9" t="inlineStr">
        <is>
          <t>Low</t>
        </is>
      </c>
      <c r="R556" s="11">
        <f>IFERROR(O556/K556,0)</f>
        <v/>
      </c>
    </row>
    <row r="557">
      <c r="A557" s="9" t="inlineStr">
        <is>
          <t>T0556</t>
        </is>
      </c>
      <c r="B557" s="9" t="inlineStr">
        <is>
          <t>Cobalt Indemnity</t>
        </is>
      </c>
      <c r="C557" s="9" t="inlineStr">
        <is>
          <t>Property</t>
        </is>
      </c>
      <c r="D557" s="9" t="inlineStr">
        <is>
          <t>North America</t>
        </is>
      </c>
      <c r="E557" s="9" t="inlineStr">
        <is>
          <t>Priya Nair</t>
        </is>
      </c>
      <c r="F557" s="9" t="inlineStr">
        <is>
          <t>Excess of Loss</t>
        </is>
      </c>
      <c r="G557" s="9" t="n">
        <v>2024</v>
      </c>
      <c r="H557" s="12" t="n">
        <v>6800000</v>
      </c>
      <c r="I557" s="12" t="n">
        <v>555324.84</v>
      </c>
      <c r="J557" s="12" t="n">
        <v>28613.88</v>
      </c>
      <c r="K557" s="12" t="n">
        <v>555324.84</v>
      </c>
      <c r="L557" s="12" t="n">
        <v>55674.24000000001</v>
      </c>
      <c r="M557" s="9" t="n">
        <v>9</v>
      </c>
      <c r="N557" s="12" t="n">
        <v>389217.07</v>
      </c>
      <c r="O557" s="12" t="n">
        <v>611115.5499999999</v>
      </c>
      <c r="P557" s="12" t="n">
        <v>6800000</v>
      </c>
      <c r="Q557" s="9" t="inlineStr">
        <is>
          <t>Low</t>
        </is>
      </c>
      <c r="R557" s="11">
        <f>IFERROR(O557/K557,0)</f>
        <v/>
      </c>
    </row>
    <row r="558">
      <c r="A558" s="9" t="inlineStr">
        <is>
          <t>T0557</t>
        </is>
      </c>
      <c r="B558" s="9" t="inlineStr">
        <is>
          <t>Sterling Indemnity</t>
        </is>
      </c>
      <c r="C558" s="9" t="inlineStr">
        <is>
          <t>Specialty</t>
        </is>
      </c>
      <c r="D558" s="9" t="inlineStr">
        <is>
          <t>Europe</t>
        </is>
      </c>
      <c r="E558" s="9" t="inlineStr">
        <is>
          <t>Aarav Mehta</t>
        </is>
      </c>
      <c r="F558" s="9" t="inlineStr">
        <is>
          <t>Proportional</t>
        </is>
      </c>
      <c r="G558" s="9" t="n">
        <v>2025</v>
      </c>
      <c r="H558" s="12" t="n">
        <v>6500000.0016</v>
      </c>
      <c r="I558" s="12" t="n">
        <v>1075613.5152</v>
      </c>
      <c r="J558" s="12" t="n">
        <v>86639.80320000001</v>
      </c>
      <c r="K558" s="12" t="n">
        <v>1075613.5152</v>
      </c>
      <c r="L558" s="12" t="n">
        <v>341298.7488</v>
      </c>
      <c r="M558" s="9" t="n">
        <v>9</v>
      </c>
      <c r="N558" s="12" t="n">
        <v>223733.2536</v>
      </c>
      <c r="O558" s="12" t="n">
        <v>551312.9784</v>
      </c>
      <c r="P558" s="12" t="n">
        <v>649999.998</v>
      </c>
      <c r="Q558" s="9" t="inlineStr">
        <is>
          <t>Low</t>
        </is>
      </c>
      <c r="R558" s="11">
        <f>IFERROR(O558/K558,0)</f>
        <v/>
      </c>
    </row>
    <row r="559">
      <c r="A559" s="9" t="inlineStr">
        <is>
          <t>T0558</t>
        </is>
      </c>
      <c r="B559" s="9" t="inlineStr">
        <is>
          <t>Evergreen General</t>
        </is>
      </c>
      <c r="C559" s="9" t="inlineStr">
        <is>
          <t>Casualty</t>
        </is>
      </c>
      <c r="D559" s="9" t="inlineStr">
        <is>
          <t>North America</t>
        </is>
      </c>
      <c r="E559" s="9" t="inlineStr">
        <is>
          <t>Aarav Mehta</t>
        </is>
      </c>
      <c r="F559" s="9" t="inlineStr">
        <is>
          <t>Proportional</t>
        </is>
      </c>
      <c r="G559" s="9" t="n">
        <v>2021</v>
      </c>
      <c r="H559" s="12" t="n">
        <v>7800000</v>
      </c>
      <c r="I559" s="12" t="n">
        <v>1205829.12</v>
      </c>
      <c r="J559" s="12" t="n">
        <v>127478.16</v>
      </c>
      <c r="K559" s="12" t="n">
        <v>1205829.12</v>
      </c>
      <c r="L559" s="12" t="n">
        <v>344727.24</v>
      </c>
      <c r="M559" s="9" t="n">
        <v>11</v>
      </c>
      <c r="N559" s="12" t="n">
        <v>676234.14</v>
      </c>
      <c r="O559" s="12" t="n">
        <v>821614</v>
      </c>
      <c r="P559" s="12" t="n">
        <v>1560000</v>
      </c>
      <c r="Q559" s="9" t="inlineStr">
        <is>
          <t>Low</t>
        </is>
      </c>
      <c r="R559" s="11">
        <f>IFERROR(O559/K559,0)</f>
        <v/>
      </c>
    </row>
    <row r="560">
      <c r="A560" s="9" t="inlineStr">
        <is>
          <t>T0559</t>
        </is>
      </c>
      <c r="B560" s="9" t="inlineStr">
        <is>
          <t>Evergreen Assurance</t>
        </is>
      </c>
      <c r="C560" s="9" t="inlineStr">
        <is>
          <t>Property</t>
        </is>
      </c>
      <c r="D560" s="9" t="inlineStr">
        <is>
          <t>North America</t>
        </is>
      </c>
      <c r="E560" s="9" t="inlineStr">
        <is>
          <t>Omar Haddad</t>
        </is>
      </c>
      <c r="F560" s="9" t="inlineStr">
        <is>
          <t>Excess of Loss</t>
        </is>
      </c>
      <c r="G560" s="9" t="n">
        <v>2025</v>
      </c>
      <c r="H560" s="12" t="n">
        <v>32900000</v>
      </c>
      <c r="I560" s="12" t="n">
        <v>3931360.32</v>
      </c>
      <c r="J560" s="12" t="n">
        <v>346210.56</v>
      </c>
      <c r="K560" s="12" t="n">
        <v>3931360.32</v>
      </c>
      <c r="L560" s="12" t="n">
        <v>466866.12</v>
      </c>
      <c r="M560" s="9" t="n">
        <v>8</v>
      </c>
      <c r="N560" s="12" t="n">
        <v>1940005.48</v>
      </c>
      <c r="O560" s="12" t="n">
        <v>3527886.87</v>
      </c>
      <c r="P560" s="12" t="n">
        <v>32900000</v>
      </c>
      <c r="Q560" s="9" t="inlineStr">
        <is>
          <t>Low</t>
        </is>
      </c>
      <c r="R560" s="11">
        <f>IFERROR(O560/K560,0)</f>
        <v/>
      </c>
    </row>
    <row r="561">
      <c r="A561" s="9" t="inlineStr">
        <is>
          <t>T0560</t>
        </is>
      </c>
      <c r="B561" s="9" t="inlineStr">
        <is>
          <t>Northwind Mutual</t>
        </is>
      </c>
      <c r="C561" s="9" t="inlineStr">
        <is>
          <t>Property</t>
        </is>
      </c>
      <c r="D561" s="9" t="inlineStr">
        <is>
          <t>Asia Pacific</t>
        </is>
      </c>
      <c r="E561" s="9" t="inlineStr">
        <is>
          <t>Omar Haddad</t>
        </is>
      </c>
      <c r="F561" s="9" t="inlineStr">
        <is>
          <t>Excess of Loss</t>
        </is>
      </c>
      <c r="G561" s="9" t="n">
        <v>2024</v>
      </c>
      <c r="H561" s="12" t="n">
        <v>16400000.00004</v>
      </c>
      <c r="I561" s="12" t="n">
        <v>1496563.98336</v>
      </c>
      <c r="J561" s="12" t="n">
        <v>103654.18944</v>
      </c>
      <c r="K561" s="12" t="n">
        <v>1496563.98336</v>
      </c>
      <c r="L561" s="12" t="n">
        <v>81979.40592</v>
      </c>
      <c r="M561" s="9" t="n">
        <v>4</v>
      </c>
      <c r="N561" s="12" t="n">
        <v>1097193.16716</v>
      </c>
      <c r="O561" s="12" t="n">
        <v>1097193.16716</v>
      </c>
      <c r="P561" s="12" t="n">
        <v>16400000.00004</v>
      </c>
      <c r="Q561" s="9" t="inlineStr">
        <is>
          <t>Low</t>
        </is>
      </c>
      <c r="R561" s="11">
        <f>IFERROR(O561/K561,0)</f>
        <v/>
      </c>
    </row>
    <row r="562">
      <c r="A562" s="9" t="inlineStr">
        <is>
          <t>T0561</t>
        </is>
      </c>
      <c r="B562" s="9" t="inlineStr">
        <is>
          <t>Cobalt Indemnity</t>
        </is>
      </c>
      <c r="C562" s="9" t="inlineStr">
        <is>
          <t>Property</t>
        </is>
      </c>
      <c r="D562" s="9" t="inlineStr">
        <is>
          <t>North America</t>
        </is>
      </c>
      <c r="E562" s="9" t="inlineStr">
        <is>
          <t>Hannah Weber</t>
        </is>
      </c>
      <c r="F562" s="9" t="inlineStr">
        <is>
          <t>Proportional</t>
        </is>
      </c>
      <c r="G562" s="9" t="n">
        <v>2022</v>
      </c>
      <c r="H562" s="12" t="n">
        <v>5800000</v>
      </c>
      <c r="I562" s="12" t="n">
        <v>894016.0900000001</v>
      </c>
      <c r="J562" s="12" t="n">
        <v>63662.61</v>
      </c>
      <c r="K562" s="12" t="n">
        <v>894016.0900000001</v>
      </c>
      <c r="L562" s="12" t="n">
        <v>199087.57</v>
      </c>
      <c r="M562" s="9" t="n">
        <v>6</v>
      </c>
      <c r="N562" s="12" t="n">
        <v>489175.23</v>
      </c>
      <c r="O562" s="12" t="n">
        <v>912708.04</v>
      </c>
      <c r="P562" s="12" t="n">
        <v>1450000</v>
      </c>
      <c r="Q562" s="9" t="inlineStr">
        <is>
          <t>Low</t>
        </is>
      </c>
      <c r="R562" s="11">
        <f>IFERROR(O562/K562,0)</f>
        <v/>
      </c>
    </row>
    <row r="563">
      <c r="A563" s="9" t="inlineStr">
        <is>
          <t>T0562</t>
        </is>
      </c>
      <c r="B563" s="9" t="inlineStr">
        <is>
          <t>Meridian Insurance</t>
        </is>
      </c>
      <c r="C563" s="9" t="inlineStr">
        <is>
          <t>Property</t>
        </is>
      </c>
      <c r="D563" s="9" t="inlineStr">
        <is>
          <t>Asia Pacific</t>
        </is>
      </c>
      <c r="E563" s="9" t="inlineStr">
        <is>
          <t>Priya Nair</t>
        </is>
      </c>
      <c r="F563" s="9" t="inlineStr">
        <is>
          <t>Proportional</t>
        </is>
      </c>
      <c r="G563" s="9" t="n">
        <v>2023</v>
      </c>
      <c r="H563" s="12" t="n">
        <v>9100000</v>
      </c>
      <c r="I563" s="12" t="n">
        <v>859228.5600000001</v>
      </c>
      <c r="J563" s="12" t="n">
        <v>92285.04000000001</v>
      </c>
      <c r="K563" s="12" t="n">
        <v>859228.5600000001</v>
      </c>
      <c r="L563" s="12" t="n">
        <v>230450.28</v>
      </c>
      <c r="M563" s="9" t="n">
        <v>4</v>
      </c>
      <c r="N563" s="12" t="n">
        <v>402556.25</v>
      </c>
      <c r="O563" s="12" t="n">
        <v>465996.06</v>
      </c>
      <c r="P563" s="12" t="n">
        <v>2730000</v>
      </c>
      <c r="Q563" s="9" t="inlineStr">
        <is>
          <t>Low</t>
        </is>
      </c>
      <c r="R563" s="11">
        <f>IFERROR(O563/K563,0)</f>
        <v/>
      </c>
    </row>
    <row r="564">
      <c r="A564" s="9" t="inlineStr">
        <is>
          <t>T0563</t>
        </is>
      </c>
      <c r="B564" s="9" t="inlineStr">
        <is>
          <t>Summit General</t>
        </is>
      </c>
      <c r="C564" s="9" t="inlineStr">
        <is>
          <t>Financial Lines</t>
        </is>
      </c>
      <c r="D564" s="9" t="inlineStr">
        <is>
          <t>North America</t>
        </is>
      </c>
      <c r="E564" s="9" t="inlineStr">
        <is>
          <t>Hannah Weber</t>
        </is>
      </c>
      <c r="F564" s="9" t="inlineStr">
        <is>
          <t>Excess of Loss</t>
        </is>
      </c>
      <c r="G564" s="9" t="n">
        <v>2025</v>
      </c>
      <c r="H564" s="12" t="n">
        <v>20700000</v>
      </c>
      <c r="I564" s="12" t="n">
        <v>1984647.12</v>
      </c>
      <c r="J564" s="12" t="n">
        <v>106020.24</v>
      </c>
      <c r="K564" s="12" t="n">
        <v>1984647.12</v>
      </c>
      <c r="L564" s="12" t="n">
        <v>217792.8</v>
      </c>
      <c r="M564" s="9" t="n">
        <v>11</v>
      </c>
      <c r="N564" s="12" t="n">
        <v>417172.95</v>
      </c>
      <c r="O564" s="12" t="n">
        <v>1572892.77</v>
      </c>
      <c r="P564" s="12" t="n">
        <v>20700000</v>
      </c>
      <c r="Q564" s="9" t="inlineStr">
        <is>
          <t>Low</t>
        </is>
      </c>
      <c r="R564" s="11">
        <f>IFERROR(O564/K564,0)</f>
        <v/>
      </c>
    </row>
    <row r="565">
      <c r="A565" s="9" t="inlineStr">
        <is>
          <t>T0564</t>
        </is>
      </c>
      <c r="B565" s="9" t="inlineStr">
        <is>
          <t>Northwind General</t>
        </is>
      </c>
      <c r="C565" s="9" t="inlineStr">
        <is>
          <t>Financial Lines</t>
        </is>
      </c>
      <c r="D565" s="9" t="inlineStr">
        <is>
          <t>Asia Pacific</t>
        </is>
      </c>
      <c r="E565" s="9" t="inlineStr">
        <is>
          <t>Omar Haddad</t>
        </is>
      </c>
      <c r="F565" s="9" t="inlineStr">
        <is>
          <t>Excess of Loss</t>
        </is>
      </c>
      <c r="G565" s="9" t="n">
        <v>2025</v>
      </c>
      <c r="H565" s="12" t="n">
        <v>42099999.99996</v>
      </c>
      <c r="I565" s="12" t="n">
        <v>3386322.396</v>
      </c>
      <c r="J565" s="12" t="n">
        <v>318394.47024</v>
      </c>
      <c r="K565" s="12" t="n">
        <v>3386322.396</v>
      </c>
      <c r="L565" s="12" t="n">
        <v>302635.88064</v>
      </c>
      <c r="M565" s="9" t="n">
        <v>10</v>
      </c>
      <c r="N565" s="12" t="n">
        <v>2974670.6598</v>
      </c>
      <c r="O565" s="12" t="n">
        <v>3785521.8114</v>
      </c>
      <c r="P565" s="12" t="n">
        <v>42099999.99996</v>
      </c>
      <c r="Q565" s="9" t="inlineStr">
        <is>
          <t>Low</t>
        </is>
      </c>
      <c r="R565" s="11">
        <f>IFERROR(O565/K565,0)</f>
        <v/>
      </c>
    </row>
    <row r="566">
      <c r="A566" s="9" t="inlineStr">
        <is>
          <t>T0565</t>
        </is>
      </c>
      <c r="B566" s="9" t="inlineStr">
        <is>
          <t>Vantage General</t>
        </is>
      </c>
      <c r="C566" s="9" t="inlineStr">
        <is>
          <t>Casualty</t>
        </is>
      </c>
      <c r="D566" s="9" t="inlineStr">
        <is>
          <t>North America</t>
        </is>
      </c>
      <c r="E566" s="9" t="inlineStr">
        <is>
          <t>Sophie Laurent</t>
        </is>
      </c>
      <c r="F566" s="9" t="inlineStr">
        <is>
          <t>Proportional</t>
        </is>
      </c>
      <c r="G566" s="9" t="n">
        <v>2025</v>
      </c>
      <c r="H566" s="12" t="n">
        <v>10000000</v>
      </c>
      <c r="I566" s="12" t="n">
        <v>879598.7999999999</v>
      </c>
      <c r="J566" s="12" t="n">
        <v>89529.36</v>
      </c>
      <c r="K566" s="12" t="n">
        <v>879598.7999999999</v>
      </c>
      <c r="L566" s="12" t="n">
        <v>260083.56</v>
      </c>
      <c r="M566" s="9" t="n">
        <v>9</v>
      </c>
      <c r="N566" s="12" t="n">
        <v>369381</v>
      </c>
      <c r="O566" s="12" t="n">
        <v>1203923.13</v>
      </c>
      <c r="P566" s="12" t="n">
        <v>5000000</v>
      </c>
      <c r="Q566" s="9" t="inlineStr">
        <is>
          <t>Low</t>
        </is>
      </c>
      <c r="R566" s="11">
        <f>IFERROR(O566/K566,0)</f>
        <v/>
      </c>
    </row>
    <row r="567">
      <c r="A567" s="9" t="inlineStr">
        <is>
          <t>T0566</t>
        </is>
      </c>
      <c r="B567" s="9" t="inlineStr">
        <is>
          <t>Meridian Assurance</t>
        </is>
      </c>
      <c r="C567" s="9" t="inlineStr">
        <is>
          <t>Property</t>
        </is>
      </c>
      <c r="D567" s="9" t="inlineStr">
        <is>
          <t>Europe</t>
        </is>
      </c>
      <c r="E567" s="9" t="inlineStr">
        <is>
          <t>Sophie Laurent</t>
        </is>
      </c>
      <c r="F567" s="9" t="inlineStr">
        <is>
          <t>Facultative</t>
        </is>
      </c>
      <c r="G567" s="9" t="n">
        <v>2022</v>
      </c>
      <c r="H567" s="12" t="n">
        <v>24300000</v>
      </c>
      <c r="I567" s="12" t="n">
        <v>1998015.0768</v>
      </c>
      <c r="J567" s="12" t="n">
        <v>137256.3792</v>
      </c>
      <c r="K567" s="12" t="n">
        <v>1998015.0768</v>
      </c>
      <c r="L567" s="12" t="n">
        <v>357072.3648</v>
      </c>
      <c r="M567" s="9" t="n">
        <v>10</v>
      </c>
      <c r="N567" s="12" t="n">
        <v>1047582.8712</v>
      </c>
      <c r="O567" s="12" t="n">
        <v>1115352.6552</v>
      </c>
      <c r="P567" s="12" t="n">
        <v>24300000</v>
      </c>
      <c r="Q567" s="9" t="inlineStr">
        <is>
          <t>Low</t>
        </is>
      </c>
      <c r="R567" s="11">
        <f>IFERROR(O567/K567,0)</f>
        <v/>
      </c>
    </row>
    <row r="568">
      <c r="A568" s="9" t="inlineStr">
        <is>
          <t>T0567</t>
        </is>
      </c>
      <c r="B568" s="9" t="inlineStr">
        <is>
          <t>Sterling Insurance</t>
        </is>
      </c>
      <c r="C568" s="9" t="inlineStr">
        <is>
          <t>Property</t>
        </is>
      </c>
      <c r="D568" s="9" t="inlineStr">
        <is>
          <t>Asia Pacific</t>
        </is>
      </c>
      <c r="E568" s="9" t="inlineStr">
        <is>
          <t>Omar Haddad</t>
        </is>
      </c>
      <c r="F568" s="9" t="inlineStr">
        <is>
          <t>Proportional</t>
        </is>
      </c>
      <c r="G568" s="9" t="n">
        <v>2024</v>
      </c>
      <c r="H568" s="12" t="n">
        <v>13599999.99996</v>
      </c>
      <c r="I568" s="12" t="n">
        <v>1030820.28912</v>
      </c>
      <c r="J568" s="12" t="n">
        <v>89879.80176</v>
      </c>
      <c r="K568" s="12" t="n">
        <v>1030820.28912</v>
      </c>
      <c r="L568" s="12" t="n">
        <v>293070.42144</v>
      </c>
      <c r="M568" s="9" t="n">
        <v>7</v>
      </c>
      <c r="N568" s="12" t="n">
        <v>721275.3746400001</v>
      </c>
      <c r="O568" s="12" t="n">
        <v>784523.0658000001</v>
      </c>
      <c r="P568" s="12" t="n">
        <v>6800000.000039999</v>
      </c>
      <c r="Q568" s="9" t="inlineStr">
        <is>
          <t>Low</t>
        </is>
      </c>
      <c r="R568" s="11">
        <f>IFERROR(O568/K568,0)</f>
        <v/>
      </c>
    </row>
    <row r="569">
      <c r="A569" s="9" t="inlineStr">
        <is>
          <t>T0568</t>
        </is>
      </c>
      <c r="B569" s="9" t="inlineStr">
        <is>
          <t>Northwind General</t>
        </is>
      </c>
      <c r="C569" s="9" t="inlineStr">
        <is>
          <t>Property</t>
        </is>
      </c>
      <c r="D569" s="9" t="inlineStr">
        <is>
          <t>Asia Pacific</t>
        </is>
      </c>
      <c r="E569" s="9" t="inlineStr">
        <is>
          <t>Priya Nair</t>
        </is>
      </c>
      <c r="F569" s="9" t="inlineStr">
        <is>
          <t>Proportional</t>
        </is>
      </c>
      <c r="G569" s="9" t="n">
        <v>2025</v>
      </c>
      <c r="H569" s="12" t="n">
        <v>10700000.00004</v>
      </c>
      <c r="I569" s="12" t="n">
        <v>1422582.0552</v>
      </c>
      <c r="J569" s="12" t="n">
        <v>157701.36672</v>
      </c>
      <c r="K569" s="12" t="n">
        <v>1422582.0552</v>
      </c>
      <c r="L569" s="12" t="n">
        <v>370227.99312</v>
      </c>
      <c r="M569" s="9" t="n">
        <v>4</v>
      </c>
      <c r="N569" s="12" t="n">
        <v>620070.59748</v>
      </c>
      <c r="O569" s="12" t="n">
        <v>955079.60208</v>
      </c>
      <c r="P569" s="12" t="n">
        <v>1605000</v>
      </c>
      <c r="Q569" s="9" t="inlineStr">
        <is>
          <t>Low</t>
        </is>
      </c>
      <c r="R569" s="11">
        <f>IFERROR(O569/K569,0)</f>
        <v/>
      </c>
    </row>
    <row r="570">
      <c r="A570" s="9" t="inlineStr">
        <is>
          <t>T0569</t>
        </is>
      </c>
      <c r="B570" s="9" t="inlineStr">
        <is>
          <t>Evergreen Assurance</t>
        </is>
      </c>
      <c r="C570" s="9" t="inlineStr">
        <is>
          <t>Casualty</t>
        </is>
      </c>
      <c r="D570" s="9" t="inlineStr">
        <is>
          <t>North America</t>
        </is>
      </c>
      <c r="E570" s="9" t="inlineStr">
        <is>
          <t>Sophie Laurent</t>
        </is>
      </c>
      <c r="F570" s="9" t="inlineStr">
        <is>
          <t>Proportional</t>
        </is>
      </c>
      <c r="G570" s="9" t="n">
        <v>2023</v>
      </c>
      <c r="H570" s="12" t="n">
        <v>40500000</v>
      </c>
      <c r="I570" s="12" t="n">
        <v>3031854.6</v>
      </c>
      <c r="J570" s="12" t="n">
        <v>242077.56</v>
      </c>
      <c r="K570" s="12" t="n">
        <v>3031854.6</v>
      </c>
      <c r="L570" s="12" t="n">
        <v>888548.1599999999</v>
      </c>
      <c r="M570" s="9" t="n">
        <v>11</v>
      </c>
      <c r="N570" s="12" t="n">
        <v>2963400.85</v>
      </c>
      <c r="O570" s="12" t="n">
        <v>3021816.77</v>
      </c>
      <c r="P570" s="12" t="n">
        <v>4050000</v>
      </c>
      <c r="Q570" s="9" t="inlineStr">
        <is>
          <t>Low</t>
        </is>
      </c>
      <c r="R570" s="11">
        <f>IFERROR(O570/K570,0)</f>
        <v/>
      </c>
    </row>
    <row r="571">
      <c r="A571" s="9" t="inlineStr">
        <is>
          <t>T0570</t>
        </is>
      </c>
      <c r="B571" s="9" t="inlineStr">
        <is>
          <t>Vantage Mutual</t>
        </is>
      </c>
      <c r="C571" s="9" t="inlineStr">
        <is>
          <t>Financial Lines</t>
        </is>
      </c>
      <c r="D571" s="9" t="inlineStr">
        <is>
          <t>Asia Pacific</t>
        </is>
      </c>
      <c r="E571" s="9" t="inlineStr">
        <is>
          <t>Omar Haddad</t>
        </is>
      </c>
      <c r="F571" s="9" t="inlineStr">
        <is>
          <t>Proportional</t>
        </is>
      </c>
      <c r="G571" s="9" t="n">
        <v>2023</v>
      </c>
      <c r="H571" s="12" t="n">
        <v>31100000.00004</v>
      </c>
      <c r="I571" s="12" t="n">
        <v>2884600.33776</v>
      </c>
      <c r="J571" s="12" t="n">
        <v>201788.49024</v>
      </c>
      <c r="K571" s="12" t="n">
        <v>2884600.33776</v>
      </c>
      <c r="L571" s="12" t="n">
        <v>775453.23072</v>
      </c>
      <c r="M571" s="9" t="n">
        <v>9</v>
      </c>
      <c r="N571" s="12" t="n">
        <v>1152305.75208</v>
      </c>
      <c r="O571" s="12" t="n">
        <v>1175079.9804</v>
      </c>
      <c r="P571" s="12" t="n">
        <v>15549999.99996</v>
      </c>
      <c r="Q571" s="9" t="inlineStr">
        <is>
          <t>Low</t>
        </is>
      </c>
      <c r="R571" s="11">
        <f>IFERROR(O571/K571,0)</f>
        <v/>
      </c>
    </row>
    <row r="572">
      <c r="A572" s="9" t="inlineStr">
        <is>
          <t>T0571</t>
        </is>
      </c>
      <c r="B572" s="9" t="inlineStr">
        <is>
          <t>Orion Insurance</t>
        </is>
      </c>
      <c r="C572" s="9" t="inlineStr">
        <is>
          <t>Property</t>
        </is>
      </c>
      <c r="D572" s="9" t="inlineStr">
        <is>
          <t>Asia Pacific</t>
        </is>
      </c>
      <c r="E572" s="9" t="inlineStr">
        <is>
          <t>Carlos Ibarra</t>
        </is>
      </c>
      <c r="F572" s="9" t="inlineStr">
        <is>
          <t>Excess of Loss</t>
        </is>
      </c>
      <c r="G572" s="9" t="n">
        <v>2023</v>
      </c>
      <c r="H572" s="12" t="n">
        <v>3200000</v>
      </c>
      <c r="I572" s="12" t="n">
        <v>437946.36</v>
      </c>
      <c r="J572" s="12" t="n">
        <v>39537</v>
      </c>
      <c r="K572" s="12" t="n">
        <v>437946.36</v>
      </c>
      <c r="L572" s="12" t="n">
        <v>26730.12</v>
      </c>
      <c r="M572" s="9" t="n">
        <v>5</v>
      </c>
      <c r="N572" s="12" t="n">
        <v>88414.12</v>
      </c>
      <c r="O572" s="12" t="n">
        <v>89958.96000000001</v>
      </c>
      <c r="P572" s="12" t="n">
        <v>3200000</v>
      </c>
      <c r="Q572" s="9" t="inlineStr">
        <is>
          <t>Low</t>
        </is>
      </c>
      <c r="R572" s="11">
        <f>IFERROR(O572/K572,0)</f>
        <v/>
      </c>
    </row>
    <row r="573">
      <c r="A573" s="9" t="inlineStr">
        <is>
          <t>T0572</t>
        </is>
      </c>
      <c r="B573" s="9" t="inlineStr">
        <is>
          <t>Sterling Indemnity</t>
        </is>
      </c>
      <c r="C573" s="9" t="inlineStr">
        <is>
          <t>Casualty</t>
        </is>
      </c>
      <c r="D573" s="9" t="inlineStr">
        <is>
          <t>Europe</t>
        </is>
      </c>
      <c r="E573" s="9" t="inlineStr">
        <is>
          <t>Sophie Laurent</t>
        </is>
      </c>
      <c r="F573" s="9" t="inlineStr">
        <is>
          <t>Excess of Loss</t>
        </is>
      </c>
      <c r="G573" s="9" t="n">
        <v>2025</v>
      </c>
      <c r="H573" s="12" t="n">
        <v>11100000.0024</v>
      </c>
      <c r="I573" s="12" t="n">
        <v>1190987.4528</v>
      </c>
      <c r="J573" s="12" t="n">
        <v>67175.17920000001</v>
      </c>
      <c r="K573" s="12" t="n">
        <v>1190987.4528</v>
      </c>
      <c r="L573" s="12" t="n">
        <v>128193.192</v>
      </c>
      <c r="M573" s="9" t="n">
        <v>7</v>
      </c>
      <c r="N573" s="12" t="n">
        <v>613895.9868000001</v>
      </c>
      <c r="O573" s="12" t="n">
        <v>726955.452</v>
      </c>
      <c r="P573" s="12" t="n">
        <v>11100000.0024</v>
      </c>
      <c r="Q573" s="9" t="inlineStr">
        <is>
          <t>Low</t>
        </is>
      </c>
      <c r="R573" s="11">
        <f>IFERROR(O573/K573,0)</f>
        <v/>
      </c>
    </row>
    <row r="574">
      <c r="A574" s="9" t="inlineStr">
        <is>
          <t>T0573</t>
        </is>
      </c>
      <c r="B574" s="9" t="inlineStr">
        <is>
          <t>Evergreen Indemnity</t>
        </is>
      </c>
      <c r="C574" s="9" t="inlineStr">
        <is>
          <t>Professional</t>
        </is>
      </c>
      <c r="D574" s="9" t="inlineStr">
        <is>
          <t>North America</t>
        </is>
      </c>
      <c r="E574" s="9" t="inlineStr">
        <is>
          <t>Omar Haddad</t>
        </is>
      </c>
      <c r="F574" s="9" t="inlineStr">
        <is>
          <t>Excess of Loss</t>
        </is>
      </c>
      <c r="G574" s="9" t="n">
        <v>2026</v>
      </c>
      <c r="H574" s="12" t="n">
        <v>32600000</v>
      </c>
      <c r="I574" s="12" t="n">
        <v>553233.96</v>
      </c>
      <c r="J574" s="12" t="n">
        <v>64731.32</v>
      </c>
      <c r="K574" s="12" t="n">
        <v>470248.87</v>
      </c>
      <c r="L574" s="12" t="n">
        <v>28314.87724085015</v>
      </c>
      <c r="M574" s="9" t="n">
        <v>0</v>
      </c>
      <c r="N574" s="12" t="n">
        <v>0</v>
      </c>
      <c r="O574" s="12" t="n">
        <v>0</v>
      </c>
      <c r="P574" s="12" t="n">
        <v>32600000</v>
      </c>
      <c r="Q574" s="9" t="inlineStr">
        <is>
          <t>Low</t>
        </is>
      </c>
      <c r="R574" s="11">
        <f>IFERROR(O574/K574,0)</f>
        <v/>
      </c>
    </row>
    <row r="575">
      <c r="A575" s="9" t="inlineStr">
        <is>
          <t>T0574</t>
        </is>
      </c>
      <c r="B575" s="9" t="inlineStr">
        <is>
          <t>Pioneer Insurance</t>
        </is>
      </c>
      <c r="C575" s="9" t="inlineStr">
        <is>
          <t>Casualty</t>
        </is>
      </c>
      <c r="D575" s="9" t="inlineStr">
        <is>
          <t>Europe</t>
        </is>
      </c>
      <c r="E575" s="9" t="inlineStr">
        <is>
          <t>Priya Nair</t>
        </is>
      </c>
      <c r="F575" s="9" t="inlineStr">
        <is>
          <t>Proportional</t>
        </is>
      </c>
      <c r="G575" s="9" t="n">
        <v>2023</v>
      </c>
      <c r="H575" s="12" t="n">
        <v>5400000</v>
      </c>
      <c r="I575" s="12" t="n">
        <v>896508.1296000001</v>
      </c>
      <c r="J575" s="12" t="n">
        <v>61192.7136</v>
      </c>
      <c r="K575" s="12" t="n">
        <v>896508.1296000001</v>
      </c>
      <c r="L575" s="12" t="n">
        <v>268024.7232</v>
      </c>
      <c r="M575" s="9" t="n">
        <v>8</v>
      </c>
      <c r="N575" s="12" t="n">
        <v>621493.0092</v>
      </c>
      <c r="O575" s="12" t="n">
        <v>657692.0064000001</v>
      </c>
      <c r="P575" s="12" t="n">
        <v>1080000</v>
      </c>
      <c r="Q575" s="9" t="inlineStr">
        <is>
          <t>Low</t>
        </is>
      </c>
      <c r="R575" s="11">
        <f>IFERROR(O575/K575,0)</f>
        <v/>
      </c>
    </row>
    <row r="576">
      <c r="A576" s="9" t="inlineStr">
        <is>
          <t>T0575</t>
        </is>
      </c>
      <c r="B576" s="9" t="inlineStr">
        <is>
          <t>Granite General</t>
        </is>
      </c>
      <c r="C576" s="9" t="inlineStr">
        <is>
          <t>Property</t>
        </is>
      </c>
      <c r="D576" s="9" t="inlineStr">
        <is>
          <t>Asia Pacific</t>
        </is>
      </c>
      <c r="E576" s="9" t="inlineStr">
        <is>
          <t>James Whitfield</t>
        </is>
      </c>
      <c r="F576" s="9" t="inlineStr">
        <is>
          <t>Excess of Loss</t>
        </is>
      </c>
      <c r="G576" s="9" t="n">
        <v>2025</v>
      </c>
      <c r="H576" s="12" t="n">
        <v>3200000</v>
      </c>
      <c r="I576" s="12" t="n">
        <v>370552.32</v>
      </c>
      <c r="J576" s="12" t="n">
        <v>26861.88</v>
      </c>
      <c r="K576" s="12" t="n">
        <v>370552.32</v>
      </c>
      <c r="L576" s="12" t="n">
        <v>38483.28</v>
      </c>
      <c r="M576" s="9" t="n">
        <v>15</v>
      </c>
      <c r="N576" s="12" t="n">
        <v>191867.91</v>
      </c>
      <c r="O576" s="12" t="n">
        <v>249493.23</v>
      </c>
      <c r="P576" s="12" t="n">
        <v>3200000</v>
      </c>
      <c r="Q576" s="9" t="inlineStr">
        <is>
          <t>Low</t>
        </is>
      </c>
      <c r="R576" s="11">
        <f>IFERROR(O576/K576,0)</f>
        <v/>
      </c>
    </row>
    <row r="577">
      <c r="A577" s="9" t="inlineStr">
        <is>
          <t>T0576</t>
        </is>
      </c>
      <c r="B577" s="9" t="inlineStr">
        <is>
          <t>Crown Insurance</t>
        </is>
      </c>
      <c r="C577" s="9" t="inlineStr">
        <is>
          <t>Specialty</t>
        </is>
      </c>
      <c r="D577" s="9" t="inlineStr">
        <is>
          <t>Asia Pacific</t>
        </is>
      </c>
      <c r="E577" s="9" t="inlineStr">
        <is>
          <t>Sophie Laurent</t>
        </is>
      </c>
      <c r="F577" s="9" t="inlineStr">
        <is>
          <t>Excess of Loss</t>
        </is>
      </c>
      <c r="G577" s="9" t="n">
        <v>2021</v>
      </c>
      <c r="H577" s="12" t="n">
        <v>4900000</v>
      </c>
      <c r="I577" s="12" t="n">
        <v>478642.5599999999</v>
      </c>
      <c r="J577" s="12" t="n">
        <v>45984.84</v>
      </c>
      <c r="K577" s="12" t="n">
        <v>478642.5599999999</v>
      </c>
      <c r="L577" s="12" t="n">
        <v>48634.2</v>
      </c>
      <c r="M577" s="9" t="n">
        <v>10</v>
      </c>
      <c r="N577" s="12" t="n">
        <v>196224.42</v>
      </c>
      <c r="O577" s="12" t="n">
        <v>196224.42</v>
      </c>
      <c r="P577" s="12" t="n">
        <v>4900000</v>
      </c>
      <c r="Q577" s="9" t="inlineStr">
        <is>
          <t>Low</t>
        </is>
      </c>
      <c r="R577" s="11">
        <f>IFERROR(O577/K577,0)</f>
        <v/>
      </c>
    </row>
    <row r="578">
      <c r="A578" s="9" t="inlineStr">
        <is>
          <t>T0577</t>
        </is>
      </c>
      <c r="B578" s="9" t="inlineStr">
        <is>
          <t>Orion Mutual</t>
        </is>
      </c>
      <c r="C578" s="9" t="inlineStr">
        <is>
          <t>Property</t>
        </is>
      </c>
      <c r="D578" s="9" t="inlineStr">
        <is>
          <t>Europe</t>
        </is>
      </c>
      <c r="E578" s="9" t="inlineStr">
        <is>
          <t>Aarav Mehta</t>
        </is>
      </c>
      <c r="F578" s="9" t="inlineStr">
        <is>
          <t>Proportional</t>
        </is>
      </c>
      <c r="G578" s="9" t="n">
        <v>2025</v>
      </c>
      <c r="H578" s="12" t="n">
        <v>45299999.9952</v>
      </c>
      <c r="I578" s="12" t="n">
        <v>6676247.188800001</v>
      </c>
      <c r="J578" s="12" t="n">
        <v>797715.6048000001</v>
      </c>
      <c r="K578" s="12" t="n">
        <v>6676247.188800001</v>
      </c>
      <c r="L578" s="12" t="n">
        <v>1657545.768</v>
      </c>
      <c r="M578" s="9" t="n">
        <v>5</v>
      </c>
      <c r="N578" s="12" t="n">
        <v>2336945.0292</v>
      </c>
      <c r="O578" s="12" t="n">
        <v>2736263.5596</v>
      </c>
      <c r="P578" s="12" t="n">
        <v>6795000.0036</v>
      </c>
      <c r="Q578" s="9" t="inlineStr">
        <is>
          <t>Low</t>
        </is>
      </c>
      <c r="R578" s="11">
        <f>IFERROR(O578/K578,0)</f>
        <v/>
      </c>
    </row>
    <row r="579">
      <c r="A579" s="9" t="inlineStr">
        <is>
          <t>T0578</t>
        </is>
      </c>
      <c r="B579" s="9" t="inlineStr">
        <is>
          <t>Sterling Mutual</t>
        </is>
      </c>
      <c r="C579" s="9" t="inlineStr">
        <is>
          <t>Specialty</t>
        </is>
      </c>
      <c r="D579" s="9" t="inlineStr">
        <is>
          <t>Europe</t>
        </is>
      </c>
      <c r="E579" s="9" t="inlineStr">
        <is>
          <t>Kenji Sato</t>
        </is>
      </c>
      <c r="F579" s="9" t="inlineStr">
        <is>
          <t>Excess of Loss</t>
        </is>
      </c>
      <c r="G579" s="9" t="n">
        <v>2026</v>
      </c>
      <c r="H579" s="12" t="n">
        <v>5799999.9951</v>
      </c>
      <c r="I579" s="12" t="n">
        <v>155930.346</v>
      </c>
      <c r="J579" s="12" t="n">
        <v>10238.6892</v>
      </c>
      <c r="K579" s="12" t="n">
        <v>116947.7595</v>
      </c>
      <c r="L579" s="12" t="n">
        <v>6580.2129</v>
      </c>
      <c r="M579" s="9" t="n">
        <v>2</v>
      </c>
      <c r="N579" s="12" t="n">
        <v>18890.1324</v>
      </c>
      <c r="O579" s="12" t="n">
        <v>82541.9863</v>
      </c>
      <c r="P579" s="12" t="n">
        <v>5799999.9951</v>
      </c>
      <c r="Q579" s="9" t="inlineStr">
        <is>
          <t>Low</t>
        </is>
      </c>
      <c r="R579" s="11">
        <f>IFERROR(O579/K579,0)</f>
        <v/>
      </c>
    </row>
    <row r="580">
      <c r="A580" s="9" t="inlineStr">
        <is>
          <t>T0579</t>
        </is>
      </c>
      <c r="B580" s="9" t="inlineStr">
        <is>
          <t>Harbor Indemnity</t>
        </is>
      </c>
      <c r="C580" s="9" t="inlineStr">
        <is>
          <t>Financial Lines</t>
        </is>
      </c>
      <c r="D580" s="9" t="inlineStr">
        <is>
          <t>North America</t>
        </is>
      </c>
      <c r="E580" s="9" t="inlineStr">
        <is>
          <t>Carlos Ibarra</t>
        </is>
      </c>
      <c r="F580" s="9" t="inlineStr">
        <is>
          <t>Proportional</t>
        </is>
      </c>
      <c r="G580" s="9" t="n">
        <v>2025</v>
      </c>
      <c r="H580" s="12" t="n">
        <v>10700000</v>
      </c>
      <c r="I580" s="12" t="n">
        <v>897844.5299999999</v>
      </c>
      <c r="J580" s="12" t="n">
        <v>64637.32</v>
      </c>
      <c r="K580" s="12" t="n">
        <v>878799.34</v>
      </c>
      <c r="L580" s="12" t="n">
        <v>249777.4064806561</v>
      </c>
      <c r="M580" s="9" t="n">
        <v>11</v>
      </c>
      <c r="N580" s="12" t="n">
        <v>96264.41</v>
      </c>
      <c r="O580" s="12" t="n">
        <v>206349.73</v>
      </c>
      <c r="P580" s="12" t="n">
        <v>3210000</v>
      </c>
      <c r="Q580" s="9" t="inlineStr">
        <is>
          <t>Low</t>
        </is>
      </c>
      <c r="R580" s="11">
        <f>IFERROR(O580/K580,0)</f>
        <v/>
      </c>
    </row>
    <row r="581">
      <c r="A581" s="9" t="inlineStr">
        <is>
          <t>T0580</t>
        </is>
      </c>
      <c r="B581" s="9" t="inlineStr">
        <is>
          <t>Pioneer Insurance</t>
        </is>
      </c>
      <c r="C581" s="9" t="inlineStr">
        <is>
          <t>Specialty</t>
        </is>
      </c>
      <c r="D581" s="9" t="inlineStr">
        <is>
          <t>Europe</t>
        </is>
      </c>
      <c r="E581" s="9" t="inlineStr">
        <is>
          <t>Unassigned</t>
        </is>
      </c>
      <c r="F581" s="9" t="inlineStr">
        <is>
          <t>Excess of Loss</t>
        </is>
      </c>
      <c r="G581" s="9" t="n">
        <v>2026</v>
      </c>
      <c r="H581" s="12" t="n">
        <v>25400000.0016</v>
      </c>
      <c r="I581" s="12" t="n">
        <v>1380158.1792</v>
      </c>
      <c r="J581" s="12" t="n">
        <v>156558.3552</v>
      </c>
      <c r="K581" s="12" t="n">
        <v>1219139.7264</v>
      </c>
      <c r="L581" s="12" t="n">
        <v>102100.2092405968</v>
      </c>
      <c r="M581" s="9" t="n">
        <v>2</v>
      </c>
      <c r="N581" s="12" t="n">
        <v>50836.8636</v>
      </c>
      <c r="O581" s="12" t="n">
        <v>592898.454</v>
      </c>
      <c r="P581" s="12" t="n">
        <v>25400000.0016</v>
      </c>
      <c r="Q581" s="9" t="inlineStr">
        <is>
          <t>Low</t>
        </is>
      </c>
      <c r="R581" s="11">
        <f>IFERROR(O581/K581,0)</f>
        <v/>
      </c>
    </row>
    <row r="582">
      <c r="A582" s="9" t="inlineStr">
        <is>
          <t>T0581</t>
        </is>
      </c>
      <c r="B582" s="9" t="inlineStr">
        <is>
          <t>Evergreen Assurance</t>
        </is>
      </c>
      <c r="C582" s="9" t="inlineStr">
        <is>
          <t>Property</t>
        </is>
      </c>
      <c r="D582" s="9" t="inlineStr">
        <is>
          <t>North America</t>
        </is>
      </c>
      <c r="E582" s="9" t="inlineStr">
        <is>
          <t>Priya Nair</t>
        </is>
      </c>
      <c r="F582" s="9" t="inlineStr">
        <is>
          <t>Excess of Loss</t>
        </is>
      </c>
      <c r="G582" s="9" t="n">
        <v>2022</v>
      </c>
      <c r="H582" s="12" t="n">
        <v>23100000</v>
      </c>
      <c r="I582" s="12" t="n">
        <v>2223012.84</v>
      </c>
      <c r="J582" s="12" t="n">
        <v>192283.08</v>
      </c>
      <c r="K582" s="12" t="n">
        <v>2223012.84</v>
      </c>
      <c r="L582" s="12" t="n">
        <v>166155.24</v>
      </c>
      <c r="M582" s="9" t="n">
        <v>15</v>
      </c>
      <c r="N582" s="12" t="n">
        <v>798155.02</v>
      </c>
      <c r="O582" s="12" t="n">
        <v>954342.14</v>
      </c>
      <c r="P582" s="12" t="n">
        <v>23100000</v>
      </c>
      <c r="Q582" s="9" t="inlineStr">
        <is>
          <t>Low</t>
        </is>
      </c>
      <c r="R582" s="11">
        <f>IFERROR(O582/K582,0)</f>
        <v/>
      </c>
    </row>
    <row r="583">
      <c r="A583" s="9" t="inlineStr">
        <is>
          <t>T0582</t>
        </is>
      </c>
      <c r="B583" s="9" t="inlineStr">
        <is>
          <t>Sterling Indemnity</t>
        </is>
      </c>
      <c r="C583" s="9" t="inlineStr">
        <is>
          <t>Property</t>
        </is>
      </c>
      <c r="D583" s="9" t="inlineStr">
        <is>
          <t>Europe</t>
        </is>
      </c>
      <c r="E583" s="9" t="inlineStr">
        <is>
          <t>Priya Nair</t>
        </is>
      </c>
      <c r="F583" s="9" t="inlineStr">
        <is>
          <t>Excess of Loss</t>
        </is>
      </c>
      <c r="G583" s="9" t="n">
        <v>2023</v>
      </c>
      <c r="H583" s="12" t="n">
        <v>15099999.9984</v>
      </c>
      <c r="I583" s="12" t="n">
        <v>1136740.392</v>
      </c>
      <c r="J583" s="12" t="n">
        <v>58392.7056</v>
      </c>
      <c r="K583" s="12" t="n">
        <v>1136740.392</v>
      </c>
      <c r="L583" s="12" t="n">
        <v>80198.55359999998</v>
      </c>
      <c r="M583" s="9" t="n">
        <v>5</v>
      </c>
      <c r="N583" s="12" t="n">
        <v>351107.2224</v>
      </c>
      <c r="O583" s="12" t="n">
        <v>839337.3144</v>
      </c>
      <c r="P583" s="12" t="n">
        <v>15099999.9984</v>
      </c>
      <c r="Q583" s="9" t="inlineStr">
        <is>
          <t>Low</t>
        </is>
      </c>
      <c r="R583" s="11">
        <f>IFERROR(O583/K583,0)</f>
        <v/>
      </c>
    </row>
    <row r="584">
      <c r="A584" s="9" t="inlineStr">
        <is>
          <t>T0583</t>
        </is>
      </c>
      <c r="B584" s="9" t="inlineStr">
        <is>
          <t>Sterling Mutual</t>
        </is>
      </c>
      <c r="C584" s="9" t="inlineStr">
        <is>
          <t>Property</t>
        </is>
      </c>
      <c r="D584" s="9" t="inlineStr">
        <is>
          <t>Europe</t>
        </is>
      </c>
      <c r="E584" s="9" t="inlineStr">
        <is>
          <t>Aarav Mehta</t>
        </is>
      </c>
      <c r="F584" s="9" t="inlineStr">
        <is>
          <t>Excess of Loss</t>
        </is>
      </c>
      <c r="G584" s="9" t="n">
        <v>2026</v>
      </c>
      <c r="H584" s="12" t="n">
        <v>8800000.0022</v>
      </c>
      <c r="I584" s="12" t="n">
        <v>438927.6591</v>
      </c>
      <c r="J584" s="12" t="n">
        <v>44449.1999</v>
      </c>
      <c r="K584" s="12" t="n">
        <v>426386.8663</v>
      </c>
      <c r="L584" s="12" t="n">
        <v>41070.91583533926</v>
      </c>
      <c r="M584" s="9" t="n">
        <v>4</v>
      </c>
      <c r="N584" s="12" t="n">
        <v>335489.7405</v>
      </c>
      <c r="O584" s="12" t="n">
        <v>500236.2614</v>
      </c>
      <c r="P584" s="12" t="n">
        <v>8800000.0022</v>
      </c>
      <c r="Q584" s="9" t="inlineStr">
        <is>
          <t>Low</t>
        </is>
      </c>
      <c r="R584" s="11">
        <f>IFERROR(O584/K584,0)</f>
        <v/>
      </c>
    </row>
    <row r="585">
      <c r="A585" s="9" t="inlineStr">
        <is>
          <t>T0584</t>
        </is>
      </c>
      <c r="B585" s="9" t="inlineStr">
        <is>
          <t>Cobalt Indemnity</t>
        </is>
      </c>
      <c r="C585" s="9" t="inlineStr">
        <is>
          <t>Casualty</t>
        </is>
      </c>
      <c r="D585" s="9" t="inlineStr">
        <is>
          <t>North America</t>
        </is>
      </c>
      <c r="E585" s="9" t="inlineStr">
        <is>
          <t>James Whitfield</t>
        </is>
      </c>
      <c r="F585" s="9" t="inlineStr">
        <is>
          <t>Facultative</t>
        </is>
      </c>
      <c r="G585" s="9" t="n">
        <v>2024</v>
      </c>
      <c r="H585" s="12" t="n">
        <v>2500000</v>
      </c>
      <c r="I585" s="12" t="n">
        <v>200000.04</v>
      </c>
      <c r="J585" s="12" t="n">
        <v>19776.12</v>
      </c>
      <c r="K585" s="12" t="n">
        <v>200000.04</v>
      </c>
      <c r="L585" s="12" t="n">
        <v>35836.44</v>
      </c>
      <c r="M585" s="9" t="n">
        <v>9</v>
      </c>
      <c r="N585" s="12" t="n">
        <v>126009.68</v>
      </c>
      <c r="O585" s="12" t="n">
        <v>135144.82</v>
      </c>
      <c r="P585" s="12" t="n">
        <v>2500000</v>
      </c>
      <c r="Q585" s="9" t="inlineStr">
        <is>
          <t>Low</t>
        </is>
      </c>
      <c r="R585" s="11">
        <f>IFERROR(O585/K585,0)</f>
        <v/>
      </c>
    </row>
    <row r="586">
      <c r="A586" s="9" t="inlineStr">
        <is>
          <t>T0585</t>
        </is>
      </c>
      <c r="B586" s="9" t="inlineStr">
        <is>
          <t>Meridian Assurance</t>
        </is>
      </c>
      <c r="C586" s="9" t="inlineStr">
        <is>
          <t>Casualty</t>
        </is>
      </c>
      <c r="D586" s="9" t="inlineStr">
        <is>
          <t>Europe</t>
        </is>
      </c>
      <c r="E586" s="9" t="inlineStr">
        <is>
          <t>Aarav Mehta</t>
        </is>
      </c>
      <c r="F586" s="9" t="inlineStr">
        <is>
          <t>Proportional</t>
        </is>
      </c>
      <c r="G586" s="9" t="n">
        <v>2025</v>
      </c>
      <c r="H586" s="12" t="n">
        <v>5700000.002400001</v>
      </c>
      <c r="I586" s="12" t="n">
        <v>1026483.5808</v>
      </c>
      <c r="J586" s="12" t="n">
        <v>67865.68799999999</v>
      </c>
      <c r="K586" s="12" t="n">
        <v>1026483.5808</v>
      </c>
      <c r="L586" s="12" t="n">
        <v>261937.9296</v>
      </c>
      <c r="M586" s="9" t="n">
        <v>6</v>
      </c>
      <c r="N586" s="12" t="n">
        <v>211934.4588</v>
      </c>
      <c r="O586" s="12" t="n">
        <v>488868.9444</v>
      </c>
      <c r="P586" s="12" t="n">
        <v>1709999.9964</v>
      </c>
      <c r="Q586" s="9" t="inlineStr">
        <is>
          <t>Low</t>
        </is>
      </c>
      <c r="R586" s="11">
        <f>IFERROR(O586/K586,0)</f>
        <v/>
      </c>
    </row>
    <row r="587">
      <c r="A587" s="9" t="inlineStr">
        <is>
          <t>T0586</t>
        </is>
      </c>
      <c r="B587" s="9" t="inlineStr">
        <is>
          <t>Vantage Assurance</t>
        </is>
      </c>
      <c r="C587" s="9" t="inlineStr">
        <is>
          <t>Professional</t>
        </is>
      </c>
      <c r="D587" s="9" t="inlineStr">
        <is>
          <t>Europe</t>
        </is>
      </c>
      <c r="E587" s="9" t="inlineStr">
        <is>
          <t>James Whitfield</t>
        </is>
      </c>
      <c r="F587" s="9" t="inlineStr">
        <is>
          <t>Proportional</t>
        </is>
      </c>
      <c r="G587" s="9" t="n">
        <v>2023</v>
      </c>
      <c r="H587" s="12" t="n">
        <v>2499999.9948</v>
      </c>
      <c r="I587" s="12" t="n">
        <v>288717.5664</v>
      </c>
      <c r="J587" s="12" t="n">
        <v>17048.3616</v>
      </c>
      <c r="K587" s="12" t="n">
        <v>288717.5664</v>
      </c>
      <c r="L587" s="12" t="n">
        <v>64832.78879999999</v>
      </c>
      <c r="M587" s="9" t="n">
        <v>10</v>
      </c>
      <c r="N587" s="12" t="n">
        <v>133830.252</v>
      </c>
      <c r="O587" s="12" t="n">
        <v>145165.4028</v>
      </c>
      <c r="P587" s="12" t="n">
        <v>374999.9976</v>
      </c>
      <c r="Q587" s="9" t="inlineStr">
        <is>
          <t>Low</t>
        </is>
      </c>
      <c r="R587" s="11">
        <f>IFERROR(O587/K587,0)</f>
        <v/>
      </c>
    </row>
    <row r="588">
      <c r="A588" s="9" t="inlineStr">
        <is>
          <t>T0587</t>
        </is>
      </c>
      <c r="B588" s="9" t="inlineStr">
        <is>
          <t>Pioneer General</t>
        </is>
      </c>
      <c r="C588" s="9" t="inlineStr">
        <is>
          <t>Financial Lines</t>
        </is>
      </c>
      <c r="D588" s="9" t="inlineStr">
        <is>
          <t>Europe</t>
        </is>
      </c>
      <c r="E588" s="9" t="inlineStr">
        <is>
          <t>Unassigned</t>
        </is>
      </c>
      <c r="F588" s="9" t="inlineStr">
        <is>
          <t>Facultative</t>
        </is>
      </c>
      <c r="G588" s="9" t="n">
        <v>2023</v>
      </c>
      <c r="H588" s="12" t="n">
        <v>10300000.0032</v>
      </c>
      <c r="I588" s="12" t="n">
        <v>1030049.136</v>
      </c>
      <c r="J588" s="12" t="n">
        <v>115257.0384</v>
      </c>
      <c r="K588" s="12" t="n">
        <v>1030049.136</v>
      </c>
      <c r="L588" s="12" t="n">
        <v>181903.968</v>
      </c>
      <c r="M588" s="9" t="n">
        <v>11</v>
      </c>
      <c r="N588" s="12" t="n">
        <v>471795.7104</v>
      </c>
      <c r="O588" s="12" t="n">
        <v>483750.3924</v>
      </c>
      <c r="P588" s="12" t="n">
        <v>10300000.0032</v>
      </c>
      <c r="Q588" s="9" t="inlineStr">
        <is>
          <t>Low</t>
        </is>
      </c>
      <c r="R588" s="11">
        <f>IFERROR(O588/K588,0)</f>
        <v/>
      </c>
    </row>
    <row r="589">
      <c r="A589" s="9" t="inlineStr">
        <is>
          <t>T0588</t>
        </is>
      </c>
      <c r="B589" s="9" t="inlineStr">
        <is>
          <t>Cobalt Assurance</t>
        </is>
      </c>
      <c r="C589" s="9" t="inlineStr">
        <is>
          <t>Property</t>
        </is>
      </c>
      <c r="D589" s="9" t="inlineStr">
        <is>
          <t>Europe</t>
        </is>
      </c>
      <c r="E589" s="9" t="inlineStr">
        <is>
          <t>Aarav Mehta</t>
        </is>
      </c>
      <c r="F589" s="9" t="inlineStr">
        <is>
          <t>Facultative</t>
        </is>
      </c>
      <c r="G589" s="9" t="n">
        <v>2022</v>
      </c>
      <c r="H589" s="12" t="n">
        <v>18699999.9948</v>
      </c>
      <c r="I589" s="12" t="n">
        <v>2428208.928</v>
      </c>
      <c r="J589" s="12" t="n">
        <v>141860.5488</v>
      </c>
      <c r="K589" s="12" t="n">
        <v>2428208.928</v>
      </c>
      <c r="L589" s="12" t="n">
        <v>467945.0352000001</v>
      </c>
      <c r="M589" s="9" t="n">
        <v>12</v>
      </c>
      <c r="N589" s="12" t="n">
        <v>1119647.8044</v>
      </c>
      <c r="O589" s="12" t="n">
        <v>1261471.2876</v>
      </c>
      <c r="P589" s="12" t="n">
        <v>18699999.9948</v>
      </c>
      <c r="Q589" s="9" t="inlineStr">
        <is>
          <t>Low</t>
        </is>
      </c>
      <c r="R589" s="11">
        <f>IFERROR(O589/K589,0)</f>
        <v/>
      </c>
    </row>
    <row r="590">
      <c r="A590" s="9" t="inlineStr">
        <is>
          <t>T0589</t>
        </is>
      </c>
      <c r="B590" s="9" t="inlineStr">
        <is>
          <t>Pioneer Insurance</t>
        </is>
      </c>
      <c r="C590" s="9" t="inlineStr">
        <is>
          <t>Property</t>
        </is>
      </c>
      <c r="D590" s="9" t="inlineStr">
        <is>
          <t>Europe</t>
        </is>
      </c>
      <c r="E590" s="9" t="inlineStr">
        <is>
          <t>Sophie Laurent</t>
        </is>
      </c>
      <c r="F590" s="9" t="inlineStr">
        <is>
          <t>Excess of Loss</t>
        </is>
      </c>
      <c r="G590" s="9" t="n">
        <v>2025</v>
      </c>
      <c r="H590" s="12" t="n">
        <v>9399999.995999999</v>
      </c>
      <c r="I590" s="12" t="n">
        <v>713463.8112</v>
      </c>
      <c r="J590" s="12" t="n">
        <v>36108.3744</v>
      </c>
      <c r="K590" s="12" t="n">
        <v>713463.8112</v>
      </c>
      <c r="L590" s="12" t="n">
        <v>83114.68320000001</v>
      </c>
      <c r="M590" s="9" t="n">
        <v>10</v>
      </c>
      <c r="N590" s="12" t="n">
        <v>557092.2204</v>
      </c>
      <c r="O590" s="12" t="n">
        <v>590259.8952</v>
      </c>
      <c r="P590" s="12" t="n">
        <v>9399999.995999999</v>
      </c>
      <c r="Q590" s="9" t="inlineStr">
        <is>
          <t>Low</t>
        </is>
      </c>
      <c r="R590" s="11">
        <f>IFERROR(O590/K590,0)</f>
        <v/>
      </c>
    </row>
    <row r="591">
      <c r="A591" s="9" t="inlineStr">
        <is>
          <t>T0590</t>
        </is>
      </c>
      <c r="B591" s="9" t="inlineStr">
        <is>
          <t>Evergreen Insurance</t>
        </is>
      </c>
      <c r="C591" s="9" t="inlineStr">
        <is>
          <t>Financial Lines</t>
        </is>
      </c>
      <c r="D591" s="9" t="inlineStr">
        <is>
          <t>North America</t>
        </is>
      </c>
      <c r="E591" s="9" t="inlineStr">
        <is>
          <t>James Whitfield</t>
        </is>
      </c>
      <c r="F591" s="9" t="inlineStr">
        <is>
          <t>Proportional</t>
        </is>
      </c>
      <c r="G591" s="9" t="n">
        <v>2021</v>
      </c>
      <c r="H591" s="12" t="n">
        <v>24400000</v>
      </c>
      <c r="I591" s="12" t="n">
        <v>1937000.88</v>
      </c>
      <c r="J591" s="12" t="n">
        <v>116608.2</v>
      </c>
      <c r="K591" s="12" t="n">
        <v>1937000.88</v>
      </c>
      <c r="L591" s="12" t="n">
        <v>457226.04</v>
      </c>
      <c r="M591" s="9" t="n">
        <v>14</v>
      </c>
      <c r="N591" s="12" t="n">
        <v>751589.74</v>
      </c>
      <c r="O591" s="12" t="n">
        <v>845461.84</v>
      </c>
      <c r="P591" s="12" t="n">
        <v>2440000</v>
      </c>
      <c r="Q591" s="9" t="inlineStr">
        <is>
          <t>Low</t>
        </is>
      </c>
      <c r="R591" s="11">
        <f>IFERROR(O591/K591,0)</f>
        <v/>
      </c>
    </row>
    <row r="592">
      <c r="A592" s="9" t="inlineStr">
        <is>
          <t>T0591</t>
        </is>
      </c>
      <c r="B592" s="9" t="inlineStr">
        <is>
          <t>Meridian General</t>
        </is>
      </c>
      <c r="C592" s="9" t="inlineStr">
        <is>
          <t>Specialty</t>
        </is>
      </c>
      <c r="D592" s="9" t="inlineStr">
        <is>
          <t>North America</t>
        </is>
      </c>
      <c r="E592" s="9" t="inlineStr">
        <is>
          <t>James Whitfield</t>
        </is>
      </c>
      <c r="F592" s="9" t="inlineStr">
        <is>
          <t>Excess of Loss</t>
        </is>
      </c>
      <c r="G592" s="9" t="n">
        <v>2023</v>
      </c>
      <c r="H592" s="12" t="n">
        <v>13700000</v>
      </c>
      <c r="I592" s="12" t="n">
        <v>1109977.32</v>
      </c>
      <c r="J592" s="12" t="n">
        <v>86923.79999999999</v>
      </c>
      <c r="K592" s="12" t="n">
        <v>1109977.32</v>
      </c>
      <c r="L592" s="12" t="n">
        <v>78752.28</v>
      </c>
      <c r="M592" s="9" t="n">
        <v>8</v>
      </c>
      <c r="N592" s="12" t="n">
        <v>499517.86</v>
      </c>
      <c r="O592" s="12" t="n">
        <v>499517.86</v>
      </c>
      <c r="P592" s="12" t="n">
        <v>13700000</v>
      </c>
      <c r="Q592" s="9" t="inlineStr">
        <is>
          <t>Low</t>
        </is>
      </c>
      <c r="R592" s="11">
        <f>IFERROR(O592/K592,0)</f>
        <v/>
      </c>
    </row>
    <row r="593">
      <c r="A593" s="9" t="inlineStr">
        <is>
          <t>T0592</t>
        </is>
      </c>
      <c r="B593" s="9" t="inlineStr">
        <is>
          <t>Atlas General</t>
        </is>
      </c>
      <c r="C593" s="9" t="inlineStr">
        <is>
          <t>Financial Lines</t>
        </is>
      </c>
      <c r="D593" s="9" t="inlineStr">
        <is>
          <t>Asia Pacific</t>
        </is>
      </c>
      <c r="E593" s="9" t="inlineStr">
        <is>
          <t>Carlos Ibarra</t>
        </is>
      </c>
      <c r="F593" s="9" t="inlineStr">
        <is>
          <t>Excess of Loss</t>
        </is>
      </c>
      <c r="G593" s="9" t="n">
        <v>2026</v>
      </c>
      <c r="H593" s="12" t="n">
        <v>10200000</v>
      </c>
      <c r="I593" s="12" t="n">
        <v>553942.4400000001</v>
      </c>
      <c r="J593" s="12" t="n">
        <v>57490.74</v>
      </c>
      <c r="K593" s="12" t="n">
        <v>535477.6900000001</v>
      </c>
      <c r="L593" s="12" t="n">
        <v>38867.51085483051</v>
      </c>
      <c r="M593" s="9" t="n">
        <v>4</v>
      </c>
      <c r="N593" s="12" t="n">
        <v>51106.35</v>
      </c>
      <c r="O593" s="12" t="n">
        <v>154411.74</v>
      </c>
      <c r="P593" s="12" t="n">
        <v>10200000</v>
      </c>
      <c r="Q593" s="9" t="inlineStr">
        <is>
          <t>Low</t>
        </is>
      </c>
      <c r="R593" s="11">
        <f>IFERROR(O593/K593,0)</f>
        <v/>
      </c>
    </row>
    <row r="594">
      <c r="A594" s="9" t="inlineStr">
        <is>
          <t>T0593</t>
        </is>
      </c>
      <c r="B594" s="9" t="inlineStr">
        <is>
          <t>Cobalt General</t>
        </is>
      </c>
      <c r="C594" s="9" t="inlineStr">
        <is>
          <t>Specialty</t>
        </is>
      </c>
      <c r="D594" s="9" t="inlineStr">
        <is>
          <t>North America</t>
        </is>
      </c>
      <c r="E594" s="9" t="inlineStr">
        <is>
          <t>Priya Nair</t>
        </is>
      </c>
      <c r="F594" s="9" t="inlineStr">
        <is>
          <t>Proportional</t>
        </is>
      </c>
      <c r="G594" s="9" t="n">
        <v>2023</v>
      </c>
      <c r="H594" s="12" t="n">
        <v>38100000</v>
      </c>
      <c r="I594" s="12" t="n">
        <v>3412676.76</v>
      </c>
      <c r="J594" s="12" t="n">
        <v>203615.04</v>
      </c>
      <c r="K594" s="12" t="n">
        <v>3412676.76</v>
      </c>
      <c r="L594" s="12" t="n">
        <v>998620.4399999999</v>
      </c>
      <c r="M594" s="9" t="n">
        <v>6</v>
      </c>
      <c r="N594" s="12" t="n">
        <v>2077434.15</v>
      </c>
      <c r="O594" s="12" t="n">
        <v>2077434.15</v>
      </c>
      <c r="P594" s="12" t="n">
        <v>7620000</v>
      </c>
      <c r="Q594" s="9" t="inlineStr">
        <is>
          <t>Low</t>
        </is>
      </c>
      <c r="R594" s="11">
        <f>IFERROR(O594/K594,0)</f>
        <v/>
      </c>
    </row>
    <row r="595">
      <c r="A595" s="9" t="inlineStr">
        <is>
          <t>T0594</t>
        </is>
      </c>
      <c r="B595" s="9" t="inlineStr">
        <is>
          <t>Pioneer Insurance</t>
        </is>
      </c>
      <c r="C595" s="9" t="inlineStr">
        <is>
          <t>Property</t>
        </is>
      </c>
      <c r="D595" s="9" t="inlineStr">
        <is>
          <t>Europe</t>
        </is>
      </c>
      <c r="E595" s="9" t="inlineStr">
        <is>
          <t>Kenji Sato</t>
        </is>
      </c>
      <c r="F595" s="9" t="inlineStr">
        <is>
          <t>Proportional</t>
        </is>
      </c>
      <c r="G595" s="9" t="n">
        <v>2026</v>
      </c>
      <c r="H595" s="12" t="n">
        <v>9399999.995999999</v>
      </c>
      <c r="I595" s="12" t="n">
        <v>732170.5668000001</v>
      </c>
      <c r="J595" s="12" t="n">
        <v>36740.7252</v>
      </c>
      <c r="K595" s="12" t="n">
        <v>661665.2508000002</v>
      </c>
      <c r="L595" s="12" t="n">
        <v>192012.793293176</v>
      </c>
      <c r="M595" s="9" t="n">
        <v>3</v>
      </c>
      <c r="N595" s="12" t="n">
        <v>54296.71920000001</v>
      </c>
      <c r="O595" s="12" t="n">
        <v>183889.4076</v>
      </c>
      <c r="P595" s="12" t="n">
        <v>1879999.9992</v>
      </c>
      <c r="Q595" s="9" t="inlineStr">
        <is>
          <t>Low</t>
        </is>
      </c>
      <c r="R595" s="11">
        <f>IFERROR(O595/K595,0)</f>
        <v/>
      </c>
    </row>
    <row r="596">
      <c r="A596" s="9" t="inlineStr">
        <is>
          <t>T0595</t>
        </is>
      </c>
      <c r="B596" s="9" t="inlineStr">
        <is>
          <t>Sterling Indemnity</t>
        </is>
      </c>
      <c r="C596" s="9" t="inlineStr">
        <is>
          <t>Financial Lines</t>
        </is>
      </c>
      <c r="D596" s="9" t="inlineStr">
        <is>
          <t>Europe</t>
        </is>
      </c>
      <c r="E596" s="9" t="inlineStr">
        <is>
          <t>James Whitfield</t>
        </is>
      </c>
      <c r="F596" s="9" t="inlineStr">
        <is>
          <t>Facultative</t>
        </is>
      </c>
      <c r="G596" s="9" t="n">
        <v>2024</v>
      </c>
      <c r="H596" s="12" t="n">
        <v>8400000.002400002</v>
      </c>
      <c r="I596" s="12" t="n">
        <v>1060545.7008</v>
      </c>
      <c r="J596" s="12" t="n">
        <v>81608.99040000001</v>
      </c>
      <c r="K596" s="12" t="n">
        <v>1060545.7008</v>
      </c>
      <c r="L596" s="12" t="n">
        <v>195895.3248</v>
      </c>
      <c r="M596" s="9" t="n">
        <v>7</v>
      </c>
      <c r="N596" s="12" t="n">
        <v>338474.2248</v>
      </c>
      <c r="O596" s="12" t="n">
        <v>447508.8</v>
      </c>
      <c r="P596" s="12" t="n">
        <v>8400000.002400002</v>
      </c>
      <c r="Q596" s="9" t="inlineStr">
        <is>
          <t>Low</t>
        </is>
      </c>
      <c r="R596" s="11">
        <f>IFERROR(O596/K596,0)</f>
        <v/>
      </c>
    </row>
    <row r="597">
      <c r="A597" s="9" t="inlineStr">
        <is>
          <t>T0596</t>
        </is>
      </c>
      <c r="B597" s="9" t="inlineStr">
        <is>
          <t>Granite Indemnity</t>
        </is>
      </c>
      <c r="C597" s="9" t="inlineStr">
        <is>
          <t>Professional</t>
        </is>
      </c>
      <c r="D597" s="9" t="inlineStr">
        <is>
          <t>Europe</t>
        </is>
      </c>
      <c r="E597" s="9" t="inlineStr">
        <is>
          <t>Priya Nair</t>
        </is>
      </c>
      <c r="F597" s="9" t="inlineStr">
        <is>
          <t>Proportional</t>
        </is>
      </c>
      <c r="G597" s="9" t="n">
        <v>2025</v>
      </c>
      <c r="H597" s="12" t="n">
        <v>14200000.002</v>
      </c>
      <c r="I597" s="12" t="n">
        <v>1873656.1008</v>
      </c>
      <c r="J597" s="12" t="n">
        <v>149123.4624</v>
      </c>
      <c r="K597" s="12" t="n">
        <v>1856622.8592</v>
      </c>
      <c r="L597" s="12" t="n">
        <v>549887.423560519</v>
      </c>
      <c r="M597" s="9" t="n">
        <v>9</v>
      </c>
      <c r="N597" s="12" t="n">
        <v>363799.188</v>
      </c>
      <c r="O597" s="12" t="n">
        <v>1306360.224</v>
      </c>
      <c r="P597" s="12" t="n">
        <v>2129999.9976</v>
      </c>
      <c r="Q597" s="9" t="inlineStr">
        <is>
          <t>Low</t>
        </is>
      </c>
      <c r="R597" s="11">
        <f>IFERROR(O597/K597,0)</f>
        <v/>
      </c>
    </row>
    <row r="598">
      <c r="A598" s="9" t="inlineStr">
        <is>
          <t>T0597</t>
        </is>
      </c>
      <c r="B598" s="9" t="inlineStr">
        <is>
          <t>Meridian General</t>
        </is>
      </c>
      <c r="C598" s="9" t="inlineStr">
        <is>
          <t>Specialty</t>
        </is>
      </c>
      <c r="D598" s="9" t="inlineStr">
        <is>
          <t>North America</t>
        </is>
      </c>
      <c r="E598" s="9" t="inlineStr">
        <is>
          <t>James Whitfield</t>
        </is>
      </c>
      <c r="F598" s="9" t="inlineStr">
        <is>
          <t>Excess of Loss</t>
        </is>
      </c>
      <c r="G598" s="9" t="n">
        <v>2026</v>
      </c>
      <c r="H598" s="12" t="n">
        <v>19500000</v>
      </c>
      <c r="I598" s="12" t="n">
        <v>680272</v>
      </c>
      <c r="J598" s="12" t="n">
        <v>78554</v>
      </c>
      <c r="K598" s="12" t="n">
        <v>616779.95</v>
      </c>
      <c r="L598" s="12" t="n">
        <v>52931.51761939709</v>
      </c>
      <c r="M598" s="9" t="n">
        <v>3</v>
      </c>
      <c r="N598" s="12" t="n">
        <v>118652.05</v>
      </c>
      <c r="O598" s="12" t="n">
        <v>343523.81</v>
      </c>
      <c r="P598" s="12" t="n">
        <v>19500000</v>
      </c>
      <c r="Q598" s="9" t="inlineStr">
        <is>
          <t>Low</t>
        </is>
      </c>
      <c r="R598" s="11">
        <f>IFERROR(O598/K598,0)</f>
        <v/>
      </c>
    </row>
    <row r="599">
      <c r="A599" s="9" t="inlineStr">
        <is>
          <t>T0598</t>
        </is>
      </c>
      <c r="B599" s="9" t="inlineStr">
        <is>
          <t>Pioneer Indemnity</t>
        </is>
      </c>
      <c r="C599" s="9" t="inlineStr">
        <is>
          <t>Casualty</t>
        </is>
      </c>
      <c r="D599" s="9" t="inlineStr">
        <is>
          <t>Latin America</t>
        </is>
      </c>
      <c r="E599" s="9" t="inlineStr">
        <is>
          <t>Carlos Ibarra</t>
        </is>
      </c>
      <c r="F599" s="9" t="inlineStr">
        <is>
          <t>Facultative</t>
        </is>
      </c>
      <c r="G599" s="9" t="n">
        <v>2024</v>
      </c>
      <c r="H599" s="12" t="n">
        <v>16100000</v>
      </c>
      <c r="I599" s="12" t="n">
        <v>1216119.24</v>
      </c>
      <c r="J599" s="12" t="n">
        <v>62832.48</v>
      </c>
      <c r="K599" s="12" t="n">
        <v>1216119.24</v>
      </c>
      <c r="L599" s="12" t="n">
        <v>243036.48</v>
      </c>
      <c r="M599" s="9" t="n">
        <v>10</v>
      </c>
      <c r="N599" s="12" t="n">
        <v>607255.4299999999</v>
      </c>
      <c r="O599" s="12" t="n">
        <v>721894.15</v>
      </c>
      <c r="P599" s="12" t="n">
        <v>16100000</v>
      </c>
      <c r="Q599" s="9" t="inlineStr">
        <is>
          <t>Low</t>
        </is>
      </c>
      <c r="R599" s="11">
        <f>IFERROR(O599/K599,0)</f>
        <v/>
      </c>
    </row>
    <row r="600">
      <c r="A600" s="9" t="inlineStr">
        <is>
          <t>T0599</t>
        </is>
      </c>
      <c r="B600" s="9" t="inlineStr">
        <is>
          <t>Atlas Insurance</t>
        </is>
      </c>
      <c r="C600" s="9" t="inlineStr">
        <is>
          <t>Casualty</t>
        </is>
      </c>
      <c r="D600" s="9" t="inlineStr">
        <is>
          <t>Asia Pacific</t>
        </is>
      </c>
      <c r="E600" s="9" t="inlineStr">
        <is>
          <t>Aarav Mehta</t>
        </is>
      </c>
      <c r="F600" s="9" t="inlineStr">
        <is>
          <t>Proportional</t>
        </is>
      </c>
      <c r="G600" s="9" t="n">
        <v>2024</v>
      </c>
      <c r="H600" s="12" t="n">
        <v>1900000</v>
      </c>
      <c r="I600" s="12" t="n">
        <v>220932.96</v>
      </c>
      <c r="J600" s="12" t="n">
        <v>15961.08</v>
      </c>
      <c r="K600" s="12" t="n">
        <v>220932.96</v>
      </c>
      <c r="L600" s="12" t="n">
        <v>57627.12</v>
      </c>
      <c r="M600" s="9" t="n">
        <v>15</v>
      </c>
      <c r="N600" s="12" t="n">
        <v>92261.91</v>
      </c>
      <c r="O600" s="12" t="n">
        <v>99783.68000000001</v>
      </c>
      <c r="P600" s="12" t="n">
        <v>190000</v>
      </c>
      <c r="Q600" s="9" t="inlineStr">
        <is>
          <t>Low</t>
        </is>
      </c>
      <c r="R600" s="11">
        <f>IFERROR(O600/K600,0)</f>
        <v/>
      </c>
    </row>
    <row r="601">
      <c r="A601" s="9" t="inlineStr">
        <is>
          <t>T0600</t>
        </is>
      </c>
      <c r="B601" s="9" t="inlineStr">
        <is>
          <t>Atlas Insurance</t>
        </is>
      </c>
      <c r="C601" s="9" t="inlineStr">
        <is>
          <t>Property</t>
        </is>
      </c>
      <c r="D601" s="9" t="inlineStr">
        <is>
          <t>Asia Pacific</t>
        </is>
      </c>
      <c r="E601" s="9" t="inlineStr">
        <is>
          <t>Sophie Laurent</t>
        </is>
      </c>
      <c r="F601" s="9" t="inlineStr">
        <is>
          <t>Excess of Loss</t>
        </is>
      </c>
      <c r="G601" s="9" t="n">
        <v>2024</v>
      </c>
      <c r="H601" s="12" t="n">
        <v>17300000</v>
      </c>
      <c r="I601" s="12" t="n">
        <v>1601634.6</v>
      </c>
      <c r="J601" s="12" t="n">
        <v>121903.8</v>
      </c>
      <c r="K601" s="12" t="n">
        <v>1601634.6</v>
      </c>
      <c r="L601" s="12" t="n">
        <v>100369.08</v>
      </c>
      <c r="M601" s="9" t="n">
        <v>9</v>
      </c>
      <c r="N601" s="12" t="n">
        <v>1431820.87</v>
      </c>
      <c r="O601" s="12" t="n">
        <v>1474721.34</v>
      </c>
      <c r="P601" s="12" t="n">
        <v>17300000</v>
      </c>
      <c r="Q601" s="9" t="inlineStr">
        <is>
          <t>Low</t>
        </is>
      </c>
      <c r="R601" s="11">
        <f>IFERROR(O601/K601,0)</f>
        <v/>
      </c>
    </row>
    <row r="602">
      <c r="A602" s="9" t="inlineStr">
        <is>
          <t>T0601</t>
        </is>
      </c>
      <c r="B602" s="9" t="inlineStr">
        <is>
          <t>Cobalt Assurance</t>
        </is>
      </c>
      <c r="C602" s="9" t="inlineStr">
        <is>
          <t>Casualty</t>
        </is>
      </c>
      <c r="D602" s="9" t="inlineStr">
        <is>
          <t>Europe</t>
        </is>
      </c>
      <c r="E602" s="9" t="inlineStr">
        <is>
          <t>Priya Nair</t>
        </is>
      </c>
      <c r="F602" s="9" t="inlineStr">
        <is>
          <t>Proportional</t>
        </is>
      </c>
      <c r="G602" s="9" t="n">
        <v>2025</v>
      </c>
      <c r="H602" s="12" t="n">
        <v>26900000.0028</v>
      </c>
      <c r="I602" s="12" t="n">
        <v>4966603.2576</v>
      </c>
      <c r="J602" s="12" t="n">
        <v>548531.0928</v>
      </c>
      <c r="K602" s="12" t="n">
        <v>4966603.2576</v>
      </c>
      <c r="L602" s="12" t="n">
        <v>1360808.9424</v>
      </c>
      <c r="M602" s="9" t="n">
        <v>12</v>
      </c>
      <c r="N602" s="12" t="n">
        <v>2009529.7344</v>
      </c>
      <c r="O602" s="12" t="n">
        <v>2954992.7952</v>
      </c>
      <c r="P602" s="12" t="n">
        <v>5379999.998400001</v>
      </c>
      <c r="Q602" s="9" t="inlineStr">
        <is>
          <t>Low</t>
        </is>
      </c>
      <c r="R602" s="11">
        <f>IFERROR(O602/K602,0)</f>
        <v/>
      </c>
    </row>
    <row r="603">
      <c r="A603" s="9" t="inlineStr">
        <is>
          <t>T0602</t>
        </is>
      </c>
      <c r="B603" s="9" t="inlineStr">
        <is>
          <t>Lumen Indemnity</t>
        </is>
      </c>
      <c r="C603" s="9" t="inlineStr">
        <is>
          <t>Casualty</t>
        </is>
      </c>
      <c r="D603" s="9" t="inlineStr">
        <is>
          <t>Asia Pacific</t>
        </is>
      </c>
      <c r="E603" s="9" t="inlineStr">
        <is>
          <t>James Whitfield</t>
        </is>
      </c>
      <c r="F603" s="9" t="inlineStr">
        <is>
          <t>Proportional</t>
        </is>
      </c>
      <c r="G603" s="9" t="n">
        <v>2025</v>
      </c>
      <c r="H603" s="12" t="n">
        <v>19200000</v>
      </c>
      <c r="I603" s="12" t="n">
        <v>1845518.52</v>
      </c>
      <c r="J603" s="12" t="n">
        <v>123400.2</v>
      </c>
      <c r="K603" s="12" t="n">
        <v>1845518.52</v>
      </c>
      <c r="L603" s="12" t="n">
        <v>434072.64</v>
      </c>
      <c r="M603" s="9" t="n">
        <v>2</v>
      </c>
      <c r="N603" s="12" t="n">
        <v>764364.58</v>
      </c>
      <c r="O603" s="12" t="n">
        <v>852914.5699999999</v>
      </c>
      <c r="P603" s="12" t="n">
        <v>3840000</v>
      </c>
      <c r="Q603" s="9" t="inlineStr">
        <is>
          <t>Low</t>
        </is>
      </c>
      <c r="R603" s="11">
        <f>IFERROR(O603/K603,0)</f>
        <v/>
      </c>
    </row>
    <row r="604">
      <c r="A604" s="9" t="inlineStr">
        <is>
          <t>T0603</t>
        </is>
      </c>
      <c r="B604" s="9" t="inlineStr">
        <is>
          <t>Sterling Insurance</t>
        </is>
      </c>
      <c r="C604" s="9" t="inlineStr">
        <is>
          <t>Casualty</t>
        </is>
      </c>
      <c r="D604" s="9" t="inlineStr">
        <is>
          <t>Asia Pacific</t>
        </is>
      </c>
      <c r="E604" s="9" t="inlineStr">
        <is>
          <t>Priya Nair</t>
        </is>
      </c>
      <c r="F604" s="9" t="inlineStr">
        <is>
          <t>Excess of Loss</t>
        </is>
      </c>
      <c r="G604" s="9" t="n">
        <v>2025</v>
      </c>
      <c r="H604" s="12" t="n">
        <v>16899999.99996</v>
      </c>
      <c r="I604" s="12" t="n">
        <v>1622223.89472</v>
      </c>
      <c r="J604" s="12" t="n">
        <v>147289.38576</v>
      </c>
      <c r="K604" s="12" t="n">
        <v>1622223.89472</v>
      </c>
      <c r="L604" s="12" t="n">
        <v>184543.53192</v>
      </c>
      <c r="M604" s="9" t="n">
        <v>7</v>
      </c>
      <c r="N604" s="12" t="n">
        <v>1666426.38888</v>
      </c>
      <c r="O604" s="12" t="n">
        <v>1770190.22256</v>
      </c>
      <c r="P604" s="12" t="n">
        <v>16899999.99996</v>
      </c>
      <c r="Q604" s="9" t="inlineStr">
        <is>
          <t>Low</t>
        </is>
      </c>
      <c r="R604" s="11">
        <f>IFERROR(O604/K604,0)</f>
        <v/>
      </c>
    </row>
    <row r="605">
      <c r="A605" s="9" t="inlineStr">
        <is>
          <t>T0604</t>
        </is>
      </c>
      <c r="B605" s="9" t="inlineStr">
        <is>
          <t>Meridian Indemnity</t>
        </is>
      </c>
      <c r="C605" s="9" t="inlineStr">
        <is>
          <t>Specialty</t>
        </is>
      </c>
      <c r="D605" s="9" t="inlineStr">
        <is>
          <t>Europe</t>
        </is>
      </c>
      <c r="E605" s="9" t="inlineStr">
        <is>
          <t>Carlos Ibarra</t>
        </is>
      </c>
      <c r="F605" s="9" t="inlineStr">
        <is>
          <t>Proportional</t>
        </is>
      </c>
      <c r="G605" s="9" t="n">
        <v>2022</v>
      </c>
      <c r="H605" s="12" t="n">
        <v>9200000.001600001</v>
      </c>
      <c r="I605" s="12" t="n">
        <v>704563.5312000001</v>
      </c>
      <c r="J605" s="12" t="n">
        <v>52384.83840000001</v>
      </c>
      <c r="K605" s="12" t="n">
        <v>704563.5312000001</v>
      </c>
      <c r="L605" s="12" t="n">
        <v>214802.5392</v>
      </c>
      <c r="M605" s="9" t="n">
        <v>8</v>
      </c>
      <c r="N605" s="12" t="n">
        <v>444716.8812000001</v>
      </c>
      <c r="O605" s="12" t="n">
        <v>444716.8812000001</v>
      </c>
      <c r="P605" s="12" t="n">
        <v>3680000.0028</v>
      </c>
      <c r="Q605" s="9" t="inlineStr">
        <is>
          <t>Low</t>
        </is>
      </c>
      <c r="R605" s="11">
        <f>IFERROR(O605/K605,0)</f>
        <v/>
      </c>
    </row>
    <row r="606">
      <c r="A606" s="9" t="inlineStr">
        <is>
          <t>T0605</t>
        </is>
      </c>
      <c r="B606" s="9" t="inlineStr">
        <is>
          <t>Lumen Assurance</t>
        </is>
      </c>
      <c r="C606" s="9" t="inlineStr">
        <is>
          <t>Casualty</t>
        </is>
      </c>
      <c r="D606" s="9" t="inlineStr">
        <is>
          <t>Latin America</t>
        </is>
      </c>
      <c r="E606" s="9" t="inlineStr">
        <is>
          <t>Hannah Weber</t>
        </is>
      </c>
      <c r="F606" s="9" t="inlineStr">
        <is>
          <t>Proportional</t>
        </is>
      </c>
      <c r="G606" s="9" t="n">
        <v>2026</v>
      </c>
      <c r="H606" s="12" t="n">
        <v>7000000</v>
      </c>
      <c r="I606" s="12" t="n">
        <v>1037459.79</v>
      </c>
      <c r="J606" s="12" t="n">
        <v>55664.91</v>
      </c>
      <c r="K606" s="12" t="n">
        <v>1010562.68</v>
      </c>
      <c r="L606" s="12" t="n">
        <v>295847.9973980585</v>
      </c>
      <c r="M606" s="9" t="n">
        <v>8</v>
      </c>
      <c r="N606" s="12" t="n">
        <v>247218.27</v>
      </c>
      <c r="O606" s="12" t="n">
        <v>525968.37</v>
      </c>
      <c r="P606" s="12" t="n">
        <v>1750000</v>
      </c>
      <c r="Q606" s="9" t="inlineStr">
        <is>
          <t>Low</t>
        </is>
      </c>
      <c r="R606" s="11">
        <f>IFERROR(O606/K606,0)</f>
        <v/>
      </c>
    </row>
    <row r="607">
      <c r="A607" s="9" t="inlineStr">
        <is>
          <t>T0606</t>
        </is>
      </c>
      <c r="B607" s="9" t="inlineStr">
        <is>
          <t>Granite Mutual</t>
        </is>
      </c>
      <c r="C607" s="9" t="inlineStr">
        <is>
          <t>Property</t>
        </is>
      </c>
      <c r="D607" s="9" t="inlineStr">
        <is>
          <t>Europe</t>
        </is>
      </c>
      <c r="E607" s="9" t="inlineStr">
        <is>
          <t>Priya Nair</t>
        </is>
      </c>
      <c r="F607" s="9" t="inlineStr">
        <is>
          <t>Proportional</t>
        </is>
      </c>
      <c r="G607" s="9" t="n">
        <v>2026</v>
      </c>
      <c r="H607" s="12" t="n">
        <v>7899999.9988</v>
      </c>
      <c r="I607" s="12" t="n">
        <v>357300.8348</v>
      </c>
      <c r="J607" s="12" t="n">
        <v>23442.2188</v>
      </c>
      <c r="K607" s="12" t="n">
        <v>330077.9149</v>
      </c>
      <c r="L607" s="12" t="n">
        <v>79270.05502333173</v>
      </c>
      <c r="M607" s="9" t="n">
        <v>4</v>
      </c>
      <c r="N607" s="12" t="n">
        <v>57558.4701</v>
      </c>
      <c r="O607" s="12" t="n">
        <v>224212.2135</v>
      </c>
      <c r="P607" s="12" t="n">
        <v>2369999.9971</v>
      </c>
      <c r="Q607" s="9" t="inlineStr">
        <is>
          <t>Low</t>
        </is>
      </c>
      <c r="R607" s="11">
        <f>IFERROR(O607/K607,0)</f>
        <v/>
      </c>
    </row>
    <row r="608">
      <c r="A608" s="9" t="inlineStr">
        <is>
          <t>T0607</t>
        </is>
      </c>
      <c r="B608" s="9" t="inlineStr">
        <is>
          <t>Cobalt Mutual</t>
        </is>
      </c>
      <c r="C608" s="9" t="inlineStr">
        <is>
          <t>Financial Lines</t>
        </is>
      </c>
      <c r="D608" s="9" t="inlineStr">
        <is>
          <t>Europe</t>
        </is>
      </c>
      <c r="E608" s="9" t="inlineStr">
        <is>
          <t>Unassigned</t>
        </is>
      </c>
      <c r="F608" s="9" t="inlineStr">
        <is>
          <t>Excess of Loss</t>
        </is>
      </c>
      <c r="G608" s="9" t="n">
        <v>2025</v>
      </c>
      <c r="H608" s="12" t="n">
        <v>21999999.9996</v>
      </c>
      <c r="I608" s="12" t="n">
        <v>3073991.472000001</v>
      </c>
      <c r="J608" s="12" t="n">
        <v>311927.8896</v>
      </c>
      <c r="K608" s="12" t="n">
        <v>3073991.472000001</v>
      </c>
      <c r="L608" s="12" t="n">
        <v>191753.8272</v>
      </c>
      <c r="M608" s="9" t="n">
        <v>7</v>
      </c>
      <c r="N608" s="12" t="n">
        <v>1318202.9748</v>
      </c>
      <c r="O608" s="12" t="n">
        <v>1922783.724</v>
      </c>
      <c r="P608" s="12" t="n">
        <v>21999999.9996</v>
      </c>
      <c r="Q608" s="9" t="inlineStr">
        <is>
          <t>Low</t>
        </is>
      </c>
      <c r="R608" s="11">
        <f>IFERROR(O608/K608,0)</f>
        <v/>
      </c>
    </row>
    <row r="609">
      <c r="A609" s="9" t="inlineStr">
        <is>
          <t>T0608</t>
        </is>
      </c>
      <c r="B609" s="9" t="inlineStr">
        <is>
          <t>Atlas Assurance</t>
        </is>
      </c>
      <c r="C609" s="9" t="inlineStr">
        <is>
          <t>Financial Lines</t>
        </is>
      </c>
      <c r="D609" s="9" t="inlineStr">
        <is>
          <t>North America</t>
        </is>
      </c>
      <c r="E609" s="9" t="inlineStr">
        <is>
          <t>Kenji Sato</t>
        </is>
      </c>
      <c r="F609" s="9" t="inlineStr">
        <is>
          <t>Proportional</t>
        </is>
      </c>
      <c r="G609" s="9" t="n">
        <v>2023</v>
      </c>
      <c r="H609" s="12" t="n">
        <v>8100000</v>
      </c>
      <c r="I609" s="12" t="n">
        <v>992163.72</v>
      </c>
      <c r="J609" s="12" t="n">
        <v>73181.75999999999</v>
      </c>
      <c r="K609" s="12" t="n">
        <v>992163.72</v>
      </c>
      <c r="L609" s="12" t="n">
        <v>266237.16</v>
      </c>
      <c r="M609" s="9" t="n">
        <v>12</v>
      </c>
      <c r="N609" s="12" t="n">
        <v>322968.25</v>
      </c>
      <c r="O609" s="12" t="n">
        <v>365240.07</v>
      </c>
      <c r="P609" s="12" t="n">
        <v>2430000</v>
      </c>
      <c r="Q609" s="9" t="inlineStr">
        <is>
          <t>Low</t>
        </is>
      </c>
      <c r="R609" s="11">
        <f>IFERROR(O609/K609,0)</f>
        <v/>
      </c>
    </row>
    <row r="610">
      <c r="A610" s="9" t="inlineStr">
        <is>
          <t>T0609</t>
        </is>
      </c>
      <c r="B610" s="9" t="inlineStr">
        <is>
          <t>Evergreen Assurance</t>
        </is>
      </c>
      <c r="C610" s="9" t="inlineStr">
        <is>
          <t>Property</t>
        </is>
      </c>
      <c r="D610" s="9" t="inlineStr">
        <is>
          <t>North America</t>
        </is>
      </c>
      <c r="E610" s="9" t="inlineStr">
        <is>
          <t>Hannah Weber</t>
        </is>
      </c>
      <c r="F610" s="9" t="inlineStr">
        <is>
          <t>Proportional</t>
        </is>
      </c>
      <c r="G610" s="9" t="n">
        <v>2022</v>
      </c>
      <c r="H610" s="12" t="n">
        <v>6900000</v>
      </c>
      <c r="I610" s="12" t="n">
        <v>690298.2</v>
      </c>
      <c r="J610" s="12" t="n">
        <v>65837.28</v>
      </c>
      <c r="K610" s="12" t="n">
        <v>690298.2</v>
      </c>
      <c r="L610" s="12" t="n">
        <v>173843.76</v>
      </c>
      <c r="M610" s="9" t="n">
        <v>11</v>
      </c>
      <c r="N610" s="12" t="n">
        <v>708463.3099999999</v>
      </c>
      <c r="O610" s="12" t="n">
        <v>708463.3099999999</v>
      </c>
      <c r="P610" s="12" t="n">
        <v>2070000</v>
      </c>
      <c r="Q610" s="9" t="inlineStr">
        <is>
          <t>Low</t>
        </is>
      </c>
      <c r="R610" s="11">
        <f>IFERROR(O610/K610,0)</f>
        <v/>
      </c>
    </row>
    <row r="611">
      <c r="A611" s="9" t="inlineStr">
        <is>
          <t>T0610</t>
        </is>
      </c>
      <c r="B611" s="9" t="inlineStr">
        <is>
          <t>Granite Insurance</t>
        </is>
      </c>
      <c r="C611" s="9" t="inlineStr">
        <is>
          <t>Property</t>
        </is>
      </c>
      <c r="D611" s="9" t="inlineStr">
        <is>
          <t>Asia Pacific</t>
        </is>
      </c>
      <c r="E611" s="9" t="inlineStr">
        <is>
          <t>Kenji Sato</t>
        </is>
      </c>
      <c r="F611" s="9" t="inlineStr">
        <is>
          <t>Proportional</t>
        </is>
      </c>
      <c r="G611" s="9" t="n">
        <v>2022</v>
      </c>
      <c r="H611" s="12" t="n">
        <v>40700000</v>
      </c>
      <c r="I611" s="12" t="n">
        <v>6444020.76</v>
      </c>
      <c r="J611" s="12" t="n">
        <v>362851.68</v>
      </c>
      <c r="K611" s="12" t="n">
        <v>6444020.76</v>
      </c>
      <c r="L611" s="12" t="n">
        <v>1936010.16</v>
      </c>
      <c r="M611" s="9" t="n">
        <v>14</v>
      </c>
      <c r="N611" s="12" t="n">
        <v>3560954</v>
      </c>
      <c r="O611" s="12" t="n">
        <v>4237902.98</v>
      </c>
      <c r="P611" s="12" t="n">
        <v>20350000</v>
      </c>
      <c r="Q611" s="9" t="inlineStr">
        <is>
          <t>Low</t>
        </is>
      </c>
      <c r="R611" s="11">
        <f>IFERROR(O611/K611,0)</f>
        <v/>
      </c>
    </row>
    <row r="612">
      <c r="A612" s="9" t="inlineStr">
        <is>
          <t>T0611</t>
        </is>
      </c>
      <c r="B612" s="9" t="inlineStr">
        <is>
          <t>Evergreen General</t>
        </is>
      </c>
      <c r="C612" s="9" t="inlineStr">
        <is>
          <t>Specialty</t>
        </is>
      </c>
      <c r="D612" s="9" t="inlineStr">
        <is>
          <t>North America</t>
        </is>
      </c>
      <c r="E612" s="9" t="inlineStr">
        <is>
          <t>James Whitfield</t>
        </is>
      </c>
      <c r="F612" s="9" t="inlineStr">
        <is>
          <t>Excess of Loss</t>
        </is>
      </c>
      <c r="G612" s="9" t="n">
        <v>2023</v>
      </c>
      <c r="H612" s="12" t="n">
        <v>2200000</v>
      </c>
      <c r="I612" s="12" t="n">
        <v>282289.68</v>
      </c>
      <c r="J612" s="12" t="n">
        <v>16230.24</v>
      </c>
      <c r="K612" s="12" t="n">
        <v>282289.68</v>
      </c>
      <c r="L612" s="12" t="n">
        <v>15495</v>
      </c>
      <c r="M612" s="9" t="n">
        <v>10</v>
      </c>
      <c r="N612" s="12" t="n">
        <v>824051.1899999999</v>
      </c>
      <c r="O612" s="12" t="n">
        <v>3226670.7</v>
      </c>
      <c r="P612" s="12" t="n">
        <v>2200000</v>
      </c>
      <c r="Q612" s="9" t="inlineStr">
        <is>
          <t>Critical</t>
        </is>
      </c>
      <c r="R612" s="11">
        <f>IFERROR(O612/K612,0)</f>
        <v/>
      </c>
    </row>
    <row r="613">
      <c r="A613" s="9" t="inlineStr">
        <is>
          <t>T0612</t>
        </is>
      </c>
      <c r="B613" s="9" t="inlineStr">
        <is>
          <t>Orion General</t>
        </is>
      </c>
      <c r="C613" s="9" t="inlineStr">
        <is>
          <t>Casualty</t>
        </is>
      </c>
      <c r="D613" s="9" t="inlineStr">
        <is>
          <t>North America</t>
        </is>
      </c>
      <c r="E613" s="9" t="inlineStr">
        <is>
          <t>Sophie Laurent</t>
        </is>
      </c>
      <c r="F613" s="9" t="inlineStr">
        <is>
          <t>Excess of Loss</t>
        </is>
      </c>
      <c r="G613" s="9" t="n">
        <v>2022</v>
      </c>
      <c r="H613" s="12" t="n">
        <v>37800000</v>
      </c>
      <c r="I613" s="12" t="n">
        <v>3012294</v>
      </c>
      <c r="J613" s="12" t="n">
        <v>192127.08</v>
      </c>
      <c r="K613" s="12" t="n">
        <v>3012294</v>
      </c>
      <c r="L613" s="12" t="n">
        <v>205703.4</v>
      </c>
      <c r="M613" s="9" t="n">
        <v>16</v>
      </c>
      <c r="N613" s="12" t="n">
        <v>1338404.44</v>
      </c>
      <c r="O613" s="12" t="n">
        <v>1348947.44</v>
      </c>
      <c r="P613" s="12" t="n">
        <v>37800000</v>
      </c>
      <c r="Q613" s="9" t="inlineStr">
        <is>
          <t>Low</t>
        </is>
      </c>
      <c r="R613" s="11">
        <f>IFERROR(O613/K613,0)</f>
        <v/>
      </c>
    </row>
    <row r="614">
      <c r="A614" s="9" t="inlineStr">
        <is>
          <t>T0613</t>
        </is>
      </c>
      <c r="B614" s="9" t="inlineStr">
        <is>
          <t>Atlas Assurance</t>
        </is>
      </c>
      <c r="C614" s="9" t="inlineStr">
        <is>
          <t>Professional</t>
        </is>
      </c>
      <c r="D614" s="9" t="inlineStr">
        <is>
          <t>North America</t>
        </is>
      </c>
      <c r="E614" s="9" t="inlineStr">
        <is>
          <t>Kenji Sato</t>
        </is>
      </c>
      <c r="F614" s="9" t="inlineStr">
        <is>
          <t>Proportional</t>
        </is>
      </c>
      <c r="G614" s="9" t="n">
        <v>2025</v>
      </c>
      <c r="H614" s="12" t="n">
        <v>7900000</v>
      </c>
      <c r="I614" s="12" t="n">
        <v>836673.36</v>
      </c>
      <c r="J614" s="12" t="n">
        <v>82491.95999999999</v>
      </c>
      <c r="K614" s="12" t="n">
        <v>834349.27</v>
      </c>
      <c r="L614" s="12" t="n">
        <v>245827.5244523569</v>
      </c>
      <c r="M614" s="9" t="n">
        <v>13</v>
      </c>
      <c r="N614" s="12" t="n">
        <v>260072.36</v>
      </c>
      <c r="O614" s="12" t="n">
        <v>649008.1899999999</v>
      </c>
      <c r="P614" s="12" t="n">
        <v>2370000</v>
      </c>
      <c r="Q614" s="9" t="inlineStr">
        <is>
          <t>Low</t>
        </is>
      </c>
      <c r="R614" s="11">
        <f>IFERROR(O614/K614,0)</f>
        <v/>
      </c>
    </row>
    <row r="615">
      <c r="A615" s="9" t="inlineStr">
        <is>
          <t>T0614</t>
        </is>
      </c>
      <c r="B615" s="9" t="inlineStr">
        <is>
          <t>Summit Indemnity</t>
        </is>
      </c>
      <c r="C615" s="9" t="inlineStr">
        <is>
          <t>Property</t>
        </is>
      </c>
      <c r="D615" s="9" t="inlineStr">
        <is>
          <t>Asia Pacific</t>
        </is>
      </c>
      <c r="E615" s="9" t="inlineStr">
        <is>
          <t>Sophie Laurent</t>
        </is>
      </c>
      <c r="F615" s="9" t="inlineStr">
        <is>
          <t>Excess of Loss</t>
        </is>
      </c>
      <c r="G615" s="9" t="n">
        <v>2022</v>
      </c>
      <c r="H615" s="12" t="n">
        <v>1800000</v>
      </c>
      <c r="I615" s="12" t="n">
        <v>287008.08</v>
      </c>
      <c r="J615" s="12" t="n">
        <v>14941.2</v>
      </c>
      <c r="K615" s="12" t="n">
        <v>287008.08</v>
      </c>
      <c r="L615" s="12" t="n">
        <v>33848.64</v>
      </c>
      <c r="M615" s="9" t="n">
        <v>7</v>
      </c>
      <c r="N615" s="12" t="n">
        <v>113783.04</v>
      </c>
      <c r="O615" s="12" t="n">
        <v>147168.46</v>
      </c>
      <c r="P615" s="12" t="n">
        <v>1800000</v>
      </c>
      <c r="Q615" s="9" t="inlineStr">
        <is>
          <t>Low</t>
        </is>
      </c>
      <c r="R615" s="11">
        <f>IFERROR(O615/K615,0)</f>
        <v/>
      </c>
    </row>
    <row r="616">
      <c r="A616" s="9" t="inlineStr">
        <is>
          <t>T0615</t>
        </is>
      </c>
      <c r="B616" s="9" t="inlineStr">
        <is>
          <t>Summit Insurance</t>
        </is>
      </c>
      <c r="C616" s="9" t="inlineStr">
        <is>
          <t>Professional</t>
        </is>
      </c>
      <c r="D616" s="9" t="inlineStr">
        <is>
          <t>Europe</t>
        </is>
      </c>
      <c r="E616" s="9" t="inlineStr">
        <is>
          <t>Sophie Laurent</t>
        </is>
      </c>
      <c r="F616" s="9" t="inlineStr">
        <is>
          <t>Proportional</t>
        </is>
      </c>
      <c r="G616" s="9" t="n">
        <v>2021</v>
      </c>
      <c r="H616" s="12" t="n">
        <v>35599999.99680001</v>
      </c>
      <c r="I616" s="12" t="n">
        <v>3136267.512</v>
      </c>
      <c r="J616" s="12" t="n">
        <v>189675.9504</v>
      </c>
      <c r="K616" s="12" t="n">
        <v>3136267.512</v>
      </c>
      <c r="L616" s="12" t="n">
        <v>896689.3104000001</v>
      </c>
      <c r="M616" s="9" t="n">
        <v>9</v>
      </c>
      <c r="N616" s="12" t="n">
        <v>2738262.2292</v>
      </c>
      <c r="O616" s="12" t="n">
        <v>2764389.0924</v>
      </c>
      <c r="P616" s="12" t="n">
        <v>7119999.9972</v>
      </c>
      <c r="Q616" s="9" t="inlineStr">
        <is>
          <t>Low</t>
        </is>
      </c>
      <c r="R616" s="11">
        <f>IFERROR(O616/K616,0)</f>
        <v/>
      </c>
    </row>
    <row r="617">
      <c r="A617" s="9" t="inlineStr">
        <is>
          <t>T0616</t>
        </is>
      </c>
      <c r="B617" s="9" t="inlineStr">
        <is>
          <t>Cobalt Mutual</t>
        </is>
      </c>
      <c r="C617" s="9" t="inlineStr">
        <is>
          <t>Specialty</t>
        </is>
      </c>
      <c r="D617" s="9" t="inlineStr">
        <is>
          <t>Europe</t>
        </is>
      </c>
      <c r="E617" s="9" t="inlineStr">
        <is>
          <t>James Whitfield</t>
        </is>
      </c>
      <c r="F617" s="9" t="inlineStr">
        <is>
          <t>Proportional</t>
        </is>
      </c>
      <c r="G617" s="9" t="n">
        <v>2024</v>
      </c>
      <c r="H617" s="12" t="n">
        <v>7099999.995600001</v>
      </c>
      <c r="I617" s="12" t="n">
        <v>867125.3472000001</v>
      </c>
      <c r="J617" s="12" t="n">
        <v>80917.31520000001</v>
      </c>
      <c r="K617" s="12" t="n">
        <v>867125.3472000001</v>
      </c>
      <c r="L617" s="12" t="n">
        <v>244844.0784</v>
      </c>
      <c r="M617" s="9" t="n">
        <v>7</v>
      </c>
      <c r="N617" s="12" t="n">
        <v>155394.7092</v>
      </c>
      <c r="O617" s="12" t="n">
        <v>155394.7092</v>
      </c>
      <c r="P617" s="12" t="n">
        <v>710000.0028000001</v>
      </c>
      <c r="Q617" s="9" t="inlineStr">
        <is>
          <t>Low</t>
        </is>
      </c>
      <c r="R617" s="11">
        <f>IFERROR(O617/K617,0)</f>
        <v/>
      </c>
    </row>
    <row r="618">
      <c r="A618" s="9" t="inlineStr">
        <is>
          <t>T0617</t>
        </is>
      </c>
      <c r="B618" s="9" t="inlineStr">
        <is>
          <t>Sterling Insurance</t>
        </is>
      </c>
      <c r="C618" s="9" t="inlineStr">
        <is>
          <t>Casualty</t>
        </is>
      </c>
      <c r="D618" s="9" t="inlineStr">
        <is>
          <t>Asia Pacific</t>
        </is>
      </c>
      <c r="E618" s="9" t="inlineStr">
        <is>
          <t>Priya Nair</t>
        </is>
      </c>
      <c r="F618" s="9" t="inlineStr">
        <is>
          <t>Proportional</t>
        </is>
      </c>
      <c r="G618" s="9" t="n">
        <v>2023</v>
      </c>
      <c r="H618" s="12" t="n">
        <v>5900000.00004</v>
      </c>
      <c r="I618" s="12" t="n">
        <v>461076.6672</v>
      </c>
      <c r="J618" s="12" t="n">
        <v>53062.38864</v>
      </c>
      <c r="K618" s="12" t="n">
        <v>461076.6672</v>
      </c>
      <c r="L618" s="12" t="n">
        <v>142955.93232</v>
      </c>
      <c r="M618" s="9" t="n">
        <v>7</v>
      </c>
      <c r="N618" s="12" t="n">
        <v>272524.51284</v>
      </c>
      <c r="O618" s="12" t="n">
        <v>307821.43332</v>
      </c>
      <c r="P618" s="12" t="n">
        <v>1770000</v>
      </c>
      <c r="Q618" s="9" t="inlineStr">
        <is>
          <t>Low</t>
        </is>
      </c>
      <c r="R618" s="11">
        <f>IFERROR(O618/K618,0)</f>
        <v/>
      </c>
    </row>
    <row r="619">
      <c r="A619" s="9" t="inlineStr">
        <is>
          <t>T0618</t>
        </is>
      </c>
      <c r="B619" s="9" t="inlineStr">
        <is>
          <t>Pioneer Insurance</t>
        </is>
      </c>
      <c r="C619" s="9" t="inlineStr">
        <is>
          <t>Specialty</t>
        </is>
      </c>
      <c r="D619" s="9" t="inlineStr">
        <is>
          <t>Europe</t>
        </is>
      </c>
      <c r="E619" s="9" t="inlineStr">
        <is>
          <t>Kenji Sato</t>
        </is>
      </c>
      <c r="F619" s="9" t="inlineStr">
        <is>
          <t>Excess of Loss</t>
        </is>
      </c>
      <c r="G619" s="9" t="n">
        <v>2023</v>
      </c>
      <c r="H619" s="12" t="n">
        <v>4100000.004</v>
      </c>
      <c r="I619" s="12" t="n">
        <v>613904.7024000001</v>
      </c>
      <c r="J619" s="12" t="n">
        <v>43417.6848</v>
      </c>
      <c r="K619" s="12" t="n">
        <v>613904.7024000001</v>
      </c>
      <c r="L619" s="12" t="n">
        <v>30899.3616</v>
      </c>
      <c r="M619" s="9" t="n">
        <v>9</v>
      </c>
      <c r="N619" s="12" t="n">
        <v>363596.7096</v>
      </c>
      <c r="O619" s="12" t="n">
        <v>384868.4004</v>
      </c>
      <c r="P619" s="12" t="n">
        <v>4100000.004</v>
      </c>
      <c r="Q619" s="9" t="inlineStr">
        <is>
          <t>Low</t>
        </is>
      </c>
      <c r="R619" s="11">
        <f>IFERROR(O619/K619,0)</f>
        <v/>
      </c>
    </row>
    <row r="620">
      <c r="A620" s="9" t="inlineStr">
        <is>
          <t>T0619</t>
        </is>
      </c>
      <c r="B620" s="9" t="inlineStr">
        <is>
          <t>Lumen Assurance</t>
        </is>
      </c>
      <c r="C620" s="9" t="inlineStr">
        <is>
          <t>Property</t>
        </is>
      </c>
      <c r="D620" s="9" t="inlineStr">
        <is>
          <t>Latin America</t>
        </is>
      </c>
      <c r="E620" s="9" t="inlineStr">
        <is>
          <t>Aarav Mehta</t>
        </is>
      </c>
      <c r="F620" s="9" t="inlineStr">
        <is>
          <t>Proportional</t>
        </is>
      </c>
      <c r="G620" s="9" t="n">
        <v>2022</v>
      </c>
      <c r="H620" s="12" t="n">
        <v>8200000</v>
      </c>
      <c r="I620" s="12" t="n">
        <v>1154482.92</v>
      </c>
      <c r="J620" s="12" t="n">
        <v>99235.79999999999</v>
      </c>
      <c r="K620" s="12" t="n">
        <v>1154482.92</v>
      </c>
      <c r="L620" s="12" t="n">
        <v>278786.76</v>
      </c>
      <c r="M620" s="9" t="n">
        <v>11</v>
      </c>
      <c r="N620" s="12" t="n">
        <v>816096.78</v>
      </c>
      <c r="O620" s="12" t="n">
        <v>816096.78</v>
      </c>
      <c r="P620" s="12" t="n">
        <v>2460000</v>
      </c>
      <c r="Q620" s="9" t="inlineStr">
        <is>
          <t>Low</t>
        </is>
      </c>
      <c r="R620" s="11">
        <f>IFERROR(O620/K620,0)</f>
        <v/>
      </c>
    </row>
    <row r="621">
      <c r="A621" s="9" t="inlineStr">
        <is>
          <t>T0620</t>
        </is>
      </c>
      <c r="B621" s="9" t="inlineStr">
        <is>
          <t>Granite Insurance</t>
        </is>
      </c>
      <c r="C621" s="9" t="inlineStr">
        <is>
          <t>Property</t>
        </is>
      </c>
      <c r="D621" s="9" t="inlineStr">
        <is>
          <t>Asia Pacific</t>
        </is>
      </c>
      <c r="E621" s="9" t="inlineStr">
        <is>
          <t>Omar Haddad</t>
        </is>
      </c>
      <c r="F621" s="9" t="inlineStr">
        <is>
          <t>Proportional</t>
        </is>
      </c>
      <c r="G621" s="9" t="n">
        <v>2026</v>
      </c>
      <c r="H621" s="12" t="n">
        <v>12000000</v>
      </c>
      <c r="I621" s="12" t="n">
        <v>366879.56</v>
      </c>
      <c r="J621" s="12" t="n">
        <v>35752.6</v>
      </c>
      <c r="K621" s="12" t="n">
        <v>314904.96</v>
      </c>
      <c r="L621" s="12" t="n">
        <v>88612.54921937651</v>
      </c>
      <c r="M621" s="9" t="n">
        <v>0</v>
      </c>
      <c r="N621" s="12" t="n">
        <v>0</v>
      </c>
      <c r="O621" s="12" t="n">
        <v>0</v>
      </c>
      <c r="P621" s="12" t="n">
        <v>3000000</v>
      </c>
      <c r="Q621" s="9" t="inlineStr">
        <is>
          <t>Low</t>
        </is>
      </c>
      <c r="R621" s="11">
        <f>IFERROR(O621/K621,0)</f>
        <v/>
      </c>
    </row>
    <row r="622">
      <c r="A622" s="9" t="inlineStr">
        <is>
          <t>T0621</t>
        </is>
      </c>
      <c r="B622" s="9" t="inlineStr">
        <is>
          <t>Atlas Mutual</t>
        </is>
      </c>
      <c r="C622" s="9" t="inlineStr">
        <is>
          <t>Property</t>
        </is>
      </c>
      <c r="D622" s="9" t="inlineStr">
        <is>
          <t>Europe</t>
        </is>
      </c>
      <c r="E622" s="9" t="inlineStr">
        <is>
          <t>Carlos Ibarra</t>
        </is>
      </c>
      <c r="F622" s="9" t="inlineStr">
        <is>
          <t>Proportional</t>
        </is>
      </c>
      <c r="G622" s="9" t="n">
        <v>2021</v>
      </c>
      <c r="H622" s="12" t="n">
        <v>19399999.9968</v>
      </c>
      <c r="I622" s="12" t="n">
        <v>1581155.532</v>
      </c>
      <c r="J622" s="12" t="n">
        <v>88718.652</v>
      </c>
      <c r="K622" s="12" t="n">
        <v>1581155.532</v>
      </c>
      <c r="L622" s="12" t="n">
        <v>460140.318</v>
      </c>
      <c r="M622" s="9" t="n">
        <v>7</v>
      </c>
      <c r="N622" s="12" t="n">
        <v>534426.9084000001</v>
      </c>
      <c r="O622" s="12" t="n">
        <v>1121468.1012</v>
      </c>
      <c r="P622" s="12" t="n">
        <v>9699999.998400001</v>
      </c>
      <c r="Q622" s="9" t="inlineStr">
        <is>
          <t>Low</t>
        </is>
      </c>
      <c r="R622" s="11">
        <f>IFERROR(O622/K622,0)</f>
        <v/>
      </c>
    </row>
    <row r="623">
      <c r="A623" s="9" t="inlineStr">
        <is>
          <t>T0622</t>
        </is>
      </c>
      <c r="B623" s="9" t="inlineStr">
        <is>
          <t>Northwind Mutual</t>
        </is>
      </c>
      <c r="C623" s="9" t="inlineStr">
        <is>
          <t>Specialty</t>
        </is>
      </c>
      <c r="D623" s="9" t="inlineStr">
        <is>
          <t>Asia Pacific</t>
        </is>
      </c>
      <c r="E623" s="9" t="inlineStr">
        <is>
          <t>Kenji Sato</t>
        </is>
      </c>
      <c r="F623" s="9" t="inlineStr">
        <is>
          <t>Proportional</t>
        </is>
      </c>
      <c r="G623" s="9" t="n">
        <v>2022</v>
      </c>
      <c r="H623" s="12" t="n">
        <v>23000000.00004</v>
      </c>
      <c r="I623" s="12" t="n">
        <v>1757596.2696</v>
      </c>
      <c r="J623" s="12" t="n">
        <v>136889.28576</v>
      </c>
      <c r="K623" s="12" t="n">
        <v>1757596.2696</v>
      </c>
      <c r="L623" s="12" t="n">
        <v>534112.90128</v>
      </c>
      <c r="M623" s="9" t="n">
        <v>16</v>
      </c>
      <c r="N623" s="12" t="n">
        <v>399414.03168</v>
      </c>
      <c r="O623" s="12" t="n">
        <v>400962.39504</v>
      </c>
      <c r="P623" s="12" t="n">
        <v>3450000</v>
      </c>
      <c r="Q623" s="9" t="inlineStr">
        <is>
          <t>Low</t>
        </is>
      </c>
      <c r="R623" s="11">
        <f>IFERROR(O623/K623,0)</f>
        <v/>
      </c>
    </row>
    <row r="624">
      <c r="A624" s="9" t="inlineStr">
        <is>
          <t>T0623</t>
        </is>
      </c>
      <c r="B624" s="9" t="inlineStr">
        <is>
          <t>Harbor Mutual</t>
        </is>
      </c>
      <c r="C624" s="9" t="inlineStr">
        <is>
          <t>Financial Lines</t>
        </is>
      </c>
      <c r="D624" s="9" t="inlineStr">
        <is>
          <t>North America</t>
        </is>
      </c>
      <c r="E624" s="9" t="inlineStr">
        <is>
          <t>Kenji Sato</t>
        </is>
      </c>
      <c r="F624" s="9" t="inlineStr">
        <is>
          <t>Facultative</t>
        </is>
      </c>
      <c r="G624" s="9" t="n">
        <v>2026</v>
      </c>
      <c r="H624" s="12" t="n">
        <v>13400000</v>
      </c>
      <c r="I624" s="12" t="n">
        <v>412733.55</v>
      </c>
      <c r="J624" s="12" t="n">
        <v>23350.65</v>
      </c>
      <c r="K624" s="12" t="n">
        <v>338441.51</v>
      </c>
      <c r="L624" s="12" t="n">
        <v>65273.18880713599</v>
      </c>
      <c r="M624" s="9" t="n">
        <v>6</v>
      </c>
      <c r="N624" s="12" t="n">
        <v>62883.88</v>
      </c>
      <c r="O624" s="12" t="n">
        <v>125175.6</v>
      </c>
      <c r="P624" s="12" t="n">
        <v>13400000</v>
      </c>
      <c r="Q624" s="9" t="inlineStr">
        <is>
          <t>Low</t>
        </is>
      </c>
      <c r="R624" s="11">
        <f>IFERROR(O624/K624,0)</f>
        <v/>
      </c>
    </row>
    <row r="625">
      <c r="A625" s="9" t="inlineStr">
        <is>
          <t>T0624</t>
        </is>
      </c>
      <c r="B625" s="9" t="inlineStr">
        <is>
          <t>Orion Insurance</t>
        </is>
      </c>
      <c r="C625" s="9" t="inlineStr">
        <is>
          <t>Property</t>
        </is>
      </c>
      <c r="D625" s="9" t="inlineStr">
        <is>
          <t>Asia Pacific</t>
        </is>
      </c>
      <c r="E625" s="9" t="inlineStr">
        <is>
          <t>Kenji Sato</t>
        </is>
      </c>
      <c r="F625" s="9" t="inlineStr">
        <is>
          <t>Proportional</t>
        </is>
      </c>
      <c r="G625" s="9" t="n">
        <v>2023</v>
      </c>
      <c r="H625" s="12" t="n">
        <v>5900000</v>
      </c>
      <c r="I625" s="12" t="n">
        <v>434388</v>
      </c>
      <c r="J625" s="12" t="n">
        <v>43076.76</v>
      </c>
      <c r="K625" s="12" t="n">
        <v>434388</v>
      </c>
      <c r="L625" s="12" t="n">
        <v>119861.64</v>
      </c>
      <c r="M625" s="9" t="n">
        <v>10</v>
      </c>
      <c r="N625" s="12" t="n">
        <v>283924.92</v>
      </c>
      <c r="O625" s="12" t="n">
        <v>297230.38</v>
      </c>
      <c r="P625" s="12" t="n">
        <v>590000</v>
      </c>
      <c r="Q625" s="9" t="inlineStr">
        <is>
          <t>Low</t>
        </is>
      </c>
      <c r="R625" s="11">
        <f>IFERROR(O625/K625,0)</f>
        <v/>
      </c>
    </row>
    <row r="626">
      <c r="A626" s="9" t="inlineStr">
        <is>
          <t>T0625</t>
        </is>
      </c>
      <c r="B626" s="9" t="inlineStr">
        <is>
          <t>Meridian Indemnity</t>
        </is>
      </c>
      <c r="C626" s="9" t="inlineStr">
        <is>
          <t>Professional</t>
        </is>
      </c>
      <c r="D626" s="9" t="inlineStr">
        <is>
          <t>Europe</t>
        </is>
      </c>
      <c r="E626" s="9" t="inlineStr">
        <is>
          <t>Carlos Ibarra</t>
        </is>
      </c>
      <c r="F626" s="9" t="inlineStr">
        <is>
          <t>Facultative</t>
        </is>
      </c>
      <c r="G626" s="9" t="n">
        <v>2025</v>
      </c>
      <c r="H626" s="12" t="n">
        <v>2300000.0004</v>
      </c>
      <c r="I626" s="12" t="n">
        <v>200000.016</v>
      </c>
      <c r="J626" s="12" t="n">
        <v>19938.18240000001</v>
      </c>
      <c r="K626" s="12" t="n">
        <v>194444.4636</v>
      </c>
      <c r="L626" s="12" t="n">
        <v>32680.49460505596</v>
      </c>
      <c r="M626" s="9" t="n">
        <v>3</v>
      </c>
      <c r="N626" s="12" t="n">
        <v>69735.34080000001</v>
      </c>
      <c r="O626" s="12" t="n">
        <v>96653.53080000001</v>
      </c>
      <c r="P626" s="12" t="n">
        <v>2300000.0004</v>
      </c>
      <c r="Q626" s="9" t="inlineStr">
        <is>
          <t>Low</t>
        </is>
      </c>
      <c r="R626" s="11">
        <f>IFERROR(O626/K626,0)</f>
        <v/>
      </c>
    </row>
    <row r="627">
      <c r="A627" s="9" t="inlineStr">
        <is>
          <t>T0626</t>
        </is>
      </c>
      <c r="B627" s="9" t="inlineStr">
        <is>
          <t>Summit Insurance</t>
        </is>
      </c>
      <c r="C627" s="9" t="inlineStr">
        <is>
          <t>Specialty</t>
        </is>
      </c>
      <c r="D627" s="9" t="inlineStr">
        <is>
          <t>Unassigned</t>
        </is>
      </c>
      <c r="E627" s="9" t="inlineStr">
        <is>
          <t>James Whitfield</t>
        </is>
      </c>
      <c r="F627" s="9" t="inlineStr">
        <is>
          <t>Facultative</t>
        </is>
      </c>
      <c r="G627" s="9" t="n">
        <v>2022</v>
      </c>
      <c r="H627" s="12" t="n">
        <v>10400000.0004</v>
      </c>
      <c r="I627" s="12" t="n">
        <v>1190796.2928</v>
      </c>
      <c r="J627" s="12" t="n">
        <v>108864.5184</v>
      </c>
      <c r="K627" s="12" t="n">
        <v>1190796.2928</v>
      </c>
      <c r="L627" s="12" t="n">
        <v>207621.792</v>
      </c>
      <c r="M627" s="9" t="n">
        <v>9</v>
      </c>
      <c r="N627" s="12" t="n">
        <v>680664.5460000001</v>
      </c>
      <c r="O627" s="12" t="n">
        <v>722152.1952000001</v>
      </c>
      <c r="P627" s="12" t="n">
        <v>10400000.0004</v>
      </c>
      <c r="Q627" s="9" t="inlineStr">
        <is>
          <t>Low</t>
        </is>
      </c>
      <c r="R627" s="11">
        <f>IFERROR(O627/K627,0)</f>
        <v/>
      </c>
    </row>
    <row r="628">
      <c r="A628" s="9" t="inlineStr">
        <is>
          <t>T0627</t>
        </is>
      </c>
      <c r="B628" s="9" t="inlineStr">
        <is>
          <t>Granite Insurance</t>
        </is>
      </c>
      <c r="C628" s="9" t="inlineStr">
        <is>
          <t>Casualty</t>
        </is>
      </c>
      <c r="D628" s="9" t="inlineStr">
        <is>
          <t>Asia Pacific</t>
        </is>
      </c>
      <c r="E628" s="9" t="inlineStr">
        <is>
          <t>Kenji Sato</t>
        </is>
      </c>
      <c r="F628" s="9" t="inlineStr">
        <is>
          <t>Proportional</t>
        </is>
      </c>
      <c r="G628" s="9" t="n">
        <v>2024</v>
      </c>
      <c r="H628" s="12" t="n">
        <v>10200000</v>
      </c>
      <c r="I628" s="12" t="n">
        <v>1154818.08</v>
      </c>
      <c r="J628" s="12" t="n">
        <v>90934.44</v>
      </c>
      <c r="K628" s="12" t="n">
        <v>1154818.08</v>
      </c>
      <c r="L628" s="12" t="n">
        <v>310887.24</v>
      </c>
      <c r="M628" s="9" t="n">
        <v>7</v>
      </c>
      <c r="N628" s="12" t="n">
        <v>367492.59</v>
      </c>
      <c r="O628" s="12" t="n">
        <v>796983.45</v>
      </c>
      <c r="P628" s="12" t="n">
        <v>3060000</v>
      </c>
      <c r="Q628" s="9" t="inlineStr">
        <is>
          <t>Low</t>
        </is>
      </c>
      <c r="R628" s="11">
        <f>IFERROR(O628/K628,0)</f>
        <v/>
      </c>
    </row>
    <row r="629">
      <c r="A629" s="9" t="inlineStr">
        <is>
          <t>T0628</t>
        </is>
      </c>
      <c r="B629" s="9" t="inlineStr">
        <is>
          <t>Orion Mutual</t>
        </is>
      </c>
      <c r="C629" s="9" t="inlineStr">
        <is>
          <t>Casualty</t>
        </is>
      </c>
      <c r="D629" s="9" t="inlineStr">
        <is>
          <t>Europe</t>
        </is>
      </c>
      <c r="E629" s="9" t="inlineStr">
        <is>
          <t>Sophie Laurent</t>
        </is>
      </c>
      <c r="F629" s="9" t="inlineStr">
        <is>
          <t>Facultative</t>
        </is>
      </c>
      <c r="G629" s="9" t="n">
        <v>2026</v>
      </c>
      <c r="H629" s="12" t="n">
        <v>84300000.00480001</v>
      </c>
      <c r="I629" s="12" t="n">
        <v>2118389.6952</v>
      </c>
      <c r="J629" s="12" t="n">
        <v>210173.6808</v>
      </c>
      <c r="K629" s="12" t="n">
        <v>1930088.3904</v>
      </c>
      <c r="L629" s="12" t="n">
        <v>327461.3750443123</v>
      </c>
      <c r="M629" s="9" t="n">
        <v>3</v>
      </c>
      <c r="N629" s="12" t="n">
        <v>850769.1792000001</v>
      </c>
      <c r="O629" s="12" t="n">
        <v>1079199.558</v>
      </c>
      <c r="P629" s="12" t="n">
        <v>84300000.00480001</v>
      </c>
      <c r="Q629" s="9" t="inlineStr">
        <is>
          <t>Low</t>
        </is>
      </c>
      <c r="R629" s="11">
        <f>IFERROR(O629/K629,0)</f>
        <v/>
      </c>
    </row>
    <row r="630">
      <c r="A630" s="9" t="inlineStr">
        <is>
          <t>T0629</t>
        </is>
      </c>
      <c r="B630" s="9" t="inlineStr">
        <is>
          <t>Harbor General</t>
        </is>
      </c>
      <c r="C630" s="9" t="inlineStr">
        <is>
          <t>Specialty</t>
        </is>
      </c>
      <c r="D630" s="9" t="inlineStr">
        <is>
          <t>North America</t>
        </is>
      </c>
      <c r="E630" s="9" t="inlineStr">
        <is>
          <t>James Whitfield</t>
        </is>
      </c>
      <c r="F630" s="9" t="inlineStr">
        <is>
          <t>Excess of Loss</t>
        </is>
      </c>
      <c r="G630" s="9" t="n">
        <v>2024</v>
      </c>
      <c r="H630" s="12" t="n">
        <v>5300000</v>
      </c>
      <c r="I630" s="12" t="n">
        <v>492712.5599999999</v>
      </c>
      <c r="J630" s="12" t="n">
        <v>30036.6</v>
      </c>
      <c r="K630" s="12" t="n">
        <v>492712.5599999999</v>
      </c>
      <c r="L630" s="12" t="n">
        <v>50707.8</v>
      </c>
      <c r="M630" s="9" t="n">
        <v>7</v>
      </c>
      <c r="N630" s="12" t="n">
        <v>208740.69</v>
      </c>
      <c r="O630" s="12" t="n">
        <v>308955.27</v>
      </c>
      <c r="P630" s="12" t="n">
        <v>5300000</v>
      </c>
      <c r="Q630" s="9" t="inlineStr">
        <is>
          <t>Low</t>
        </is>
      </c>
      <c r="R630" s="11">
        <f>IFERROR(O630/K630,0)</f>
        <v/>
      </c>
    </row>
    <row r="631">
      <c r="A631" s="9" t="inlineStr">
        <is>
          <t>T0630</t>
        </is>
      </c>
      <c r="B631" s="9" t="inlineStr">
        <is>
          <t>Meridian Mutual</t>
        </is>
      </c>
      <c r="C631" s="9" t="inlineStr">
        <is>
          <t>Casualty</t>
        </is>
      </c>
      <c r="D631" s="9" t="inlineStr">
        <is>
          <t>North America</t>
        </is>
      </c>
      <c r="E631" s="9" t="inlineStr">
        <is>
          <t>Omar Haddad</t>
        </is>
      </c>
      <c r="F631" s="9" t="inlineStr">
        <is>
          <t>Excess of Loss</t>
        </is>
      </c>
      <c r="G631" s="9" t="n">
        <v>2022</v>
      </c>
      <c r="H631" s="12" t="n">
        <v>7000000</v>
      </c>
      <c r="I631" s="12" t="n">
        <v>986924.3999999999</v>
      </c>
      <c r="J631" s="12" t="n">
        <v>66101.16</v>
      </c>
      <c r="K631" s="12" t="n">
        <v>986924.3999999999</v>
      </c>
      <c r="L631" s="12" t="n">
        <v>83107.08</v>
      </c>
      <c r="M631" s="9" t="n">
        <v>9</v>
      </c>
      <c r="N631" s="12" t="n">
        <v>835199</v>
      </c>
      <c r="O631" s="12" t="n">
        <v>884878.04</v>
      </c>
      <c r="P631" s="12" t="n">
        <v>7000000</v>
      </c>
      <c r="Q631" s="9" t="inlineStr">
        <is>
          <t>Low</t>
        </is>
      </c>
      <c r="R631" s="11">
        <f>IFERROR(O631/K631,0)</f>
        <v/>
      </c>
    </row>
    <row r="632">
      <c r="A632" s="9" t="inlineStr">
        <is>
          <t>T0631</t>
        </is>
      </c>
      <c r="B632" s="9" t="inlineStr">
        <is>
          <t>Evergreen Insurance</t>
        </is>
      </c>
      <c r="C632" s="9" t="inlineStr">
        <is>
          <t>Financial Lines</t>
        </is>
      </c>
      <c r="D632" s="9" t="inlineStr">
        <is>
          <t>North America</t>
        </is>
      </c>
      <c r="E632" s="9" t="inlineStr">
        <is>
          <t>Carlos Ibarra</t>
        </is>
      </c>
      <c r="F632" s="9" t="inlineStr">
        <is>
          <t>Excess of Loss</t>
        </is>
      </c>
      <c r="G632" s="9" t="n">
        <v>2022</v>
      </c>
      <c r="H632" s="12" t="n">
        <v>2700000</v>
      </c>
      <c r="I632" s="12" t="n">
        <v>432206.28</v>
      </c>
      <c r="J632" s="12" t="n">
        <v>24697.56</v>
      </c>
      <c r="K632" s="12" t="n">
        <v>432206.28</v>
      </c>
      <c r="L632" s="12" t="n">
        <v>26843.88</v>
      </c>
      <c r="M632" s="9" t="n">
        <v>9</v>
      </c>
      <c r="N632" s="12" t="n">
        <v>111403.41</v>
      </c>
      <c r="O632" s="12" t="n">
        <v>112757</v>
      </c>
      <c r="P632" s="12" t="n">
        <v>2700000</v>
      </c>
      <c r="Q632" s="9" t="inlineStr">
        <is>
          <t>Low</t>
        </is>
      </c>
      <c r="R632" s="11">
        <f>IFERROR(O632/K632,0)</f>
        <v/>
      </c>
    </row>
    <row r="633">
      <c r="A633" s="9" t="inlineStr">
        <is>
          <t>T0632</t>
        </is>
      </c>
      <c r="B633" s="9" t="inlineStr">
        <is>
          <t>Cobalt Insurance</t>
        </is>
      </c>
      <c r="C633" s="9" t="inlineStr">
        <is>
          <t>Property</t>
        </is>
      </c>
      <c r="D633" s="9" t="inlineStr">
        <is>
          <t>Middle East &amp; Africa</t>
        </is>
      </c>
      <c r="E633" s="9" t="inlineStr">
        <is>
          <t>Omar Haddad</t>
        </is>
      </c>
      <c r="F633" s="9" t="inlineStr">
        <is>
          <t>Excess of Loss</t>
        </is>
      </c>
      <c r="G633" s="9" t="n">
        <v>2022</v>
      </c>
      <c r="H633" s="12" t="n">
        <v>5100000</v>
      </c>
      <c r="I633" s="12" t="n">
        <v>895115.52</v>
      </c>
      <c r="J633" s="12" t="n">
        <v>56014.31999999999</v>
      </c>
      <c r="K633" s="12" t="n">
        <v>895115.52</v>
      </c>
      <c r="L633" s="12" t="n">
        <v>103125.24</v>
      </c>
      <c r="M633" s="9" t="n">
        <v>12</v>
      </c>
      <c r="N633" s="12" t="n">
        <v>482863.25</v>
      </c>
      <c r="O633" s="12" t="n">
        <v>526920.01</v>
      </c>
      <c r="P633" s="12" t="n">
        <v>5100000</v>
      </c>
      <c r="Q633" s="9" t="inlineStr">
        <is>
          <t>Low</t>
        </is>
      </c>
      <c r="R633" s="11">
        <f>IFERROR(O633/K633,0)</f>
        <v/>
      </c>
    </row>
    <row r="634">
      <c r="A634" s="9" t="inlineStr">
        <is>
          <t>T0633</t>
        </is>
      </c>
      <c r="B634" s="9" t="inlineStr">
        <is>
          <t>Harbor Assurance</t>
        </is>
      </c>
      <c r="C634" s="9" t="inlineStr">
        <is>
          <t>Professional</t>
        </is>
      </c>
      <c r="D634" s="9" t="inlineStr">
        <is>
          <t>North America</t>
        </is>
      </c>
      <c r="E634" s="9" t="inlineStr">
        <is>
          <t>Aarav Mehta</t>
        </is>
      </c>
      <c r="F634" s="9" t="inlineStr">
        <is>
          <t>Excess of Loss</t>
        </is>
      </c>
      <c r="G634" s="9" t="n">
        <v>2025</v>
      </c>
      <c r="H634" s="12" t="n">
        <v>12700000</v>
      </c>
      <c r="I634" s="12" t="n">
        <v>1219748.16</v>
      </c>
      <c r="J634" s="12" t="n">
        <v>123124.92</v>
      </c>
      <c r="K634" s="12" t="n">
        <v>1219748.16</v>
      </c>
      <c r="L634" s="12" t="n">
        <v>83201.64</v>
      </c>
      <c r="M634" s="9" t="n">
        <v>7</v>
      </c>
      <c r="N634" s="12" t="n">
        <v>249347.18</v>
      </c>
      <c r="O634" s="12" t="n">
        <v>484423.49</v>
      </c>
      <c r="P634" s="12" t="n">
        <v>12700000</v>
      </c>
      <c r="Q634" s="9" t="inlineStr">
        <is>
          <t>Low</t>
        </is>
      </c>
      <c r="R634" s="11">
        <f>IFERROR(O634/K634,0)</f>
        <v/>
      </c>
    </row>
    <row r="635">
      <c r="A635" s="9" t="inlineStr">
        <is>
          <t>T0634</t>
        </is>
      </c>
      <c r="B635" s="9" t="inlineStr">
        <is>
          <t>Meridian Mutual</t>
        </is>
      </c>
      <c r="C635" s="9" t="inlineStr">
        <is>
          <t>Financial Lines</t>
        </is>
      </c>
      <c r="D635" s="9" t="inlineStr">
        <is>
          <t>North America</t>
        </is>
      </c>
      <c r="E635" s="9" t="inlineStr">
        <is>
          <t>James Whitfield</t>
        </is>
      </c>
      <c r="F635" s="9" t="inlineStr">
        <is>
          <t>Excess of Loss</t>
        </is>
      </c>
      <c r="G635" s="9" t="n">
        <v>2024</v>
      </c>
      <c r="H635" s="12" t="n">
        <v>8700000</v>
      </c>
      <c r="I635" s="12" t="n">
        <v>1037709.48</v>
      </c>
      <c r="J635" s="12" t="n">
        <v>77757.72</v>
      </c>
      <c r="K635" s="12" t="n">
        <v>1037709.48</v>
      </c>
      <c r="L635" s="12" t="n">
        <v>66077.39999999999</v>
      </c>
      <c r="M635" s="9" t="n">
        <v>2</v>
      </c>
      <c r="N635" s="12" t="n">
        <v>135301.65</v>
      </c>
      <c r="O635" s="12" t="n">
        <v>503929.26</v>
      </c>
      <c r="P635" s="12" t="n">
        <v>8700000</v>
      </c>
      <c r="Q635" s="9" t="inlineStr">
        <is>
          <t>Low</t>
        </is>
      </c>
      <c r="R635" s="11">
        <f>IFERROR(O635/K635,0)</f>
        <v/>
      </c>
    </row>
    <row r="636">
      <c r="A636" s="9" t="inlineStr">
        <is>
          <t>T0635</t>
        </is>
      </c>
      <c r="B636" s="9" t="inlineStr">
        <is>
          <t>Pioneer Insurance</t>
        </is>
      </c>
      <c r="C636" s="9" t="inlineStr">
        <is>
          <t>Specialty</t>
        </is>
      </c>
      <c r="D636" s="9" t="inlineStr">
        <is>
          <t>Europe</t>
        </is>
      </c>
      <c r="E636" s="9" t="inlineStr">
        <is>
          <t>Priya Nair</t>
        </is>
      </c>
      <c r="F636" s="9" t="inlineStr">
        <is>
          <t>Facultative</t>
        </is>
      </c>
      <c r="G636" s="9" t="n">
        <v>2024</v>
      </c>
      <c r="H636" s="12" t="n">
        <v>10800000</v>
      </c>
      <c r="I636" s="12" t="n">
        <v>884006.5248000001</v>
      </c>
      <c r="J636" s="12" t="n">
        <v>46934.8992</v>
      </c>
      <c r="K636" s="12" t="n">
        <v>884006.5248000001</v>
      </c>
      <c r="L636" s="12" t="n">
        <v>144022.6656</v>
      </c>
      <c r="M636" s="9" t="n">
        <v>7</v>
      </c>
      <c r="N636" s="12" t="n">
        <v>577427.7348000001</v>
      </c>
      <c r="O636" s="12" t="n">
        <v>577427.7348000001</v>
      </c>
      <c r="P636" s="12" t="n">
        <v>10800000</v>
      </c>
      <c r="Q636" s="9" t="inlineStr">
        <is>
          <t>Low</t>
        </is>
      </c>
      <c r="R636" s="11">
        <f>IFERROR(O636/K636,0)</f>
        <v/>
      </c>
    </row>
    <row r="637">
      <c r="A637" s="9" t="inlineStr">
        <is>
          <t>T0636</t>
        </is>
      </c>
      <c r="B637" s="9" t="inlineStr">
        <is>
          <t>Vantage Assurance</t>
        </is>
      </c>
      <c r="C637" s="9" t="inlineStr">
        <is>
          <t>Casualty</t>
        </is>
      </c>
      <c r="D637" s="9" t="inlineStr">
        <is>
          <t>Europe</t>
        </is>
      </c>
      <c r="E637" s="9" t="inlineStr">
        <is>
          <t>Omar Haddad</t>
        </is>
      </c>
      <c r="F637" s="9" t="inlineStr">
        <is>
          <t>Proportional</t>
        </is>
      </c>
      <c r="G637" s="9" t="n">
        <v>2022</v>
      </c>
      <c r="H637" s="12" t="n">
        <v>10300000.0032</v>
      </c>
      <c r="I637" s="12" t="n">
        <v>985012.2288</v>
      </c>
      <c r="J637" s="12" t="n">
        <v>84610.13760000002</v>
      </c>
      <c r="K637" s="12" t="n">
        <v>985012.2288</v>
      </c>
      <c r="L637" s="12" t="n">
        <v>274184.6112</v>
      </c>
      <c r="M637" s="9" t="n">
        <v>12</v>
      </c>
      <c r="N637" s="12" t="n">
        <v>348666.0336</v>
      </c>
      <c r="O637" s="12" t="n">
        <v>417035.3364</v>
      </c>
      <c r="P637" s="12" t="n">
        <v>1545000.0048</v>
      </c>
      <c r="Q637" s="9" t="inlineStr">
        <is>
          <t>Low</t>
        </is>
      </c>
      <c r="R637" s="11">
        <f>IFERROR(O637/K637,0)</f>
        <v/>
      </c>
    </row>
    <row r="638">
      <c r="A638" s="9" t="inlineStr">
        <is>
          <t>T0637</t>
        </is>
      </c>
      <c r="B638" s="9" t="inlineStr">
        <is>
          <t>Crown Insurance</t>
        </is>
      </c>
      <c r="C638" s="9" t="inlineStr">
        <is>
          <t>Specialty</t>
        </is>
      </c>
      <c r="D638" s="9" t="inlineStr">
        <is>
          <t>Asia Pacific</t>
        </is>
      </c>
      <c r="E638" s="9" t="inlineStr">
        <is>
          <t>Carlos Ibarra</t>
        </is>
      </c>
      <c r="F638" s="9" t="inlineStr">
        <is>
          <t>Facultative</t>
        </is>
      </c>
      <c r="G638" s="9" t="n">
        <v>2025</v>
      </c>
      <c r="H638" s="12" t="n">
        <v>2800000</v>
      </c>
      <c r="I638" s="12" t="n">
        <v>217145.76</v>
      </c>
      <c r="J638" s="12" t="n">
        <v>14391.48</v>
      </c>
      <c r="K638" s="12" t="n">
        <v>217145.76</v>
      </c>
      <c r="L638" s="12" t="n">
        <v>35190.48</v>
      </c>
      <c r="M638" s="9" t="n">
        <v>7</v>
      </c>
      <c r="N638" s="12" t="n">
        <v>122885.11</v>
      </c>
      <c r="O638" s="12" t="n">
        <v>131703.33</v>
      </c>
      <c r="P638" s="12" t="n">
        <v>2800000</v>
      </c>
      <c r="Q638" s="9" t="inlineStr">
        <is>
          <t>Low</t>
        </is>
      </c>
      <c r="R638" s="11">
        <f>IFERROR(O638/K638,0)</f>
        <v/>
      </c>
    </row>
    <row r="639">
      <c r="A639" s="9" t="inlineStr">
        <is>
          <t>T0638</t>
        </is>
      </c>
      <c r="B639" s="9" t="inlineStr">
        <is>
          <t>Meridian Insurance</t>
        </is>
      </c>
      <c r="C639" s="9" t="inlineStr">
        <is>
          <t>Casualty</t>
        </is>
      </c>
      <c r="D639" s="9" t="inlineStr">
        <is>
          <t>Asia Pacific</t>
        </is>
      </c>
      <c r="E639" s="9" t="inlineStr">
        <is>
          <t>Sophie Laurent</t>
        </is>
      </c>
      <c r="F639" s="9" t="inlineStr">
        <is>
          <t>Facultative</t>
        </is>
      </c>
      <c r="G639" s="9" t="n">
        <v>2024</v>
      </c>
      <c r="H639" s="12" t="n">
        <v>7600000</v>
      </c>
      <c r="I639" s="12" t="n">
        <v>1115169.36</v>
      </c>
      <c r="J639" s="12" t="n">
        <v>61653</v>
      </c>
      <c r="K639" s="12" t="n">
        <v>1115169.36</v>
      </c>
      <c r="L639" s="12" t="n">
        <v>221064.36</v>
      </c>
      <c r="M639" s="9" t="n">
        <v>10</v>
      </c>
      <c r="N639" s="12" t="n">
        <v>767287.12</v>
      </c>
      <c r="O639" s="12" t="n">
        <v>803701.67</v>
      </c>
      <c r="P639" s="12" t="n">
        <v>7600000</v>
      </c>
      <c r="Q639" s="9" t="inlineStr">
        <is>
          <t>Low</t>
        </is>
      </c>
      <c r="R639" s="11">
        <f>IFERROR(O639/K639,0)</f>
        <v/>
      </c>
    </row>
    <row r="640">
      <c r="A640" s="9" t="inlineStr">
        <is>
          <t>T0639</t>
        </is>
      </c>
      <c r="B640" s="9" t="inlineStr">
        <is>
          <t>Harbor Mutual</t>
        </is>
      </c>
      <c r="C640" s="9" t="inlineStr">
        <is>
          <t>Specialty</t>
        </is>
      </c>
      <c r="D640" s="9" t="inlineStr">
        <is>
          <t>North America</t>
        </is>
      </c>
      <c r="E640" s="9" t="inlineStr">
        <is>
          <t>James Whitfield</t>
        </is>
      </c>
      <c r="F640" s="9" t="inlineStr">
        <is>
          <t>Proportional</t>
        </is>
      </c>
      <c r="G640" s="9" t="n">
        <v>2024</v>
      </c>
      <c r="H640" s="12" t="n">
        <v>22400000</v>
      </c>
      <c r="I640" s="12" t="n">
        <v>1897949.88</v>
      </c>
      <c r="J640" s="12" t="n">
        <v>144571.8</v>
      </c>
      <c r="K640" s="12" t="n">
        <v>1897949.88</v>
      </c>
      <c r="L640" s="12" t="n">
        <v>514262.28</v>
      </c>
      <c r="M640" s="9" t="n">
        <v>8</v>
      </c>
      <c r="N640" s="12" t="n">
        <v>810187.17</v>
      </c>
      <c r="O640" s="12" t="n">
        <v>929100.84</v>
      </c>
      <c r="P640" s="12" t="n">
        <v>8960000</v>
      </c>
      <c r="Q640" s="9" t="inlineStr">
        <is>
          <t>Low</t>
        </is>
      </c>
      <c r="R640" s="11">
        <f>IFERROR(O640/K640,0)</f>
        <v/>
      </c>
    </row>
    <row r="641">
      <c r="A641" s="9" t="inlineStr">
        <is>
          <t>T0640</t>
        </is>
      </c>
      <c r="B641" s="9" t="inlineStr">
        <is>
          <t>Pioneer Insurance</t>
        </is>
      </c>
      <c r="C641" s="9" t="inlineStr">
        <is>
          <t>Specialty</t>
        </is>
      </c>
      <c r="D641" s="9" t="inlineStr">
        <is>
          <t>Europe</t>
        </is>
      </c>
      <c r="E641" s="9" t="inlineStr">
        <is>
          <t>Priya Nair</t>
        </is>
      </c>
      <c r="F641" s="9" t="inlineStr">
        <is>
          <t>Proportional</t>
        </is>
      </c>
      <c r="G641" s="9" t="n">
        <v>2025</v>
      </c>
      <c r="H641" s="12" t="n">
        <v>105699999.9996</v>
      </c>
      <c r="I641" s="12" t="n">
        <v>7931892.3408</v>
      </c>
      <c r="J641" s="12" t="n">
        <v>509142.1536000001</v>
      </c>
      <c r="K641" s="12" t="n">
        <v>7931892.3408</v>
      </c>
      <c r="L641" s="12" t="n">
        <v>2461997.462400001</v>
      </c>
      <c r="M641" s="9" t="n">
        <v>5</v>
      </c>
      <c r="N641" s="12" t="n">
        <v>7286314.3596</v>
      </c>
      <c r="O641" s="12" t="n">
        <v>7334530.9056</v>
      </c>
      <c r="P641" s="12" t="n">
        <v>31709999.9988</v>
      </c>
      <c r="Q641" s="9" t="inlineStr">
        <is>
          <t>Low</t>
        </is>
      </c>
      <c r="R641" s="11">
        <f>IFERROR(O641/K641,0)</f>
        <v/>
      </c>
    </row>
    <row r="642">
      <c r="A642" s="9" t="inlineStr">
        <is>
          <t>T0641</t>
        </is>
      </c>
      <c r="B642" s="9" t="inlineStr">
        <is>
          <t>Granite General</t>
        </is>
      </c>
      <c r="C642" s="9" t="inlineStr">
        <is>
          <t>Financial Lines</t>
        </is>
      </c>
      <c r="D642" s="9" t="inlineStr">
        <is>
          <t>Asia Pacific</t>
        </is>
      </c>
      <c r="E642" s="9" t="inlineStr">
        <is>
          <t>James Whitfield</t>
        </is>
      </c>
      <c r="F642" s="9" t="inlineStr">
        <is>
          <t>Proportional</t>
        </is>
      </c>
      <c r="G642" s="9" t="n">
        <v>2022</v>
      </c>
      <c r="H642" s="12" t="n">
        <v>6100000</v>
      </c>
      <c r="I642" s="12" t="n">
        <v>712896.72</v>
      </c>
      <c r="J642" s="12" t="n">
        <v>84216.48</v>
      </c>
      <c r="K642" s="12" t="n">
        <v>712896.72</v>
      </c>
      <c r="L642" s="12" t="n">
        <v>180722.64</v>
      </c>
      <c r="M642" s="9" t="n">
        <v>6</v>
      </c>
      <c r="N642" s="12" t="n">
        <v>308160.14</v>
      </c>
      <c r="O642" s="12" t="n">
        <v>329619.49</v>
      </c>
      <c r="P642" s="12" t="n">
        <v>3050000</v>
      </c>
      <c r="Q642" s="9" t="inlineStr">
        <is>
          <t>Low</t>
        </is>
      </c>
      <c r="R642" s="11">
        <f>IFERROR(O642/K642,0)</f>
        <v/>
      </c>
    </row>
    <row r="643">
      <c r="A643" s="9" t="inlineStr">
        <is>
          <t>T0642</t>
        </is>
      </c>
      <c r="B643" s="9" t="inlineStr">
        <is>
          <t>Cobalt Assurance</t>
        </is>
      </c>
      <c r="C643" s="9" t="inlineStr">
        <is>
          <t>Specialty</t>
        </is>
      </c>
      <c r="D643" s="9" t="inlineStr">
        <is>
          <t>Europe</t>
        </is>
      </c>
      <c r="E643" s="9" t="inlineStr">
        <is>
          <t>Aarav Mehta</t>
        </is>
      </c>
      <c r="F643" s="9" t="inlineStr">
        <is>
          <t>Excess of Loss</t>
        </is>
      </c>
      <c r="G643" s="9" t="n">
        <v>2022</v>
      </c>
      <c r="H643" s="12" t="n">
        <v>43699999.99680001</v>
      </c>
      <c r="I643" s="12" t="n">
        <v>5005804.536</v>
      </c>
      <c r="J643" s="12" t="n">
        <v>572972.8752000001</v>
      </c>
      <c r="K643" s="12" t="n">
        <v>5005804.536</v>
      </c>
      <c r="L643" s="12" t="n">
        <v>524874.6864</v>
      </c>
      <c r="M643" s="9" t="n">
        <v>11</v>
      </c>
      <c r="N643" s="12" t="n">
        <v>2834185.5504</v>
      </c>
      <c r="O643" s="12" t="n">
        <v>2834185.5504</v>
      </c>
      <c r="P643" s="12" t="n">
        <v>43699999.99680001</v>
      </c>
      <c r="Q643" s="9" t="inlineStr">
        <is>
          <t>Low</t>
        </is>
      </c>
      <c r="R643" s="11">
        <f>IFERROR(O643/K643,0)</f>
        <v/>
      </c>
    </row>
    <row r="644">
      <c r="A644" s="9" t="inlineStr">
        <is>
          <t>T0643</t>
        </is>
      </c>
      <c r="B644" s="9" t="inlineStr">
        <is>
          <t>Pioneer General</t>
        </is>
      </c>
      <c r="C644" s="9" t="inlineStr">
        <is>
          <t>Property</t>
        </is>
      </c>
      <c r="D644" s="9" t="inlineStr">
        <is>
          <t>Europe</t>
        </is>
      </c>
      <c r="E644" s="9" t="inlineStr">
        <is>
          <t>Sophie Laurent</t>
        </is>
      </c>
      <c r="F644" s="9" t="inlineStr">
        <is>
          <t>Excess of Loss</t>
        </is>
      </c>
      <c r="G644" s="9" t="n">
        <v>2025</v>
      </c>
      <c r="H644" s="12" t="n">
        <v>15700000.0032</v>
      </c>
      <c r="I644" s="12" t="n">
        <v>2218041.792</v>
      </c>
      <c r="J644" s="12" t="n">
        <v>128016.0288</v>
      </c>
      <c r="K644" s="12" t="n">
        <v>2218041.792</v>
      </c>
      <c r="L644" s="12" t="n">
        <v>205279.92</v>
      </c>
      <c r="M644" s="9" t="n">
        <v>8</v>
      </c>
      <c r="N644" s="12" t="n">
        <v>499042.6740000001</v>
      </c>
      <c r="O644" s="12" t="n">
        <v>871149.9672000001</v>
      </c>
      <c r="P644" s="12" t="n">
        <v>15700000.0032</v>
      </c>
      <c r="Q644" s="9" t="inlineStr">
        <is>
          <t>Low</t>
        </is>
      </c>
      <c r="R644" s="11">
        <f>IFERROR(O644/K644,0)</f>
        <v/>
      </c>
    </row>
    <row r="645">
      <c r="A645" s="9" t="inlineStr">
        <is>
          <t>T0644</t>
        </is>
      </c>
      <c r="B645" s="9" t="inlineStr">
        <is>
          <t>Harbor Indemnity</t>
        </is>
      </c>
      <c r="C645" s="9" t="inlineStr">
        <is>
          <t>Casualty</t>
        </is>
      </c>
      <c r="D645" s="9" t="inlineStr">
        <is>
          <t>North America</t>
        </is>
      </c>
      <c r="E645" s="9" t="inlineStr">
        <is>
          <t>James Whitfield</t>
        </is>
      </c>
      <c r="F645" s="9" t="inlineStr">
        <is>
          <t>Facultative</t>
        </is>
      </c>
      <c r="G645" s="9" t="n">
        <v>2024</v>
      </c>
      <c r="H645" s="12" t="n">
        <v>12500000</v>
      </c>
      <c r="I645" s="12" t="n">
        <v>898236.72</v>
      </c>
      <c r="J645" s="12" t="n">
        <v>49508.88</v>
      </c>
      <c r="K645" s="12" t="n">
        <v>898236.72</v>
      </c>
      <c r="L645" s="12" t="n">
        <v>177126.36</v>
      </c>
      <c r="M645" s="9" t="n">
        <v>10</v>
      </c>
      <c r="N645" s="12" t="n">
        <v>457735.75</v>
      </c>
      <c r="O645" s="12" t="n">
        <v>539523.86</v>
      </c>
      <c r="P645" s="12" t="n">
        <v>12500000</v>
      </c>
      <c r="Q645" s="9" t="inlineStr">
        <is>
          <t>Low</t>
        </is>
      </c>
      <c r="R645" s="11">
        <f>IFERROR(O645/K645,0)</f>
        <v/>
      </c>
    </row>
    <row r="646">
      <c r="A646" s="9" t="inlineStr">
        <is>
          <t>T0645</t>
        </is>
      </c>
      <c r="B646" s="9" t="inlineStr">
        <is>
          <t>Cobalt Mutual</t>
        </is>
      </c>
      <c r="C646" s="9" t="inlineStr">
        <is>
          <t>Property</t>
        </is>
      </c>
      <c r="D646" s="9" t="inlineStr">
        <is>
          <t>Europe</t>
        </is>
      </c>
      <c r="E646" s="9" t="inlineStr">
        <is>
          <t>Sophie Laurent</t>
        </is>
      </c>
      <c r="F646" s="9" t="inlineStr">
        <is>
          <t>Excess of Loss</t>
        </is>
      </c>
      <c r="G646" s="9" t="n">
        <v>2023</v>
      </c>
      <c r="H646" s="12" t="n">
        <v>9200000.001600001</v>
      </c>
      <c r="I646" s="12" t="n">
        <v>817877.6063999999</v>
      </c>
      <c r="J646" s="12" t="n">
        <v>73378.224</v>
      </c>
      <c r="K646" s="12" t="n">
        <v>817877.6063999999</v>
      </c>
      <c r="L646" s="12" t="n">
        <v>55178.1072</v>
      </c>
      <c r="M646" s="9" t="n">
        <v>4</v>
      </c>
      <c r="N646" s="12" t="n">
        <v>211732.6608</v>
      </c>
      <c r="O646" s="12" t="n">
        <v>211732.6608</v>
      </c>
      <c r="P646" s="12" t="n">
        <v>9200000.001600001</v>
      </c>
      <c r="Q646" s="9" t="inlineStr">
        <is>
          <t>Low</t>
        </is>
      </c>
      <c r="R646" s="11">
        <f>IFERROR(O646/K646,0)</f>
        <v/>
      </c>
    </row>
    <row r="647">
      <c r="A647" s="9" t="inlineStr">
        <is>
          <t>T0646</t>
        </is>
      </c>
      <c r="B647" s="9" t="inlineStr">
        <is>
          <t>Cobalt Mutual</t>
        </is>
      </c>
      <c r="C647" s="9" t="inlineStr">
        <is>
          <t>Property</t>
        </is>
      </c>
      <c r="D647" s="9" t="inlineStr">
        <is>
          <t>Europe</t>
        </is>
      </c>
      <c r="E647" s="9" t="inlineStr">
        <is>
          <t>Omar Haddad</t>
        </is>
      </c>
      <c r="F647" s="9" t="inlineStr">
        <is>
          <t>Facultative</t>
        </is>
      </c>
      <c r="G647" s="9" t="n">
        <v>2025</v>
      </c>
      <c r="H647" s="12" t="n">
        <v>27000000</v>
      </c>
      <c r="I647" s="12" t="n">
        <v>2010305.0448</v>
      </c>
      <c r="J647" s="12" t="n">
        <v>122603.6736</v>
      </c>
      <c r="K647" s="12" t="n">
        <v>2010305.0448</v>
      </c>
      <c r="L647" s="12" t="n">
        <v>375043.7376</v>
      </c>
      <c r="M647" s="9" t="n">
        <v>14</v>
      </c>
      <c r="N647" s="12" t="n">
        <v>654430.8816000001</v>
      </c>
      <c r="O647" s="12" t="n">
        <v>1289755.2996</v>
      </c>
      <c r="P647" s="12" t="n">
        <v>27000000</v>
      </c>
      <c r="Q647" s="9" t="inlineStr">
        <is>
          <t>Low</t>
        </is>
      </c>
      <c r="R647" s="11">
        <f>IFERROR(O647/K647,0)</f>
        <v/>
      </c>
    </row>
    <row r="648">
      <c r="A648" s="9" t="inlineStr">
        <is>
          <t>T0647</t>
        </is>
      </c>
      <c r="B648" s="9" t="inlineStr">
        <is>
          <t>Sterling Assurance</t>
        </is>
      </c>
      <c r="C648" s="9" t="inlineStr">
        <is>
          <t>Professional</t>
        </is>
      </c>
      <c r="D648" s="9" t="inlineStr">
        <is>
          <t>Latin America</t>
        </is>
      </c>
      <c r="E648" s="9" t="inlineStr">
        <is>
          <t>James Whitfield</t>
        </is>
      </c>
      <c r="F648" s="9" t="inlineStr">
        <is>
          <t>Excess of Loss</t>
        </is>
      </c>
      <c r="G648" s="9" t="n">
        <v>2022</v>
      </c>
      <c r="H648" s="12" t="n">
        <v>31500000</v>
      </c>
      <c r="I648" s="12" t="n">
        <v>2365610.4</v>
      </c>
      <c r="J648" s="12" t="n">
        <v>201769.32</v>
      </c>
      <c r="K648" s="12" t="n">
        <v>2365610.4</v>
      </c>
      <c r="L648" s="12" t="n">
        <v>216511.44</v>
      </c>
      <c r="M648" s="9" t="n">
        <v>9</v>
      </c>
      <c r="N648" s="12" t="n">
        <v>1549249.13</v>
      </c>
      <c r="O648" s="12" t="n">
        <v>1549249.13</v>
      </c>
      <c r="P648" s="12" t="n">
        <v>31500000</v>
      </c>
      <c r="Q648" s="9" t="inlineStr">
        <is>
          <t>Low</t>
        </is>
      </c>
      <c r="R648" s="11">
        <f>IFERROR(O648/K648,0)</f>
        <v/>
      </c>
    </row>
    <row r="649">
      <c r="A649" s="9" t="inlineStr">
        <is>
          <t>T0648</t>
        </is>
      </c>
      <c r="B649" s="9" t="inlineStr">
        <is>
          <t>Pioneer Assurance</t>
        </is>
      </c>
      <c r="C649" s="9" t="inlineStr">
        <is>
          <t>Property</t>
        </is>
      </c>
      <c r="D649" s="9" t="inlineStr">
        <is>
          <t>Europe</t>
        </is>
      </c>
      <c r="E649" s="9" t="inlineStr">
        <is>
          <t>Kenji Sato</t>
        </is>
      </c>
      <c r="F649" s="9" t="inlineStr">
        <is>
          <t>Proportional</t>
        </is>
      </c>
      <c r="G649" s="9" t="n">
        <v>2023</v>
      </c>
      <c r="H649" s="12" t="n">
        <v>45999999.9972</v>
      </c>
      <c r="I649" s="12" t="n">
        <v>3932304.5376</v>
      </c>
      <c r="J649" s="12" t="n">
        <v>382043.8224</v>
      </c>
      <c r="K649" s="12" t="n">
        <v>3932304.5376</v>
      </c>
      <c r="L649" s="12" t="n">
        <v>1238333.832</v>
      </c>
      <c r="M649" s="9" t="n">
        <v>8</v>
      </c>
      <c r="N649" s="12" t="n">
        <v>2651346.8532</v>
      </c>
      <c r="O649" s="12" t="n">
        <v>2762811.8712</v>
      </c>
      <c r="P649" s="12" t="n">
        <v>23000000.004</v>
      </c>
      <c r="Q649" s="9" t="inlineStr">
        <is>
          <t>Low</t>
        </is>
      </c>
      <c r="R649" s="11">
        <f>IFERROR(O649/K649,0)</f>
        <v/>
      </c>
    </row>
    <row r="650">
      <c r="A650" s="9" t="inlineStr">
        <is>
          <t>T0649</t>
        </is>
      </c>
      <c r="B650" s="9" t="inlineStr">
        <is>
          <t>Orion General</t>
        </is>
      </c>
      <c r="C650" s="9" t="inlineStr">
        <is>
          <t>Property</t>
        </is>
      </c>
      <c r="D650" s="9" t="inlineStr">
        <is>
          <t>North America</t>
        </is>
      </c>
      <c r="E650" s="9" t="inlineStr">
        <is>
          <t>Sophie Laurent</t>
        </is>
      </c>
      <c r="F650" s="9" t="inlineStr">
        <is>
          <t>Proportional</t>
        </is>
      </c>
      <c r="G650" s="9" t="n">
        <v>2023</v>
      </c>
      <c r="H650" s="12" t="n">
        <v>37100000</v>
      </c>
      <c r="I650" s="12" t="n">
        <v>4041290.64</v>
      </c>
      <c r="J650" s="12" t="n">
        <v>306942.72</v>
      </c>
      <c r="K650" s="12" t="n">
        <v>4041290.64</v>
      </c>
      <c r="L650" s="12" t="n">
        <v>1193129.88</v>
      </c>
      <c r="M650" s="9" t="n">
        <v>11</v>
      </c>
      <c r="N650" s="12" t="n">
        <v>1974136.14</v>
      </c>
      <c r="O650" s="12" t="n">
        <v>2021505.86</v>
      </c>
      <c r="P650" s="12" t="n">
        <v>18550000</v>
      </c>
      <c r="Q650" s="9" t="inlineStr">
        <is>
          <t>Low</t>
        </is>
      </c>
      <c r="R650" s="11">
        <f>IFERROR(O650/K650,0)</f>
        <v/>
      </c>
    </row>
    <row r="651">
      <c r="A651" s="9" t="inlineStr">
        <is>
          <t>T0650</t>
        </is>
      </c>
      <c r="B651" s="9" t="inlineStr">
        <is>
          <t>Evergreen Assurance</t>
        </is>
      </c>
      <c r="C651" s="9" t="inlineStr">
        <is>
          <t>Financial Lines</t>
        </is>
      </c>
      <c r="D651" s="9" t="inlineStr">
        <is>
          <t>North America</t>
        </is>
      </c>
      <c r="E651" s="9" t="inlineStr">
        <is>
          <t>Omar Haddad</t>
        </is>
      </c>
      <c r="F651" s="9" t="inlineStr">
        <is>
          <t>Proportional</t>
        </is>
      </c>
      <c r="G651" s="9" t="n">
        <v>2023</v>
      </c>
      <c r="H651" s="12" t="n">
        <v>6800000</v>
      </c>
      <c r="I651" s="12" t="n">
        <v>690148.5599999999</v>
      </c>
      <c r="J651" s="12" t="n">
        <v>60796.2</v>
      </c>
      <c r="K651" s="12" t="n">
        <v>690148.5599999999</v>
      </c>
      <c r="L651" s="12" t="n">
        <v>215239.68</v>
      </c>
      <c r="M651" s="9" t="n">
        <v>9</v>
      </c>
      <c r="N651" s="12" t="n">
        <v>200705.94</v>
      </c>
      <c r="O651" s="12" t="n">
        <v>200705.94</v>
      </c>
      <c r="P651" s="12" t="n">
        <v>680000</v>
      </c>
      <c r="Q651" s="9" t="inlineStr">
        <is>
          <t>Low</t>
        </is>
      </c>
      <c r="R651" s="11">
        <f>IFERROR(O651/K651,0)</f>
        <v/>
      </c>
    </row>
    <row r="652">
      <c r="A652" s="9" t="inlineStr">
        <is>
          <t>T0651</t>
        </is>
      </c>
      <c r="B652" s="9" t="inlineStr">
        <is>
          <t>Atlas Indemnity</t>
        </is>
      </c>
      <c r="C652" s="9" t="inlineStr">
        <is>
          <t>Financial Lines</t>
        </is>
      </c>
      <c r="D652" s="9" t="inlineStr">
        <is>
          <t>North America</t>
        </is>
      </c>
      <c r="E652" s="9" t="inlineStr">
        <is>
          <t>Omar Haddad</t>
        </is>
      </c>
      <c r="F652" s="9" t="inlineStr">
        <is>
          <t>Excess of Loss</t>
        </is>
      </c>
      <c r="G652" s="9" t="n">
        <v>2025</v>
      </c>
      <c r="H652" s="12" t="n">
        <v>3900000</v>
      </c>
      <c r="I652" s="12" t="n">
        <v>383643</v>
      </c>
      <c r="J652" s="12" t="n">
        <v>34881.24</v>
      </c>
      <c r="K652" s="12" t="n">
        <v>383643</v>
      </c>
      <c r="L652" s="12" t="n">
        <v>24332.16</v>
      </c>
      <c r="M652" s="9" t="n">
        <v>12</v>
      </c>
      <c r="N652" s="12" t="n">
        <v>66650.38</v>
      </c>
      <c r="O652" s="12" t="n">
        <v>106838.49</v>
      </c>
      <c r="P652" s="12" t="n">
        <v>3900000</v>
      </c>
      <c r="Q652" s="9" t="inlineStr">
        <is>
          <t>Low</t>
        </is>
      </c>
      <c r="R652" s="11">
        <f>IFERROR(O652/K652,0)</f>
        <v/>
      </c>
    </row>
    <row r="653">
      <c r="A653" s="9" t="inlineStr">
        <is>
          <t>T0652</t>
        </is>
      </c>
      <c r="B653" s="9" t="inlineStr">
        <is>
          <t>Vantage Mutual</t>
        </is>
      </c>
      <c r="C653" s="9" t="inlineStr">
        <is>
          <t>Specialty</t>
        </is>
      </c>
      <c r="D653" s="9" t="inlineStr">
        <is>
          <t>Asia Pacific</t>
        </is>
      </c>
      <c r="E653" s="9" t="inlineStr">
        <is>
          <t>Carlos Ibarra</t>
        </is>
      </c>
      <c r="F653" s="9" t="inlineStr">
        <is>
          <t>Excess of Loss</t>
        </is>
      </c>
      <c r="G653" s="9" t="n">
        <v>2025</v>
      </c>
      <c r="H653" s="12" t="n">
        <v>28899999.99996</v>
      </c>
      <c r="I653" s="12" t="n">
        <v>2487245.52096</v>
      </c>
      <c r="J653" s="12" t="n">
        <v>213271.53552</v>
      </c>
      <c r="K653" s="12" t="n">
        <v>2487245.52096</v>
      </c>
      <c r="L653" s="12" t="n">
        <v>241334.27136</v>
      </c>
      <c r="M653" s="9" t="n">
        <v>9</v>
      </c>
      <c r="N653" s="12" t="n">
        <v>547517.15088</v>
      </c>
      <c r="O653" s="12" t="n">
        <v>715948.70436</v>
      </c>
      <c r="P653" s="12" t="n">
        <v>28899999.99996</v>
      </c>
      <c r="Q653" s="9" t="inlineStr">
        <is>
          <t>Low</t>
        </is>
      </c>
      <c r="R653" s="11">
        <f>IFERROR(O653/K653,0)</f>
        <v/>
      </c>
    </row>
    <row r="654">
      <c r="A654" s="9" t="inlineStr">
        <is>
          <t>T0653</t>
        </is>
      </c>
      <c r="B654" s="9" t="inlineStr">
        <is>
          <t>Northwind Insurance</t>
        </is>
      </c>
      <c r="C654" s="9" t="inlineStr">
        <is>
          <t>Property</t>
        </is>
      </c>
      <c r="D654" s="9" t="inlineStr">
        <is>
          <t>North America</t>
        </is>
      </c>
      <c r="E654" s="9" t="inlineStr">
        <is>
          <t>Aarav Mehta</t>
        </is>
      </c>
      <c r="F654" s="9" t="inlineStr">
        <is>
          <t>Facultative</t>
        </is>
      </c>
      <c r="G654" s="9" t="n">
        <v>2021</v>
      </c>
      <c r="H654" s="12" t="n">
        <v>31100000</v>
      </c>
      <c r="I654" s="12" t="n">
        <v>2400543</v>
      </c>
      <c r="J654" s="12" t="n">
        <v>139439.16</v>
      </c>
      <c r="K654" s="12" t="n">
        <v>2400543</v>
      </c>
      <c r="L654" s="12" t="n">
        <v>384040.32</v>
      </c>
      <c r="M654" s="9" t="n">
        <v>12</v>
      </c>
      <c r="N654" s="12" t="n">
        <v>2829473.42</v>
      </c>
      <c r="O654" s="12" t="n">
        <v>3437915.7</v>
      </c>
      <c r="P654" s="12" t="n">
        <v>31100000</v>
      </c>
      <c r="Q654" s="9" t="inlineStr">
        <is>
          <t>Low</t>
        </is>
      </c>
      <c r="R654" s="11">
        <f>IFERROR(O654/K654,0)</f>
        <v/>
      </c>
    </row>
    <row r="655">
      <c r="A655" s="9" t="inlineStr">
        <is>
          <t>T0654</t>
        </is>
      </c>
      <c r="B655" s="9" t="inlineStr">
        <is>
          <t>Harbor Mutual</t>
        </is>
      </c>
      <c r="C655" s="9" t="inlineStr">
        <is>
          <t>Property</t>
        </is>
      </c>
      <c r="D655" s="9" t="inlineStr">
        <is>
          <t>North America</t>
        </is>
      </c>
      <c r="E655" s="9" t="inlineStr">
        <is>
          <t>Carlos Ibarra</t>
        </is>
      </c>
      <c r="F655" s="9" t="inlineStr">
        <is>
          <t>Excess of Loss</t>
        </is>
      </c>
      <c r="G655" s="9" t="n">
        <v>2022</v>
      </c>
      <c r="H655" s="12" t="n">
        <v>7200000</v>
      </c>
      <c r="I655" s="12" t="n">
        <v>859138.92</v>
      </c>
      <c r="J655" s="12" t="n">
        <v>49996.2</v>
      </c>
      <c r="K655" s="12" t="n">
        <v>859138.92</v>
      </c>
      <c r="L655" s="12" t="n">
        <v>50151.48</v>
      </c>
      <c r="M655" s="9" t="n">
        <v>5</v>
      </c>
      <c r="N655" s="12" t="n">
        <v>426355.24</v>
      </c>
      <c r="O655" s="12" t="n">
        <v>496331.24</v>
      </c>
      <c r="P655" s="12" t="n">
        <v>7200000</v>
      </c>
      <c r="Q655" s="9" t="inlineStr">
        <is>
          <t>Low</t>
        </is>
      </c>
      <c r="R655" s="11">
        <f>IFERROR(O655/K655,0)</f>
        <v/>
      </c>
    </row>
    <row r="656">
      <c r="A656" s="9" t="inlineStr">
        <is>
          <t>T0655</t>
        </is>
      </c>
      <c r="B656" s="9" t="inlineStr">
        <is>
          <t>Pioneer Insurance</t>
        </is>
      </c>
      <c r="C656" s="9" t="inlineStr">
        <is>
          <t>Specialty</t>
        </is>
      </c>
      <c r="D656" s="9" t="inlineStr">
        <is>
          <t>Europe</t>
        </is>
      </c>
      <c r="E656" s="9" t="inlineStr">
        <is>
          <t>Hannah Weber</t>
        </is>
      </c>
      <c r="F656" s="9" t="inlineStr">
        <is>
          <t>Excess of Loss</t>
        </is>
      </c>
      <c r="G656" s="9" t="n">
        <v>2022</v>
      </c>
      <c r="H656" s="12" t="n">
        <v>10800000</v>
      </c>
      <c r="I656" s="12" t="n">
        <v>1060887.456</v>
      </c>
      <c r="J656" s="12" t="n">
        <v>95102.9424</v>
      </c>
      <c r="K656" s="12" t="n">
        <v>1060887.456</v>
      </c>
      <c r="L656" s="12" t="n">
        <v>83428.05600000001</v>
      </c>
      <c r="M656" s="9" t="n">
        <v>9</v>
      </c>
      <c r="N656" s="12" t="n">
        <v>477401.4072</v>
      </c>
      <c r="O656" s="12" t="n">
        <v>507071.2536</v>
      </c>
      <c r="P656" s="12" t="n">
        <v>10800000</v>
      </c>
      <c r="Q656" s="9" t="inlineStr">
        <is>
          <t>Low</t>
        </is>
      </c>
      <c r="R656" s="11">
        <f>IFERROR(O656/K656,0)</f>
        <v/>
      </c>
    </row>
    <row r="657">
      <c r="A657" s="9" t="inlineStr">
        <is>
          <t>T0656</t>
        </is>
      </c>
      <c r="B657" s="9" t="inlineStr">
        <is>
          <t>Crown General</t>
        </is>
      </c>
      <c r="C657" s="9" t="inlineStr">
        <is>
          <t>Property</t>
        </is>
      </c>
      <c r="D657" s="9" t="inlineStr">
        <is>
          <t>North America</t>
        </is>
      </c>
      <c r="E657" s="9" t="inlineStr">
        <is>
          <t>James Whitfield</t>
        </is>
      </c>
      <c r="F657" s="9" t="inlineStr">
        <is>
          <t>Facultative</t>
        </is>
      </c>
      <c r="G657" s="9" t="n">
        <v>2022</v>
      </c>
      <c r="H657" s="12" t="n">
        <v>12900000</v>
      </c>
      <c r="I657" s="12" t="n">
        <v>1258742.76</v>
      </c>
      <c r="J657" s="12" t="n">
        <v>124739.04</v>
      </c>
      <c r="K657" s="12" t="n">
        <v>1258742.76</v>
      </c>
      <c r="L657" s="12" t="n">
        <v>224429.88</v>
      </c>
      <c r="M657" s="9" t="n">
        <v>8</v>
      </c>
      <c r="N657" s="12" t="n">
        <v>913086.6799999999</v>
      </c>
      <c r="O657" s="12" t="n">
        <v>913086.6799999999</v>
      </c>
      <c r="P657" s="12" t="n">
        <v>12900000</v>
      </c>
      <c r="Q657" s="9" t="inlineStr">
        <is>
          <t>Low</t>
        </is>
      </c>
      <c r="R657" s="11">
        <f>IFERROR(O657/K657,0)</f>
        <v/>
      </c>
    </row>
    <row r="658">
      <c r="A658" s="9" t="inlineStr">
        <is>
          <t>T0657</t>
        </is>
      </c>
      <c r="B658" s="9" t="inlineStr">
        <is>
          <t>Atlas Indemnity</t>
        </is>
      </c>
      <c r="C658" s="9" t="inlineStr">
        <is>
          <t>Specialty</t>
        </is>
      </c>
      <c r="D658" s="9" t="inlineStr">
        <is>
          <t>North America</t>
        </is>
      </c>
      <c r="E658" s="9" t="inlineStr">
        <is>
          <t>Hannah Weber</t>
        </is>
      </c>
      <c r="F658" s="9" t="inlineStr">
        <is>
          <t>Facultative</t>
        </is>
      </c>
      <c r="G658" s="9" t="n">
        <v>2024</v>
      </c>
      <c r="H658" s="12" t="n">
        <v>19600000</v>
      </c>
      <c r="I658" s="12" t="n">
        <v>1608812.88</v>
      </c>
      <c r="J658" s="12" t="n">
        <v>173384.52</v>
      </c>
      <c r="K658" s="12" t="n">
        <v>1608812.88</v>
      </c>
      <c r="L658" s="12" t="n">
        <v>254952.84</v>
      </c>
      <c r="M658" s="9" t="n">
        <v>13</v>
      </c>
      <c r="N658" s="12" t="n">
        <v>884820.9</v>
      </c>
      <c r="O658" s="12" t="n">
        <v>951717.88</v>
      </c>
      <c r="P658" s="12" t="n">
        <v>19600000</v>
      </c>
      <c r="Q658" s="9" t="inlineStr">
        <is>
          <t>Low</t>
        </is>
      </c>
      <c r="R658" s="11">
        <f>IFERROR(O658/K658,0)</f>
        <v/>
      </c>
    </row>
    <row r="659">
      <c r="A659" s="9" t="inlineStr">
        <is>
          <t>T0658</t>
        </is>
      </c>
      <c r="B659" s="9" t="inlineStr">
        <is>
          <t>Cobalt Indemnity</t>
        </is>
      </c>
      <c r="C659" s="9" t="inlineStr">
        <is>
          <t>Professional</t>
        </is>
      </c>
      <c r="D659" s="9" t="inlineStr">
        <is>
          <t>North America</t>
        </is>
      </c>
      <c r="E659" s="9" t="inlineStr">
        <is>
          <t>Hannah Weber</t>
        </is>
      </c>
      <c r="F659" s="9" t="inlineStr">
        <is>
          <t>Excess of Loss</t>
        </is>
      </c>
      <c r="G659" s="9" t="n">
        <v>2025</v>
      </c>
      <c r="H659" s="12" t="n">
        <v>6100000</v>
      </c>
      <c r="I659" s="12" t="n">
        <v>535449.3</v>
      </c>
      <c r="J659" s="12" t="n">
        <v>58887.39999999999</v>
      </c>
      <c r="K659" s="12" t="n">
        <v>524740.3100000001</v>
      </c>
      <c r="L659" s="12" t="n">
        <v>29499.17577513315</v>
      </c>
      <c r="M659" s="9" t="n">
        <v>2</v>
      </c>
      <c r="N659" s="12" t="n">
        <v>265456.12</v>
      </c>
      <c r="O659" s="12" t="n">
        <v>333734.12</v>
      </c>
      <c r="P659" s="12" t="n">
        <v>6100000</v>
      </c>
      <c r="Q659" s="9" t="inlineStr">
        <is>
          <t>Low</t>
        </is>
      </c>
      <c r="R659" s="11">
        <f>IFERROR(O659/K659,0)</f>
        <v/>
      </c>
    </row>
    <row r="660">
      <c r="A660" s="9" t="inlineStr">
        <is>
          <t>T0659</t>
        </is>
      </c>
      <c r="B660" s="9" t="inlineStr">
        <is>
          <t>Summit Insurance</t>
        </is>
      </c>
      <c r="C660" s="9" t="inlineStr">
        <is>
          <t>Property</t>
        </is>
      </c>
      <c r="D660" s="9" t="inlineStr">
        <is>
          <t>Europe</t>
        </is>
      </c>
      <c r="E660" s="9" t="inlineStr">
        <is>
          <t>Carlos Ibarra</t>
        </is>
      </c>
      <c r="F660" s="9" t="inlineStr">
        <is>
          <t>Excess of Loss</t>
        </is>
      </c>
      <c r="G660" s="9" t="n">
        <v>2022</v>
      </c>
      <c r="H660" s="12" t="n">
        <v>6599999.998800001</v>
      </c>
      <c r="I660" s="12" t="n">
        <v>482254.6896000001</v>
      </c>
      <c r="J660" s="12" t="n">
        <v>44110.7856</v>
      </c>
      <c r="K660" s="12" t="n">
        <v>482254.6896000001</v>
      </c>
      <c r="L660" s="12" t="n">
        <v>50782.72320000001</v>
      </c>
      <c r="M660" s="9" t="n">
        <v>11</v>
      </c>
      <c r="N660" s="12" t="n">
        <v>377432.1144</v>
      </c>
      <c r="O660" s="12" t="n">
        <v>405827.9928</v>
      </c>
      <c r="P660" s="12" t="n">
        <v>6599999.998800001</v>
      </c>
      <c r="Q660" s="9" t="inlineStr">
        <is>
          <t>Low</t>
        </is>
      </c>
      <c r="R660" s="11">
        <f>IFERROR(O660/K660,0)</f>
        <v/>
      </c>
    </row>
    <row r="661">
      <c r="A661" s="9" t="inlineStr">
        <is>
          <t>T0660</t>
        </is>
      </c>
      <c r="B661" s="9" t="inlineStr">
        <is>
          <t>Granite General</t>
        </is>
      </c>
      <c r="C661" s="9" t="inlineStr">
        <is>
          <t>Property</t>
        </is>
      </c>
      <c r="D661" s="9" t="inlineStr">
        <is>
          <t>Asia Pacific</t>
        </is>
      </c>
      <c r="E661" s="9" t="inlineStr">
        <is>
          <t>Hannah Weber</t>
        </is>
      </c>
      <c r="F661" s="9" t="inlineStr">
        <is>
          <t>Excess of Loss</t>
        </is>
      </c>
      <c r="G661" s="9" t="n">
        <v>2025</v>
      </c>
      <c r="H661" s="12" t="n">
        <v>20800000</v>
      </c>
      <c r="I661" s="12" t="n">
        <v>1440459.5</v>
      </c>
      <c r="J661" s="12" t="n">
        <v>103058.3</v>
      </c>
      <c r="K661" s="12" t="n">
        <v>1358833.46</v>
      </c>
      <c r="L661" s="12" t="n">
        <v>157118.2038072879</v>
      </c>
      <c r="M661" s="9" t="n">
        <v>5</v>
      </c>
      <c r="N661" s="12" t="n">
        <v>41247.79</v>
      </c>
      <c r="O661" s="12" t="n">
        <v>1133423.95</v>
      </c>
      <c r="P661" s="12" t="n">
        <v>20800000</v>
      </c>
      <c r="Q661" s="9" t="inlineStr">
        <is>
          <t>Low</t>
        </is>
      </c>
      <c r="R661" s="11">
        <f>IFERROR(O661/K661,0)</f>
        <v/>
      </c>
    </row>
    <row r="662">
      <c r="A662" s="9" t="inlineStr">
        <is>
          <t>T0661</t>
        </is>
      </c>
      <c r="B662" s="9" t="inlineStr">
        <is>
          <t>Granite Indemnity</t>
        </is>
      </c>
      <c r="C662" s="9" t="inlineStr">
        <is>
          <t>Casualty</t>
        </is>
      </c>
      <c r="D662" s="9" t="inlineStr">
        <is>
          <t>Europe</t>
        </is>
      </c>
      <c r="E662" s="9" t="inlineStr">
        <is>
          <t>Omar Haddad</t>
        </is>
      </c>
      <c r="F662" s="9" t="inlineStr">
        <is>
          <t>Excess of Loss</t>
        </is>
      </c>
      <c r="G662" s="9" t="n">
        <v>2025</v>
      </c>
      <c r="H662" s="12" t="n">
        <v>17700000.0012</v>
      </c>
      <c r="I662" s="12" t="n">
        <v>1593647.3952</v>
      </c>
      <c r="J662" s="12" t="n">
        <v>188348.0688</v>
      </c>
      <c r="K662" s="12" t="n">
        <v>1567086.6096</v>
      </c>
      <c r="L662" s="12" t="n">
        <v>181677.3175408313</v>
      </c>
      <c r="M662" s="9" t="n">
        <v>5</v>
      </c>
      <c r="N662" s="12" t="n">
        <v>443704.7052</v>
      </c>
      <c r="O662" s="12" t="n">
        <v>835677.7560000001</v>
      </c>
      <c r="P662" s="12" t="n">
        <v>17700000.0012</v>
      </c>
      <c r="Q662" s="9" t="inlineStr">
        <is>
          <t>Low</t>
        </is>
      </c>
      <c r="R662" s="11">
        <f>IFERROR(O662/K662,0)</f>
        <v/>
      </c>
    </row>
    <row r="663">
      <c r="A663" s="9" t="inlineStr">
        <is>
          <t>T0662</t>
        </is>
      </c>
      <c r="B663" s="9" t="inlineStr">
        <is>
          <t>Cobalt Indemnity</t>
        </is>
      </c>
      <c r="C663" s="9" t="inlineStr">
        <is>
          <t>Property</t>
        </is>
      </c>
      <c r="D663" s="9" t="inlineStr">
        <is>
          <t>North America</t>
        </is>
      </c>
      <c r="E663" s="9" t="inlineStr">
        <is>
          <t>Sophie Laurent</t>
        </is>
      </c>
      <c r="F663" s="9" t="inlineStr">
        <is>
          <t>Excess of Loss</t>
        </is>
      </c>
      <c r="G663" s="9" t="n">
        <v>2026</v>
      </c>
      <c r="H663" s="12" t="n">
        <v>11700000</v>
      </c>
      <c r="I663" s="12" t="n">
        <v>785922.64</v>
      </c>
      <c r="J663" s="12" t="n">
        <v>67005.67999999999</v>
      </c>
      <c r="K663" s="12" t="n">
        <v>762999.9</v>
      </c>
      <c r="L663" s="12" t="n">
        <v>73314.92601898834</v>
      </c>
      <c r="M663" s="9" t="n">
        <v>7</v>
      </c>
      <c r="N663" s="12" t="n">
        <v>114469.95</v>
      </c>
      <c r="O663" s="12" t="n">
        <v>666735.27</v>
      </c>
      <c r="P663" s="12" t="n">
        <v>11700000</v>
      </c>
      <c r="Q663" s="9" t="inlineStr">
        <is>
          <t>Low</t>
        </is>
      </c>
      <c r="R663" s="11">
        <f>IFERROR(O663/K663,0)</f>
        <v/>
      </c>
    </row>
    <row r="664">
      <c r="A664" s="9" t="inlineStr">
        <is>
          <t>T0663</t>
        </is>
      </c>
      <c r="B664" s="9" t="inlineStr">
        <is>
          <t>Cobalt Mutual</t>
        </is>
      </c>
      <c r="C664" s="9" t="inlineStr">
        <is>
          <t>Casualty</t>
        </is>
      </c>
      <c r="D664" s="9" t="inlineStr">
        <is>
          <t>Europe</t>
        </is>
      </c>
      <c r="E664" s="9" t="inlineStr">
        <is>
          <t>Carlos Ibarra</t>
        </is>
      </c>
      <c r="F664" s="9" t="inlineStr">
        <is>
          <t>Excess of Loss</t>
        </is>
      </c>
      <c r="G664" s="9" t="n">
        <v>2024</v>
      </c>
      <c r="H664" s="12" t="n">
        <v>53299999.998</v>
      </c>
      <c r="I664" s="12" t="n">
        <v>4363235.9424</v>
      </c>
      <c r="J664" s="12" t="n">
        <v>355387.824</v>
      </c>
      <c r="K664" s="12" t="n">
        <v>4363235.9424</v>
      </c>
      <c r="L664" s="12" t="n">
        <v>304603.416</v>
      </c>
      <c r="M664" s="9" t="n">
        <v>9</v>
      </c>
      <c r="N664" s="12" t="n">
        <v>3002624.0028</v>
      </c>
      <c r="O664" s="12" t="n">
        <v>3230110.8828</v>
      </c>
      <c r="P664" s="12" t="n">
        <v>53299999.998</v>
      </c>
      <c r="Q664" s="9" t="inlineStr">
        <is>
          <t>Low</t>
        </is>
      </c>
      <c r="R664" s="11">
        <f>IFERROR(O664/K664,0)</f>
        <v/>
      </c>
    </row>
    <row r="665">
      <c r="A665" s="9" t="inlineStr">
        <is>
          <t>T0664</t>
        </is>
      </c>
      <c r="B665" s="9" t="inlineStr">
        <is>
          <t>Orion General</t>
        </is>
      </c>
      <c r="C665" s="9" t="inlineStr">
        <is>
          <t>Professional</t>
        </is>
      </c>
      <c r="D665" s="9" t="inlineStr">
        <is>
          <t>North America</t>
        </is>
      </c>
      <c r="E665" s="9" t="inlineStr">
        <is>
          <t>James Whitfield</t>
        </is>
      </c>
      <c r="F665" s="9" t="inlineStr">
        <is>
          <t>Excess of Loss</t>
        </is>
      </c>
      <c r="G665" s="9" t="n">
        <v>2021</v>
      </c>
      <c r="H665" s="12" t="n">
        <v>25500000</v>
      </c>
      <c r="I665" s="12" t="n">
        <v>2564179.08</v>
      </c>
      <c r="J665" s="12" t="n">
        <v>255427.2</v>
      </c>
      <c r="K665" s="12" t="n">
        <v>2564179.08</v>
      </c>
      <c r="L665" s="12" t="n">
        <v>297284.4</v>
      </c>
      <c r="M665" s="9" t="n">
        <v>7</v>
      </c>
      <c r="N665" s="12" t="n">
        <v>917424.9</v>
      </c>
      <c r="O665" s="12" t="n">
        <v>1014413.02</v>
      </c>
      <c r="P665" s="12" t="n">
        <v>25500000</v>
      </c>
      <c r="Q665" s="9" t="inlineStr">
        <is>
          <t>Low</t>
        </is>
      </c>
      <c r="R665" s="11">
        <f>IFERROR(O665/K665,0)</f>
        <v/>
      </c>
    </row>
    <row r="666">
      <c r="A666" s="9" t="inlineStr">
        <is>
          <t>T0665</t>
        </is>
      </c>
      <c r="B666" s="9" t="inlineStr">
        <is>
          <t>Vantage Indemnity</t>
        </is>
      </c>
      <c r="C666" s="9" t="inlineStr">
        <is>
          <t>Financial Lines</t>
        </is>
      </c>
      <c r="D666" s="9" t="inlineStr">
        <is>
          <t>North America</t>
        </is>
      </c>
      <c r="E666" s="9" t="inlineStr">
        <is>
          <t>Omar Haddad</t>
        </is>
      </c>
      <c r="F666" s="9" t="inlineStr">
        <is>
          <t>Excess of Loss</t>
        </is>
      </c>
      <c r="G666" s="9" t="n">
        <v>2023</v>
      </c>
      <c r="H666" s="12" t="n">
        <v>11600000</v>
      </c>
      <c r="I666" s="12" t="n">
        <v>1189224.48</v>
      </c>
      <c r="J666" s="12" t="n">
        <v>124195.8</v>
      </c>
      <c r="K666" s="12" t="n">
        <v>1189224.48</v>
      </c>
      <c r="L666" s="12" t="n">
        <v>105801</v>
      </c>
      <c r="M666" s="9" t="n">
        <v>8</v>
      </c>
      <c r="N666" s="12" t="n">
        <v>617771.33</v>
      </c>
      <c r="O666" s="12" t="n">
        <v>663999.9300000001</v>
      </c>
      <c r="P666" s="12" t="n">
        <v>11600000</v>
      </c>
      <c r="Q666" s="9" t="inlineStr">
        <is>
          <t>Low</t>
        </is>
      </c>
      <c r="R666" s="11">
        <f>IFERROR(O666/K666,0)</f>
        <v/>
      </c>
    </row>
    <row r="667">
      <c r="A667" s="9" t="inlineStr">
        <is>
          <t>T0666</t>
        </is>
      </c>
      <c r="B667" s="9" t="inlineStr">
        <is>
          <t>Sterling Mutual</t>
        </is>
      </c>
      <c r="C667" s="9" t="inlineStr">
        <is>
          <t>Specialty</t>
        </is>
      </c>
      <c r="D667" s="9" t="inlineStr">
        <is>
          <t>Europe</t>
        </is>
      </c>
      <c r="E667" s="9" t="inlineStr">
        <is>
          <t>Kenji Sato</t>
        </is>
      </c>
      <c r="F667" s="9" t="inlineStr">
        <is>
          <t>Excess of Loss</t>
        </is>
      </c>
      <c r="G667" s="9" t="n">
        <v>2024</v>
      </c>
      <c r="H667" s="12" t="n">
        <v>16199999.9977</v>
      </c>
      <c r="I667" s="12" t="n">
        <v>2265779.7204</v>
      </c>
      <c r="J667" s="12" t="n">
        <v>265553.0376</v>
      </c>
      <c r="K667" s="12" t="n">
        <v>2265779.7204</v>
      </c>
      <c r="L667" s="12" t="n">
        <v>158973.9264</v>
      </c>
      <c r="M667" s="9" t="n">
        <v>8</v>
      </c>
      <c r="N667" s="12" t="n">
        <v>868667.0714</v>
      </c>
      <c r="O667" s="12" t="n">
        <v>1639356.894</v>
      </c>
      <c r="P667" s="12" t="n">
        <v>16199999.9977</v>
      </c>
      <c r="Q667" s="9" t="inlineStr">
        <is>
          <t>Low</t>
        </is>
      </c>
      <c r="R667" s="11">
        <f>IFERROR(O667/K667,0)</f>
        <v/>
      </c>
    </row>
    <row r="668">
      <c r="A668" s="9" t="inlineStr">
        <is>
          <t>T0667</t>
        </is>
      </c>
      <c r="B668" s="9" t="inlineStr">
        <is>
          <t>Pioneer Indemnity</t>
        </is>
      </c>
      <c r="C668" s="9" t="inlineStr">
        <is>
          <t>Specialty</t>
        </is>
      </c>
      <c r="D668" s="9" t="inlineStr">
        <is>
          <t>Latin America</t>
        </is>
      </c>
      <c r="E668" s="9" t="inlineStr">
        <is>
          <t>James Whitfield</t>
        </is>
      </c>
      <c r="F668" s="9" t="inlineStr">
        <is>
          <t>Excess of Loss</t>
        </is>
      </c>
      <c r="G668" s="9" t="n">
        <v>2026</v>
      </c>
      <c r="H668" s="12" t="n">
        <v>5000000</v>
      </c>
      <c r="I668" s="12" t="n">
        <v>348161.6</v>
      </c>
      <c r="J668" s="12" t="n">
        <v>37733.75</v>
      </c>
      <c r="K668" s="12" t="n">
        <v>343519.45</v>
      </c>
      <c r="L668" s="12" t="n">
        <v>40444.1085494279</v>
      </c>
      <c r="M668" s="9" t="n">
        <v>6</v>
      </c>
      <c r="N668" s="12" t="n">
        <v>33509.95</v>
      </c>
      <c r="O668" s="12" t="n">
        <v>174313.86</v>
      </c>
      <c r="P668" s="12" t="n">
        <v>5000000</v>
      </c>
      <c r="Q668" s="9" t="inlineStr">
        <is>
          <t>Low</t>
        </is>
      </c>
      <c r="R668" s="11">
        <f>IFERROR(O668/K668,0)</f>
        <v/>
      </c>
    </row>
    <row r="669">
      <c r="A669" s="9" t="inlineStr">
        <is>
          <t>T0668</t>
        </is>
      </c>
      <c r="B669" s="9" t="inlineStr">
        <is>
          <t>Sterling Insurance</t>
        </is>
      </c>
      <c r="C669" s="9" t="inlineStr">
        <is>
          <t>Specialty</t>
        </is>
      </c>
      <c r="D669" s="9" t="inlineStr">
        <is>
          <t>Asia Pacific</t>
        </is>
      </c>
      <c r="E669" s="9" t="inlineStr">
        <is>
          <t>Kenji Sato</t>
        </is>
      </c>
      <c r="F669" s="9" t="inlineStr">
        <is>
          <t>Excess of Loss</t>
        </is>
      </c>
      <c r="G669" s="9" t="n">
        <v>2025</v>
      </c>
      <c r="H669" s="12" t="n">
        <v>6099999.99996</v>
      </c>
      <c r="I669" s="12" t="n">
        <v>1145247.45696</v>
      </c>
      <c r="J669" s="12" t="n">
        <v>133334.70336</v>
      </c>
      <c r="K669" s="12" t="n">
        <v>1145247.45696</v>
      </c>
      <c r="L669" s="12" t="n">
        <v>116524.8864</v>
      </c>
      <c r="M669" s="9" t="n">
        <v>4</v>
      </c>
      <c r="N669" s="12" t="n">
        <v>405760.79652</v>
      </c>
      <c r="O669" s="12" t="n">
        <v>805831.5</v>
      </c>
      <c r="P669" s="12" t="n">
        <v>6099999.99996</v>
      </c>
      <c r="Q669" s="9" t="inlineStr">
        <is>
          <t>Low</t>
        </is>
      </c>
      <c r="R669" s="11">
        <f>IFERROR(O669/K669,0)</f>
        <v/>
      </c>
    </row>
    <row r="670">
      <c r="A670" s="9" t="inlineStr">
        <is>
          <t>T0669</t>
        </is>
      </c>
      <c r="B670" s="9" t="inlineStr">
        <is>
          <t>Crown General</t>
        </is>
      </c>
      <c r="C670" s="9" t="inlineStr">
        <is>
          <t>Property</t>
        </is>
      </c>
      <c r="D670" s="9" t="inlineStr">
        <is>
          <t>North America</t>
        </is>
      </c>
      <c r="E670" s="9" t="inlineStr">
        <is>
          <t>Omar Haddad</t>
        </is>
      </c>
      <c r="F670" s="9" t="inlineStr">
        <is>
          <t>Proportional</t>
        </is>
      </c>
      <c r="G670" s="9" t="n">
        <v>2022</v>
      </c>
      <c r="H670" s="12" t="n">
        <v>10400000</v>
      </c>
      <c r="I670" s="12" t="n">
        <v>1290103.2</v>
      </c>
      <c r="J670" s="12" t="n">
        <v>124255.68</v>
      </c>
      <c r="K670" s="12" t="n">
        <v>1290103.2</v>
      </c>
      <c r="L670" s="12" t="n">
        <v>348883.2</v>
      </c>
      <c r="M670" s="9" t="n">
        <v>9</v>
      </c>
      <c r="N670" s="12" t="n">
        <v>740139.46</v>
      </c>
      <c r="O670" s="12" t="n">
        <v>858658.61</v>
      </c>
      <c r="P670" s="12" t="n">
        <v>5200000</v>
      </c>
      <c r="Q670" s="9" t="inlineStr">
        <is>
          <t>Low</t>
        </is>
      </c>
      <c r="R670" s="11">
        <f>IFERROR(O670/K670,0)</f>
        <v/>
      </c>
    </row>
    <row r="671">
      <c r="A671" s="9" t="inlineStr">
        <is>
          <t>T0670</t>
        </is>
      </c>
      <c r="B671" s="9" t="inlineStr">
        <is>
          <t>Northwind Indemnity</t>
        </is>
      </c>
      <c r="C671" s="9" t="inlineStr">
        <is>
          <t>Specialty</t>
        </is>
      </c>
      <c r="D671" s="9" t="inlineStr">
        <is>
          <t>North America</t>
        </is>
      </c>
      <c r="E671" s="9" t="inlineStr">
        <is>
          <t>Priya Nair</t>
        </is>
      </c>
      <c r="F671" s="9" t="inlineStr">
        <is>
          <t>Proportional</t>
        </is>
      </c>
      <c r="G671" s="9" t="n">
        <v>2025</v>
      </c>
      <c r="H671" s="12" t="n">
        <v>19000000</v>
      </c>
      <c r="I671" s="12" t="n">
        <v>1714418.64</v>
      </c>
      <c r="J671" s="12" t="n">
        <v>189780.6</v>
      </c>
      <c r="K671" s="12" t="n">
        <v>1714418.64</v>
      </c>
      <c r="L671" s="12" t="n">
        <v>503528.52</v>
      </c>
      <c r="M671" s="9" t="n">
        <v>9</v>
      </c>
      <c r="N671" s="12" t="n">
        <v>408913.41</v>
      </c>
      <c r="O671" s="12" t="n">
        <v>866980.0800000001</v>
      </c>
      <c r="P671" s="12" t="n">
        <v>5700000</v>
      </c>
      <c r="Q671" s="9" t="inlineStr">
        <is>
          <t>Low</t>
        </is>
      </c>
      <c r="R671" s="11">
        <f>IFERROR(O671/K671,0)</f>
        <v/>
      </c>
    </row>
    <row r="672">
      <c r="A672" s="9" t="inlineStr">
        <is>
          <t>T0671</t>
        </is>
      </c>
      <c r="B672" s="9" t="inlineStr">
        <is>
          <t>Summit Assurance</t>
        </is>
      </c>
      <c r="C672" s="9" t="inlineStr">
        <is>
          <t>Casualty</t>
        </is>
      </c>
      <c r="D672" s="9" t="inlineStr">
        <is>
          <t>North America</t>
        </is>
      </c>
      <c r="E672" s="9" t="inlineStr">
        <is>
          <t>Carlos Ibarra</t>
        </is>
      </c>
      <c r="F672" s="9" t="inlineStr">
        <is>
          <t>Excess of Loss</t>
        </is>
      </c>
      <c r="G672" s="9" t="n">
        <v>2023</v>
      </c>
      <c r="H672" s="12" t="n">
        <v>12200000</v>
      </c>
      <c r="I672" s="12" t="n">
        <v>1086314.4</v>
      </c>
      <c r="J672" s="12" t="n">
        <v>126617.4</v>
      </c>
      <c r="K672" s="12" t="n">
        <v>1086314.4</v>
      </c>
      <c r="L672" s="12" t="n">
        <v>126076.2</v>
      </c>
      <c r="M672" s="9" t="n">
        <v>9</v>
      </c>
      <c r="N672" s="12" t="n">
        <v>991410.6799999999</v>
      </c>
      <c r="O672" s="12" t="n">
        <v>991410.6799999999</v>
      </c>
      <c r="P672" s="12" t="n">
        <v>12200000</v>
      </c>
      <c r="Q672" s="9" t="inlineStr">
        <is>
          <t>Low</t>
        </is>
      </c>
      <c r="R672" s="11">
        <f>IFERROR(O672/K672,0)</f>
        <v/>
      </c>
    </row>
    <row r="673">
      <c r="A673" s="9" t="inlineStr">
        <is>
          <t>T0672</t>
        </is>
      </c>
      <c r="B673" s="9" t="inlineStr">
        <is>
          <t>Crown Insurance</t>
        </is>
      </c>
      <c r="C673" s="9" t="inlineStr">
        <is>
          <t>Property</t>
        </is>
      </c>
      <c r="D673" s="9" t="inlineStr">
        <is>
          <t>Asia Pacific</t>
        </is>
      </c>
      <c r="E673" s="9" t="inlineStr">
        <is>
          <t>Carlos Ibarra</t>
        </is>
      </c>
      <c r="F673" s="9" t="inlineStr">
        <is>
          <t>Proportional</t>
        </is>
      </c>
      <c r="G673" s="9" t="n">
        <v>2022</v>
      </c>
      <c r="H673" s="12" t="n">
        <v>37500000</v>
      </c>
      <c r="I673" s="12" t="n">
        <v>4539606.84</v>
      </c>
      <c r="J673" s="12" t="n">
        <v>271518.84</v>
      </c>
      <c r="K673" s="12" t="n">
        <v>4539606.84</v>
      </c>
      <c r="L673" s="12" t="n">
        <v>1241303.52</v>
      </c>
      <c r="M673" s="9" t="n">
        <v>16</v>
      </c>
      <c r="N673" s="12" t="n">
        <v>2437398.12</v>
      </c>
      <c r="O673" s="12" t="n">
        <v>2578505.49</v>
      </c>
      <c r="P673" s="12" t="n">
        <v>9375000</v>
      </c>
      <c r="Q673" s="9" t="inlineStr">
        <is>
          <t>Low</t>
        </is>
      </c>
      <c r="R673" s="11">
        <f>IFERROR(O673/K673,0)</f>
        <v/>
      </c>
    </row>
    <row r="674">
      <c r="A674" s="9" t="inlineStr">
        <is>
          <t>T0673</t>
        </is>
      </c>
      <c r="B674" s="9" t="inlineStr">
        <is>
          <t>Pioneer Insurance</t>
        </is>
      </c>
      <c r="C674" s="9" t="inlineStr">
        <is>
          <t>Casualty</t>
        </is>
      </c>
      <c r="D674" s="9" t="inlineStr">
        <is>
          <t>Europe</t>
        </is>
      </c>
      <c r="E674" s="9" t="inlineStr">
        <is>
          <t>Carlos Ibarra</t>
        </is>
      </c>
      <c r="F674" s="9" t="inlineStr">
        <is>
          <t>Excess of Loss</t>
        </is>
      </c>
      <c r="G674" s="9" t="n">
        <v>2024</v>
      </c>
      <c r="H674" s="12" t="n">
        <v>14900000.004</v>
      </c>
      <c r="I674" s="12" t="n">
        <v>1637719.1712</v>
      </c>
      <c r="J674" s="12" t="n">
        <v>130827.5712</v>
      </c>
      <c r="K674" s="12" t="n">
        <v>1637719.1712</v>
      </c>
      <c r="L674" s="12" t="n">
        <v>157566.2544</v>
      </c>
      <c r="M674" s="9" t="n">
        <v>7</v>
      </c>
      <c r="N674" s="12" t="n">
        <v>1187245.944</v>
      </c>
      <c r="O674" s="12" t="n">
        <v>1281522.3192</v>
      </c>
      <c r="P674" s="12" t="n">
        <v>14900000.004</v>
      </c>
      <c r="Q674" s="9" t="inlineStr">
        <is>
          <t>Low</t>
        </is>
      </c>
      <c r="R674" s="11">
        <f>IFERROR(O674/K674,0)</f>
        <v/>
      </c>
    </row>
    <row r="675">
      <c r="A675" s="9" t="inlineStr">
        <is>
          <t>T0674</t>
        </is>
      </c>
      <c r="B675" s="9" t="inlineStr">
        <is>
          <t>Pioneer Insurance</t>
        </is>
      </c>
      <c r="C675" s="9" t="inlineStr">
        <is>
          <t>Casualty</t>
        </is>
      </c>
      <c r="D675" s="9" t="inlineStr">
        <is>
          <t>Europe</t>
        </is>
      </c>
      <c r="E675" s="9" t="inlineStr">
        <is>
          <t>James Whitfield</t>
        </is>
      </c>
      <c r="F675" s="9" t="inlineStr">
        <is>
          <t>Excess of Loss</t>
        </is>
      </c>
      <c r="G675" s="9" t="n">
        <v>2021</v>
      </c>
      <c r="H675" s="12" t="n">
        <v>4600000.000800001</v>
      </c>
      <c r="I675" s="12" t="n">
        <v>529572.0384000001</v>
      </c>
      <c r="J675" s="12" t="n">
        <v>32206.5072</v>
      </c>
      <c r="K675" s="12" t="n">
        <v>529572.0384000001</v>
      </c>
      <c r="L675" s="12" t="n">
        <v>36127.5552</v>
      </c>
      <c r="M675" s="9" t="n">
        <v>7</v>
      </c>
      <c r="N675" s="12" t="n">
        <v>326623.4604</v>
      </c>
      <c r="O675" s="12" t="n">
        <v>351826.3512</v>
      </c>
      <c r="P675" s="12" t="n">
        <v>4600000.000800001</v>
      </c>
      <c r="Q675" s="9" t="inlineStr">
        <is>
          <t>Low</t>
        </is>
      </c>
      <c r="R675" s="11">
        <f>IFERROR(O675/K675,0)</f>
        <v/>
      </c>
    </row>
    <row r="676">
      <c r="A676" s="9" t="inlineStr">
        <is>
          <t>T0675</t>
        </is>
      </c>
      <c r="B676" s="9" t="inlineStr">
        <is>
          <t>Sterling General</t>
        </is>
      </c>
      <c r="C676" s="9" t="inlineStr">
        <is>
          <t>Specialty</t>
        </is>
      </c>
      <c r="D676" s="9" t="inlineStr">
        <is>
          <t>Asia Pacific</t>
        </is>
      </c>
      <c r="E676" s="9" t="inlineStr">
        <is>
          <t>Aarav Mehta</t>
        </is>
      </c>
      <c r="F676" s="9" t="inlineStr">
        <is>
          <t>Excess of Loss</t>
        </is>
      </c>
      <c r="G676" s="9" t="n">
        <v>2021</v>
      </c>
      <c r="H676" s="12" t="n">
        <v>14500000</v>
      </c>
      <c r="I676" s="12" t="n">
        <v>1299450.84</v>
      </c>
      <c r="J676" s="12" t="n">
        <v>82812.84</v>
      </c>
      <c r="K676" s="12" t="n">
        <v>1299450.84</v>
      </c>
      <c r="L676" s="12" t="n">
        <v>150121.32</v>
      </c>
      <c r="M676" s="9" t="n">
        <v>11</v>
      </c>
      <c r="N676" s="12" t="n">
        <v>708835.63</v>
      </c>
      <c r="O676" s="12" t="n">
        <v>812744.23</v>
      </c>
      <c r="P676" s="12" t="n">
        <v>14500000</v>
      </c>
      <c r="Q676" s="9" t="inlineStr">
        <is>
          <t>Low</t>
        </is>
      </c>
      <c r="R676" s="11">
        <f>IFERROR(O676/K676,0)</f>
        <v/>
      </c>
    </row>
    <row r="677">
      <c r="A677" s="9" t="inlineStr">
        <is>
          <t>T0676</t>
        </is>
      </c>
      <c r="B677" s="9" t="inlineStr">
        <is>
          <t>Evergreen General</t>
        </is>
      </c>
      <c r="C677" s="9" t="inlineStr">
        <is>
          <t>Casualty</t>
        </is>
      </c>
      <c r="D677" s="9" t="inlineStr">
        <is>
          <t>North America</t>
        </is>
      </c>
      <c r="E677" s="9" t="inlineStr">
        <is>
          <t>James Whitfield</t>
        </is>
      </c>
      <c r="F677" s="9" t="inlineStr">
        <is>
          <t>Excess of Loss</t>
        </is>
      </c>
      <c r="G677" s="9" t="n">
        <v>2021</v>
      </c>
      <c r="H677" s="12" t="n">
        <v>13000000</v>
      </c>
      <c r="I677" s="12" t="n">
        <v>1018736.04</v>
      </c>
      <c r="J677" s="12" t="n">
        <v>58625.16</v>
      </c>
      <c r="K677" s="12" t="n">
        <v>1018736.04</v>
      </c>
      <c r="L677" s="12" t="n">
        <v>51308.75999999999</v>
      </c>
      <c r="M677" s="9" t="n">
        <v>6</v>
      </c>
      <c r="N677" s="12" t="n">
        <v>726494.0700000001</v>
      </c>
      <c r="O677" s="12" t="n">
        <v>807685.4600000001</v>
      </c>
      <c r="P677" s="12" t="n">
        <v>13000000</v>
      </c>
      <c r="Q677" s="9" t="inlineStr">
        <is>
          <t>Low</t>
        </is>
      </c>
      <c r="R677" s="11">
        <f>IFERROR(O677/K677,0)</f>
        <v/>
      </c>
    </row>
    <row r="678">
      <c r="A678" s="9" t="inlineStr">
        <is>
          <t>T0677</t>
        </is>
      </c>
      <c r="B678" s="9" t="inlineStr">
        <is>
          <t>Summit General</t>
        </is>
      </c>
      <c r="C678" s="9" t="inlineStr">
        <is>
          <t>Property</t>
        </is>
      </c>
      <c r="D678" s="9" t="inlineStr">
        <is>
          <t>North America</t>
        </is>
      </c>
      <c r="E678" s="9" t="inlineStr">
        <is>
          <t>Hannah Weber</t>
        </is>
      </c>
      <c r="F678" s="9" t="inlineStr">
        <is>
          <t>Proportional</t>
        </is>
      </c>
      <c r="G678" s="9" t="n">
        <v>2023</v>
      </c>
      <c r="H678" s="12" t="n">
        <v>16800000</v>
      </c>
      <c r="I678" s="12" t="n">
        <v>1208580.36</v>
      </c>
      <c r="J678" s="12" t="n">
        <v>81388.31999999999</v>
      </c>
      <c r="K678" s="12" t="n">
        <v>1208580.36</v>
      </c>
      <c r="L678" s="12" t="n">
        <v>272824.8</v>
      </c>
      <c r="M678" s="9" t="n">
        <v>6</v>
      </c>
      <c r="N678" s="12" t="n">
        <v>552022.5</v>
      </c>
      <c r="O678" s="12" t="n">
        <v>640023.48</v>
      </c>
      <c r="P678" s="12" t="n">
        <v>4200000</v>
      </c>
      <c r="Q678" s="9" t="inlineStr">
        <is>
          <t>Low</t>
        </is>
      </c>
      <c r="R678" s="11">
        <f>IFERROR(O678/K678,0)</f>
        <v/>
      </c>
    </row>
    <row r="679">
      <c r="A679" s="9" t="inlineStr">
        <is>
          <t>T0678</t>
        </is>
      </c>
      <c r="B679" s="9" t="inlineStr">
        <is>
          <t>Northwind General</t>
        </is>
      </c>
      <c r="C679" s="9" t="inlineStr">
        <is>
          <t>Specialty</t>
        </is>
      </c>
      <c r="D679" s="9" t="inlineStr">
        <is>
          <t>Asia Pacific</t>
        </is>
      </c>
      <c r="E679" s="9" t="inlineStr">
        <is>
          <t>Aarav Mehta</t>
        </is>
      </c>
      <c r="F679" s="9" t="inlineStr">
        <is>
          <t>Facultative</t>
        </is>
      </c>
      <c r="G679" s="9" t="n">
        <v>2023</v>
      </c>
      <c r="H679" s="12" t="n">
        <v>16299999.99996</v>
      </c>
      <c r="I679" s="12" t="n">
        <v>2688017.85216</v>
      </c>
      <c r="J679" s="12" t="n">
        <v>214492.11264</v>
      </c>
      <c r="K679" s="12" t="n">
        <v>2688017.85216</v>
      </c>
      <c r="L679" s="12" t="n">
        <v>431154.3096</v>
      </c>
      <c r="M679" s="9" t="n">
        <v>9</v>
      </c>
      <c r="N679" s="12" t="n">
        <v>946592.2404</v>
      </c>
      <c r="O679" s="12" t="n">
        <v>946592.2404</v>
      </c>
      <c r="P679" s="12" t="n">
        <v>16299999.99996</v>
      </c>
      <c r="Q679" s="9" t="inlineStr">
        <is>
          <t>Low</t>
        </is>
      </c>
      <c r="R679" s="11">
        <f>IFERROR(O679/K679,0)</f>
        <v/>
      </c>
    </row>
    <row r="680">
      <c r="A680" s="9" t="inlineStr">
        <is>
          <t>T0679</t>
        </is>
      </c>
      <c r="B680" s="9" t="inlineStr">
        <is>
          <t>Orion General</t>
        </is>
      </c>
      <c r="C680" s="9" t="inlineStr">
        <is>
          <t>Property</t>
        </is>
      </c>
      <c r="D680" s="9" t="inlineStr">
        <is>
          <t>North America</t>
        </is>
      </c>
      <c r="E680" s="9" t="inlineStr">
        <is>
          <t>Hannah Weber</t>
        </is>
      </c>
      <c r="F680" s="9" t="inlineStr">
        <is>
          <t>Proportional</t>
        </is>
      </c>
      <c r="G680" s="9" t="n">
        <v>2026</v>
      </c>
      <c r="H680" s="12" t="n">
        <v>7900000</v>
      </c>
      <c r="I680" s="12" t="n">
        <v>360424.75</v>
      </c>
      <c r="J680" s="12" t="n">
        <v>26841.5</v>
      </c>
      <c r="K680" s="12" t="n">
        <v>317173.78</v>
      </c>
      <c r="L680" s="12" t="n">
        <v>91625.60000000001</v>
      </c>
      <c r="M680" s="9" t="n">
        <v>4</v>
      </c>
      <c r="N680" s="12" t="n">
        <v>131601.76</v>
      </c>
      <c r="O680" s="12" t="n">
        <v>147772.84</v>
      </c>
      <c r="P680" s="12" t="n">
        <v>1975000</v>
      </c>
      <c r="Q680" s="9" t="inlineStr">
        <is>
          <t>Low</t>
        </is>
      </c>
      <c r="R680" s="11">
        <f>IFERROR(O680/K680,0)</f>
        <v/>
      </c>
    </row>
    <row r="681">
      <c r="A681" s="9" t="inlineStr">
        <is>
          <t>T0680</t>
        </is>
      </c>
      <c r="B681" s="9" t="inlineStr">
        <is>
          <t>Meridian General</t>
        </is>
      </c>
      <c r="C681" s="9" t="inlineStr">
        <is>
          <t>Property</t>
        </is>
      </c>
      <c r="D681" s="9" t="inlineStr">
        <is>
          <t>North America</t>
        </is>
      </c>
      <c r="E681" s="9" t="inlineStr">
        <is>
          <t>Hannah Weber</t>
        </is>
      </c>
      <c r="F681" s="9" t="inlineStr">
        <is>
          <t>Excess of Loss</t>
        </is>
      </c>
      <c r="G681" s="9" t="n">
        <v>2022</v>
      </c>
      <c r="H681" s="12" t="n">
        <v>23700000</v>
      </c>
      <c r="I681" s="12" t="n">
        <v>1975597.92</v>
      </c>
      <c r="J681" s="12" t="n">
        <v>218473.8</v>
      </c>
      <c r="K681" s="12" t="n">
        <v>1975597.92</v>
      </c>
      <c r="L681" s="12" t="n">
        <v>182892</v>
      </c>
      <c r="M681" s="9" t="n">
        <v>17</v>
      </c>
      <c r="N681" s="12" t="n">
        <v>844213.4399999999</v>
      </c>
      <c r="O681" s="12" t="n">
        <v>883124.49</v>
      </c>
      <c r="P681" s="12" t="n">
        <v>23700000</v>
      </c>
      <c r="Q681" s="9" t="inlineStr">
        <is>
          <t>Low</t>
        </is>
      </c>
      <c r="R681" s="11">
        <f>IFERROR(O681/K681,0)</f>
        <v/>
      </c>
    </row>
    <row r="682">
      <c r="A682" s="9" t="inlineStr">
        <is>
          <t>T0681</t>
        </is>
      </c>
      <c r="B682" s="9" t="inlineStr">
        <is>
          <t>Summit Assurance</t>
        </is>
      </c>
      <c r="C682" s="9" t="inlineStr">
        <is>
          <t>Property</t>
        </is>
      </c>
      <c r="D682" s="9" t="inlineStr">
        <is>
          <t>North America</t>
        </is>
      </c>
      <c r="E682" s="9" t="inlineStr">
        <is>
          <t>James Whitfield</t>
        </is>
      </c>
      <c r="F682" s="9" t="inlineStr">
        <is>
          <t>Excess of Loss</t>
        </is>
      </c>
      <c r="G682" s="9" t="n">
        <v>2025</v>
      </c>
      <c r="H682" s="12" t="n">
        <v>15800000</v>
      </c>
      <c r="I682" s="12" t="n">
        <v>1651339.2</v>
      </c>
      <c r="J682" s="12" t="n">
        <v>139173.84</v>
      </c>
      <c r="K682" s="12" t="n">
        <v>1614642.77</v>
      </c>
      <c r="L682" s="12" t="n">
        <v>84724.99182509033</v>
      </c>
      <c r="M682" s="9" t="n">
        <v>10</v>
      </c>
      <c r="N682" s="12" t="n">
        <v>464762.41</v>
      </c>
      <c r="O682" s="12" t="n">
        <v>848541.3200000001</v>
      </c>
      <c r="P682" s="12" t="n">
        <v>15800000</v>
      </c>
      <c r="Q682" s="9" t="inlineStr">
        <is>
          <t>Low</t>
        </is>
      </c>
      <c r="R682" s="11">
        <f>IFERROR(O682/K682,0)</f>
        <v/>
      </c>
    </row>
    <row r="683">
      <c r="A683" s="9" t="inlineStr">
        <is>
          <t>T0682</t>
        </is>
      </c>
      <c r="B683" s="9" t="inlineStr">
        <is>
          <t>Crown Mutual</t>
        </is>
      </c>
      <c r="C683" s="9" t="inlineStr">
        <is>
          <t>Casualty</t>
        </is>
      </c>
      <c r="D683" s="9" t="inlineStr">
        <is>
          <t>North America</t>
        </is>
      </c>
      <c r="E683" s="9" t="inlineStr">
        <is>
          <t>Aarav Mehta</t>
        </is>
      </c>
      <c r="F683" s="9" t="inlineStr">
        <is>
          <t>Excess of Loss</t>
        </is>
      </c>
      <c r="G683" s="9" t="n">
        <v>2022</v>
      </c>
      <c r="H683" s="12" t="n">
        <v>6800000</v>
      </c>
      <c r="I683" s="12" t="n">
        <v>985501.7999999999</v>
      </c>
      <c r="J683" s="12" t="n">
        <v>51956.28</v>
      </c>
      <c r="K683" s="12" t="n">
        <v>985501.7999999999</v>
      </c>
      <c r="L683" s="12" t="n">
        <v>78250.92</v>
      </c>
      <c r="M683" s="9" t="n">
        <v>6</v>
      </c>
      <c r="N683" s="12" t="n">
        <v>198885.02</v>
      </c>
      <c r="O683" s="12" t="n">
        <v>198885.02</v>
      </c>
      <c r="P683" s="12" t="n">
        <v>6800000</v>
      </c>
      <c r="Q683" s="9" t="inlineStr">
        <is>
          <t>Low</t>
        </is>
      </c>
      <c r="R683" s="11">
        <f>IFERROR(O683/K683,0)</f>
        <v/>
      </c>
    </row>
    <row r="684">
      <c r="A684" s="9" t="inlineStr">
        <is>
          <t>T0683</t>
        </is>
      </c>
      <c r="B684" s="9" t="inlineStr">
        <is>
          <t>Summit Indemnity</t>
        </is>
      </c>
      <c r="C684" s="9" t="inlineStr">
        <is>
          <t>Casualty</t>
        </is>
      </c>
      <c r="D684" s="9" t="inlineStr">
        <is>
          <t>Asia Pacific</t>
        </is>
      </c>
      <c r="E684" s="9" t="inlineStr">
        <is>
          <t>Sophie Laurent</t>
        </is>
      </c>
      <c r="F684" s="9" t="inlineStr">
        <is>
          <t>Excess of Loss</t>
        </is>
      </c>
      <c r="G684" s="9" t="n">
        <v>2025</v>
      </c>
      <c r="H684" s="12" t="n">
        <v>5500000</v>
      </c>
      <c r="I684" s="12" t="n">
        <v>1092292.68</v>
      </c>
      <c r="J684" s="12" t="n">
        <v>57644.52</v>
      </c>
      <c r="K684" s="12" t="n">
        <v>1092292.68</v>
      </c>
      <c r="L684" s="12" t="n">
        <v>58905.72</v>
      </c>
      <c r="M684" s="9" t="n">
        <v>14</v>
      </c>
      <c r="N684" s="12" t="n">
        <v>504137.92</v>
      </c>
      <c r="O684" s="12" t="n">
        <v>700879.52</v>
      </c>
      <c r="P684" s="12" t="n">
        <v>5500000</v>
      </c>
      <c r="Q684" s="9" t="inlineStr">
        <is>
          <t>Low</t>
        </is>
      </c>
      <c r="R684" s="11">
        <f>IFERROR(O684/K684,0)</f>
        <v/>
      </c>
    </row>
    <row r="685">
      <c r="A685" s="9" t="inlineStr">
        <is>
          <t>T0684</t>
        </is>
      </c>
      <c r="B685" s="9" t="inlineStr">
        <is>
          <t>Orion Assurance</t>
        </is>
      </c>
      <c r="C685" s="9" t="inlineStr">
        <is>
          <t>Casualty</t>
        </is>
      </c>
      <c r="D685" s="9" t="inlineStr">
        <is>
          <t>North America</t>
        </is>
      </c>
      <c r="E685" s="9" t="inlineStr">
        <is>
          <t>Kenji Sato</t>
        </is>
      </c>
      <c r="F685" s="9" t="inlineStr">
        <is>
          <t>Facultative</t>
        </is>
      </c>
      <c r="G685" s="9" t="n">
        <v>2025</v>
      </c>
      <c r="H685" s="12" t="n">
        <v>21100000</v>
      </c>
      <c r="I685" s="12" t="n">
        <v>1392595.05</v>
      </c>
      <c r="J685" s="12" t="n">
        <v>121393.03</v>
      </c>
      <c r="K685" s="12" t="n">
        <v>1392595.05</v>
      </c>
      <c r="L685" s="12" t="n">
        <v>217653.15</v>
      </c>
      <c r="M685" s="9" t="n">
        <v>13</v>
      </c>
      <c r="N685" s="12" t="n">
        <v>875851.79</v>
      </c>
      <c r="O685" s="12" t="n">
        <v>1178009.56</v>
      </c>
      <c r="P685" s="12" t="n">
        <v>21100000</v>
      </c>
      <c r="Q685" s="9" t="inlineStr">
        <is>
          <t>Low</t>
        </is>
      </c>
      <c r="R685" s="11">
        <f>IFERROR(O685/K685,0)</f>
        <v/>
      </c>
    </row>
    <row r="686">
      <c r="A686" s="9" t="inlineStr">
        <is>
          <t>T0685</t>
        </is>
      </c>
      <c r="B686" s="9" t="inlineStr">
        <is>
          <t>Cobalt Mutual</t>
        </is>
      </c>
      <c r="C686" s="9" t="inlineStr">
        <is>
          <t>Casualty</t>
        </is>
      </c>
      <c r="D686" s="9" t="inlineStr">
        <is>
          <t>Europe</t>
        </is>
      </c>
      <c r="E686" s="9" t="inlineStr">
        <is>
          <t>Hannah Weber</t>
        </is>
      </c>
      <c r="F686" s="9" t="inlineStr">
        <is>
          <t>Proportional</t>
        </is>
      </c>
      <c r="G686" s="9" t="n">
        <v>2025</v>
      </c>
      <c r="H686" s="12" t="n">
        <v>29300000.0004</v>
      </c>
      <c r="I686" s="12" t="n">
        <v>2425009.104</v>
      </c>
      <c r="J686" s="12" t="n">
        <v>217556.5392</v>
      </c>
      <c r="K686" s="12" t="n">
        <v>2425009.104</v>
      </c>
      <c r="L686" s="12" t="n">
        <v>688590.2016000001</v>
      </c>
      <c r="M686" s="9" t="n">
        <v>8</v>
      </c>
      <c r="N686" s="12" t="n">
        <v>1590013.5948</v>
      </c>
      <c r="O686" s="12" t="n">
        <v>1689218.2692</v>
      </c>
      <c r="P686" s="12" t="n">
        <v>4394999.9952</v>
      </c>
      <c r="Q686" s="9" t="inlineStr">
        <is>
          <t>Low</t>
        </is>
      </c>
      <c r="R686" s="11">
        <f>IFERROR(O686/K686,0)</f>
        <v/>
      </c>
    </row>
    <row r="687">
      <c r="A687" s="9" t="inlineStr">
        <is>
          <t>T0686</t>
        </is>
      </c>
      <c r="B687" s="9" t="inlineStr">
        <is>
          <t>Pioneer Indemnity</t>
        </is>
      </c>
      <c r="C687" s="9" t="inlineStr">
        <is>
          <t>Specialty</t>
        </is>
      </c>
      <c r="D687" s="9" t="inlineStr">
        <is>
          <t>Latin America</t>
        </is>
      </c>
      <c r="E687" s="9" t="inlineStr">
        <is>
          <t>Omar Haddad</t>
        </is>
      </c>
      <c r="F687" s="9" t="inlineStr">
        <is>
          <t>Excess of Loss</t>
        </is>
      </c>
      <c r="G687" s="9" t="n">
        <v>2025</v>
      </c>
      <c r="H687" s="12" t="n">
        <v>12900000</v>
      </c>
      <c r="I687" s="12" t="n">
        <v>1121914.8</v>
      </c>
      <c r="J687" s="12" t="n">
        <v>77299.08</v>
      </c>
      <c r="K687" s="12" t="n">
        <v>1121914.8</v>
      </c>
      <c r="L687" s="12" t="n">
        <v>121204.56</v>
      </c>
      <c r="M687" s="9" t="n">
        <v>4</v>
      </c>
      <c r="N687" s="12" t="n">
        <v>116473.85</v>
      </c>
      <c r="O687" s="12" t="n">
        <v>498267.86</v>
      </c>
      <c r="P687" s="12" t="n">
        <v>12900000</v>
      </c>
      <c r="Q687" s="9" t="inlineStr">
        <is>
          <t>Low</t>
        </is>
      </c>
      <c r="R687" s="11">
        <f>IFERROR(O687/K687,0)</f>
        <v/>
      </c>
    </row>
    <row r="688">
      <c r="A688" s="9" t="inlineStr">
        <is>
          <t>T0687</t>
        </is>
      </c>
      <c r="B688" s="9" t="inlineStr">
        <is>
          <t>Evergreen Indemnity</t>
        </is>
      </c>
      <c r="C688" s="9" t="inlineStr">
        <is>
          <t>Casualty</t>
        </is>
      </c>
      <c r="D688" s="9" t="inlineStr">
        <is>
          <t>North America</t>
        </is>
      </c>
      <c r="E688" s="9" t="inlineStr">
        <is>
          <t>James Whitfield</t>
        </is>
      </c>
      <c r="F688" s="9" t="inlineStr">
        <is>
          <t>Proportional</t>
        </is>
      </c>
      <c r="G688" s="9" t="n">
        <v>2022</v>
      </c>
      <c r="H688" s="12" t="n">
        <v>48800000</v>
      </c>
      <c r="I688" s="12" t="n">
        <v>4439683.800000001</v>
      </c>
      <c r="J688" s="12" t="n">
        <v>397594.8</v>
      </c>
      <c r="K688" s="12" t="n">
        <v>4439683.800000001</v>
      </c>
      <c r="L688" s="12" t="n">
        <v>1153671.84</v>
      </c>
      <c r="M688" s="9" t="n">
        <v>10</v>
      </c>
      <c r="N688" s="12" t="n">
        <v>2729186.02</v>
      </c>
      <c r="O688" s="12" t="n">
        <v>2805421.25</v>
      </c>
      <c r="P688" s="12" t="n">
        <v>19520000</v>
      </c>
      <c r="Q688" s="9" t="inlineStr">
        <is>
          <t>Low</t>
        </is>
      </c>
      <c r="R688" s="11">
        <f>IFERROR(O688/K688,0)</f>
        <v/>
      </c>
    </row>
    <row r="689">
      <c r="A689" s="9" t="inlineStr">
        <is>
          <t>T0688</t>
        </is>
      </c>
      <c r="B689" s="9" t="inlineStr">
        <is>
          <t>Granite Mutual</t>
        </is>
      </c>
      <c r="C689" s="9" t="inlineStr">
        <is>
          <t>Property</t>
        </is>
      </c>
      <c r="D689" s="9" t="inlineStr">
        <is>
          <t>Europe</t>
        </is>
      </c>
      <c r="E689" s="9" t="inlineStr">
        <is>
          <t>Hannah Weber</t>
        </is>
      </c>
      <c r="F689" s="9" t="inlineStr">
        <is>
          <t>Excess of Loss</t>
        </is>
      </c>
      <c r="G689" s="9" t="n">
        <v>2026</v>
      </c>
      <c r="H689" s="12" t="n">
        <v>9499999.999199999</v>
      </c>
      <c r="I689" s="12" t="n">
        <v>599115.5785000001</v>
      </c>
      <c r="J689" s="12" t="n">
        <v>54949.28050000001</v>
      </c>
      <c r="K689" s="12" t="n">
        <v>535209.9151</v>
      </c>
      <c r="L689" s="12" t="n">
        <v>59218.49876597384</v>
      </c>
      <c r="M689" s="9" t="n">
        <v>4</v>
      </c>
      <c r="N689" s="12" t="n">
        <v>140234.3398</v>
      </c>
      <c r="O689" s="12" t="n">
        <v>431904.3686</v>
      </c>
      <c r="P689" s="12" t="n">
        <v>9499999.999199999</v>
      </c>
      <c r="Q689" s="9" t="inlineStr">
        <is>
          <t>Low</t>
        </is>
      </c>
      <c r="R689" s="11">
        <f>IFERROR(O689/K689,0)</f>
        <v/>
      </c>
    </row>
    <row r="690">
      <c r="A690" s="9" t="inlineStr">
        <is>
          <t>T0689</t>
        </is>
      </c>
      <c r="B690" s="9" t="inlineStr">
        <is>
          <t>Sterling Mutual</t>
        </is>
      </c>
      <c r="C690" s="9" t="inlineStr">
        <is>
          <t>Financial Lines</t>
        </is>
      </c>
      <c r="D690" s="9" t="inlineStr">
        <is>
          <t>Europe</t>
        </is>
      </c>
      <c r="E690" s="9" t="inlineStr">
        <is>
          <t>Hannah Weber</t>
        </is>
      </c>
      <c r="F690" s="9" t="inlineStr">
        <is>
          <t>Excess of Loss</t>
        </is>
      </c>
      <c r="G690" s="9" t="n">
        <v>2022</v>
      </c>
      <c r="H690" s="12" t="n">
        <v>63500000</v>
      </c>
      <c r="I690" s="12" t="n">
        <v>5805995.601600001</v>
      </c>
      <c r="J690" s="12" t="n">
        <v>424742.7624</v>
      </c>
      <c r="K690" s="12" t="n">
        <v>5805995.601600001</v>
      </c>
      <c r="L690" s="12" t="n">
        <v>650131.9992000001</v>
      </c>
      <c r="M690" s="9" t="n">
        <v>6</v>
      </c>
      <c r="N690" s="12" t="n">
        <v>3501914.4084</v>
      </c>
      <c r="O690" s="12" t="n">
        <v>3783853.8623</v>
      </c>
      <c r="P690" s="12" t="n">
        <v>63500000</v>
      </c>
      <c r="Q690" s="9" t="inlineStr">
        <is>
          <t>Low</t>
        </is>
      </c>
      <c r="R690" s="11">
        <f>IFERROR(O690/K690,0)</f>
        <v/>
      </c>
    </row>
    <row r="691">
      <c r="A691" s="9" t="inlineStr">
        <is>
          <t>T0690</t>
        </is>
      </c>
      <c r="B691" s="9" t="inlineStr">
        <is>
          <t>Harbor Assurance</t>
        </is>
      </c>
      <c r="C691" s="9" t="inlineStr">
        <is>
          <t>Specialty</t>
        </is>
      </c>
      <c r="D691" s="9" t="inlineStr">
        <is>
          <t>North America</t>
        </is>
      </c>
      <c r="E691" s="9" t="inlineStr">
        <is>
          <t>Unassigned</t>
        </is>
      </c>
      <c r="F691" s="9" t="inlineStr">
        <is>
          <t>Proportional</t>
        </is>
      </c>
      <c r="G691" s="9" t="n">
        <v>2024</v>
      </c>
      <c r="H691" s="12" t="n">
        <v>6000000</v>
      </c>
      <c r="I691" s="12" t="n">
        <v>695005.4400000001</v>
      </c>
      <c r="J691" s="12" t="n">
        <v>61500</v>
      </c>
      <c r="K691" s="12" t="n">
        <v>695005.4400000001</v>
      </c>
      <c r="L691" s="12" t="n">
        <v>165249.48</v>
      </c>
      <c r="M691" s="9" t="n">
        <v>8</v>
      </c>
      <c r="N691" s="12" t="n">
        <v>325575.6</v>
      </c>
      <c r="O691" s="12" t="n">
        <v>370345</v>
      </c>
      <c r="P691" s="12" t="n">
        <v>1500000</v>
      </c>
      <c r="Q691" s="9" t="inlineStr">
        <is>
          <t>Low</t>
        </is>
      </c>
      <c r="R691" s="11">
        <f>IFERROR(O691/K691,0)</f>
        <v/>
      </c>
    </row>
    <row r="692">
      <c r="A692" s="9" t="inlineStr">
        <is>
          <t>T0691</t>
        </is>
      </c>
      <c r="B692" s="9" t="inlineStr">
        <is>
          <t>Granite General</t>
        </is>
      </c>
      <c r="C692" s="9" t="inlineStr">
        <is>
          <t>Professional</t>
        </is>
      </c>
      <c r="D692" s="9" t="inlineStr">
        <is>
          <t>Asia Pacific</t>
        </is>
      </c>
      <c r="E692" s="9" t="inlineStr">
        <is>
          <t>Carlos Ibarra</t>
        </is>
      </c>
      <c r="F692" s="9" t="inlineStr">
        <is>
          <t>Excess of Loss</t>
        </is>
      </c>
      <c r="G692" s="9" t="n">
        <v>2026</v>
      </c>
      <c r="H692" s="12" t="n">
        <v>18500000</v>
      </c>
      <c r="I692" s="12" t="n">
        <v>332766.42</v>
      </c>
      <c r="J692" s="12" t="n">
        <v>35097.89999999999</v>
      </c>
      <c r="K692" s="12" t="n">
        <v>295792.37</v>
      </c>
      <c r="L692" s="12" t="n">
        <v>34435.89294526953</v>
      </c>
      <c r="M692" s="9" t="n">
        <v>1</v>
      </c>
      <c r="N692" s="12" t="n">
        <v>33389.3</v>
      </c>
      <c r="O692" s="12" t="n">
        <v>146455.4</v>
      </c>
      <c r="P692" s="12" t="n">
        <v>18500000</v>
      </c>
      <c r="Q692" s="9" t="inlineStr">
        <is>
          <t>Low</t>
        </is>
      </c>
      <c r="R692" s="11">
        <f>IFERROR(O692/K692,0)</f>
        <v/>
      </c>
    </row>
    <row r="693">
      <c r="A693" s="9" t="inlineStr">
        <is>
          <t>T0692</t>
        </is>
      </c>
      <c r="B693" s="9" t="inlineStr">
        <is>
          <t>Vantage Assurance</t>
        </is>
      </c>
      <c r="C693" s="9" t="inlineStr">
        <is>
          <t>Financial Lines</t>
        </is>
      </c>
      <c r="D693" s="9" t="inlineStr">
        <is>
          <t>Europe</t>
        </is>
      </c>
      <c r="E693" s="9" t="inlineStr">
        <is>
          <t>Carlos Ibarra</t>
        </is>
      </c>
      <c r="F693" s="9" t="inlineStr">
        <is>
          <t>Excess of Loss</t>
        </is>
      </c>
      <c r="G693" s="9" t="n">
        <v>2023</v>
      </c>
      <c r="H693" s="12" t="n">
        <v>12300000.0012</v>
      </c>
      <c r="I693" s="12" t="n">
        <v>1058970.024</v>
      </c>
      <c r="J693" s="12" t="n">
        <v>123395.1408</v>
      </c>
      <c r="K693" s="12" t="n">
        <v>1058970.024</v>
      </c>
      <c r="L693" s="12" t="n">
        <v>106419.8736</v>
      </c>
      <c r="M693" s="9" t="n">
        <v>6</v>
      </c>
      <c r="N693" s="12" t="n">
        <v>492305.9688</v>
      </c>
      <c r="O693" s="12" t="n">
        <v>492305.9688</v>
      </c>
      <c r="P693" s="12" t="n">
        <v>12300000.0012</v>
      </c>
      <c r="Q693" s="9" t="inlineStr">
        <is>
          <t>Low</t>
        </is>
      </c>
      <c r="R693" s="11">
        <f>IFERROR(O693/K693,0)</f>
        <v/>
      </c>
    </row>
    <row r="694">
      <c r="A694" s="9" t="inlineStr">
        <is>
          <t>T0693</t>
        </is>
      </c>
      <c r="B694" s="9" t="inlineStr">
        <is>
          <t>Atlas Indemnity</t>
        </is>
      </c>
      <c r="C694" s="9" t="inlineStr">
        <is>
          <t>Specialty</t>
        </is>
      </c>
      <c r="D694" s="9" t="inlineStr">
        <is>
          <t>North America</t>
        </is>
      </c>
      <c r="E694" s="9" t="inlineStr">
        <is>
          <t>Aarav Mehta</t>
        </is>
      </c>
      <c r="F694" s="9" t="inlineStr">
        <is>
          <t>Proportional</t>
        </is>
      </c>
      <c r="G694" s="9" t="n">
        <v>2021</v>
      </c>
      <c r="H694" s="12" t="n">
        <v>5500000</v>
      </c>
      <c r="I694" s="12" t="n">
        <v>511442.28</v>
      </c>
      <c r="J694" s="12" t="n">
        <v>30491.04</v>
      </c>
      <c r="K694" s="12" t="n">
        <v>511442.28</v>
      </c>
      <c r="L694" s="12" t="n">
        <v>149913.84</v>
      </c>
      <c r="M694" s="9" t="n">
        <v>6</v>
      </c>
      <c r="N694" s="12" t="n">
        <v>169914.13</v>
      </c>
      <c r="O694" s="12" t="n">
        <v>169914.13</v>
      </c>
      <c r="P694" s="12" t="n">
        <v>1100000</v>
      </c>
      <c r="Q694" s="9" t="inlineStr">
        <is>
          <t>Low</t>
        </is>
      </c>
      <c r="R694" s="11">
        <f>IFERROR(O694/K694,0)</f>
        <v/>
      </c>
    </row>
    <row r="695">
      <c r="A695" s="9" t="inlineStr">
        <is>
          <t>T0694</t>
        </is>
      </c>
      <c r="B695" s="9" t="inlineStr">
        <is>
          <t>Crown Mutual</t>
        </is>
      </c>
      <c r="C695" s="9" t="inlineStr">
        <is>
          <t>Specialty</t>
        </is>
      </c>
      <c r="D695" s="9" t="inlineStr">
        <is>
          <t>North America</t>
        </is>
      </c>
      <c r="E695" s="9" t="inlineStr">
        <is>
          <t>Carlos Ibarra</t>
        </is>
      </c>
      <c r="F695" s="9" t="inlineStr">
        <is>
          <t>Excess of Loss</t>
        </is>
      </c>
      <c r="G695" s="9" t="n">
        <v>2025</v>
      </c>
      <c r="H695" s="12" t="n">
        <v>36000000</v>
      </c>
      <c r="I695" s="12" t="n">
        <v>2958650.16</v>
      </c>
      <c r="J695" s="12" t="n">
        <v>271673.4</v>
      </c>
      <c r="K695" s="12" t="n">
        <v>2958650.16</v>
      </c>
      <c r="L695" s="12" t="n">
        <v>178986.36</v>
      </c>
      <c r="M695" s="9" t="n">
        <v>5</v>
      </c>
      <c r="N695" s="12" t="n">
        <v>1378007.41</v>
      </c>
      <c r="O695" s="12" t="n">
        <v>1757195.22</v>
      </c>
      <c r="P695" s="12" t="n">
        <v>36000000</v>
      </c>
      <c r="Q695" s="9" t="inlineStr">
        <is>
          <t>Low</t>
        </is>
      </c>
      <c r="R695" s="11">
        <f>IFERROR(O695/K695,0)</f>
        <v/>
      </c>
    </row>
    <row r="696">
      <c r="A696" s="9" t="inlineStr">
        <is>
          <t>T0695</t>
        </is>
      </c>
      <c r="B696" s="9" t="inlineStr">
        <is>
          <t>Meridian Indemnity</t>
        </is>
      </c>
      <c r="C696" s="9" t="inlineStr">
        <is>
          <t>Property</t>
        </is>
      </c>
      <c r="D696" s="9" t="inlineStr">
        <is>
          <t>Europe</t>
        </is>
      </c>
      <c r="E696" s="9" t="inlineStr">
        <is>
          <t>Carlos Ibarra</t>
        </is>
      </c>
      <c r="F696" s="9" t="inlineStr">
        <is>
          <t>Proportional</t>
        </is>
      </c>
      <c r="G696" s="9" t="n">
        <v>2025</v>
      </c>
      <c r="H696" s="12" t="n">
        <v>9900000.003600001</v>
      </c>
      <c r="I696" s="12" t="n">
        <v>1436244.048</v>
      </c>
      <c r="J696" s="12" t="n">
        <v>80893.85760000002</v>
      </c>
      <c r="K696" s="12" t="n">
        <v>1436244.048</v>
      </c>
      <c r="L696" s="12" t="n">
        <v>371616.8544</v>
      </c>
      <c r="M696" s="9" t="n">
        <v>8</v>
      </c>
      <c r="N696" s="12" t="n">
        <v>1185581.9016</v>
      </c>
      <c r="O696" s="12" t="n">
        <v>1862932.0572</v>
      </c>
      <c r="P696" s="12" t="n">
        <v>4949999.996400001</v>
      </c>
      <c r="Q696" s="9" t="inlineStr">
        <is>
          <t>Low</t>
        </is>
      </c>
      <c r="R696" s="11">
        <f>IFERROR(O696/K696,0)</f>
        <v/>
      </c>
    </row>
    <row r="697">
      <c r="A697" s="9" t="inlineStr">
        <is>
          <t>T0696</t>
        </is>
      </c>
      <c r="B697" s="9" t="inlineStr">
        <is>
          <t>Pioneer Indemnity</t>
        </is>
      </c>
      <c r="C697" s="9" t="inlineStr">
        <is>
          <t>Casualty</t>
        </is>
      </c>
      <c r="D697" s="9" t="inlineStr">
        <is>
          <t>Latin America</t>
        </is>
      </c>
      <c r="E697" s="9" t="inlineStr">
        <is>
          <t>Aarav Mehta</t>
        </is>
      </c>
      <c r="F697" s="9" t="inlineStr">
        <is>
          <t>Excess of Loss</t>
        </is>
      </c>
      <c r="G697" s="9" t="n">
        <v>2024</v>
      </c>
      <c r="H697" s="12" t="n">
        <v>12000000</v>
      </c>
      <c r="I697" s="12" t="n">
        <v>2340839.52</v>
      </c>
      <c r="J697" s="12" t="n">
        <v>145225.08</v>
      </c>
      <c r="K697" s="12" t="n">
        <v>2340839.52</v>
      </c>
      <c r="L697" s="12" t="n">
        <v>166902.48</v>
      </c>
      <c r="M697" s="9" t="n">
        <v>8</v>
      </c>
      <c r="N697" s="12" t="n">
        <v>3348831.83</v>
      </c>
      <c r="O697" s="12" t="n">
        <v>3489619.01</v>
      </c>
      <c r="P697" s="12" t="n">
        <v>12000000</v>
      </c>
      <c r="Q697" s="9" t="inlineStr">
        <is>
          <t>Medium</t>
        </is>
      </c>
      <c r="R697" s="11">
        <f>IFERROR(O697/K697,0)</f>
        <v/>
      </c>
    </row>
    <row r="698">
      <c r="A698" s="9" t="inlineStr">
        <is>
          <t>T0697</t>
        </is>
      </c>
      <c r="B698" s="9" t="inlineStr">
        <is>
          <t>Sterling Indemnity</t>
        </is>
      </c>
      <c r="C698" s="9" t="inlineStr">
        <is>
          <t>Professional</t>
        </is>
      </c>
      <c r="D698" s="9" t="inlineStr">
        <is>
          <t>Europe</t>
        </is>
      </c>
      <c r="E698" s="9" t="inlineStr">
        <is>
          <t>Priya Nair</t>
        </is>
      </c>
      <c r="F698" s="9" t="inlineStr">
        <is>
          <t>Proportional</t>
        </is>
      </c>
      <c r="G698" s="9" t="n">
        <v>2026</v>
      </c>
      <c r="H698" s="12" t="n">
        <v>8100000.000000001</v>
      </c>
      <c r="I698" s="12" t="n">
        <v>421928.4384</v>
      </c>
      <c r="J698" s="12" t="n">
        <v>44239.73760000001</v>
      </c>
      <c r="K698" s="12" t="n">
        <v>362155.2444</v>
      </c>
      <c r="L698" s="12" t="n">
        <v>81404.50532368022</v>
      </c>
      <c r="M698" s="9" t="n">
        <v>1</v>
      </c>
      <c r="N698" s="12" t="n">
        <v>58097.3688</v>
      </c>
      <c r="O698" s="12" t="n">
        <v>225046.9656</v>
      </c>
      <c r="P698" s="12" t="n">
        <v>1215000</v>
      </c>
      <c r="Q698" s="9" t="inlineStr">
        <is>
          <t>Low</t>
        </is>
      </c>
      <c r="R698" s="11">
        <f>IFERROR(O698/K698,0)</f>
        <v/>
      </c>
    </row>
    <row r="699">
      <c r="A699" s="9" t="inlineStr">
        <is>
          <t>T0698</t>
        </is>
      </c>
      <c r="B699" s="9" t="inlineStr">
        <is>
          <t>Evergreen General</t>
        </is>
      </c>
      <c r="C699" s="9" t="inlineStr">
        <is>
          <t>Professional</t>
        </is>
      </c>
      <c r="D699" s="9" t="inlineStr">
        <is>
          <t>North America</t>
        </is>
      </c>
      <c r="E699" s="9" t="inlineStr">
        <is>
          <t>Sophie Laurent</t>
        </is>
      </c>
      <c r="F699" s="9" t="inlineStr">
        <is>
          <t>Proportional</t>
        </is>
      </c>
      <c r="G699" s="9" t="n">
        <v>2022</v>
      </c>
      <c r="H699" s="12" t="n">
        <v>3600000</v>
      </c>
      <c r="I699" s="12" t="n">
        <v>459685.92</v>
      </c>
      <c r="J699" s="12" t="n">
        <v>34068.96</v>
      </c>
      <c r="K699" s="12" t="n">
        <v>459685.92</v>
      </c>
      <c r="L699" s="12" t="n">
        <v>115815</v>
      </c>
      <c r="M699" s="9" t="n">
        <v>7</v>
      </c>
      <c r="N699" s="12" t="n">
        <v>172263.86</v>
      </c>
      <c r="O699" s="12" t="n">
        <v>199059.99</v>
      </c>
      <c r="P699" s="12" t="n">
        <v>720000</v>
      </c>
      <c r="Q699" s="9" t="inlineStr">
        <is>
          <t>Low</t>
        </is>
      </c>
      <c r="R699" s="11">
        <f>IFERROR(O699/K699,0)</f>
        <v/>
      </c>
    </row>
    <row r="700">
      <c r="A700" s="9" t="inlineStr">
        <is>
          <t>T0699</t>
        </is>
      </c>
      <c r="B700" s="9" t="inlineStr">
        <is>
          <t>Evergreen Assurance</t>
        </is>
      </c>
      <c r="C700" s="9" t="inlineStr">
        <is>
          <t>Property</t>
        </is>
      </c>
      <c r="D700" s="9" t="inlineStr">
        <is>
          <t>North America</t>
        </is>
      </c>
      <c r="E700" s="9" t="inlineStr">
        <is>
          <t>Kenji Sato</t>
        </is>
      </c>
      <c r="F700" s="9" t="inlineStr">
        <is>
          <t>Excess of Loss</t>
        </is>
      </c>
      <c r="G700" s="9" t="n">
        <v>2023</v>
      </c>
      <c r="H700" s="12" t="n">
        <v>27700000</v>
      </c>
      <c r="I700" s="12" t="n">
        <v>3890822.88</v>
      </c>
      <c r="J700" s="12" t="n">
        <v>266428.2</v>
      </c>
      <c r="K700" s="12" t="n">
        <v>3890822.88</v>
      </c>
      <c r="L700" s="12" t="n">
        <v>363578.4</v>
      </c>
      <c r="M700" s="9" t="n">
        <v>9</v>
      </c>
      <c r="N700" s="12" t="n">
        <v>4721516.49</v>
      </c>
      <c r="O700" s="12" t="n">
        <v>4773711.399999999</v>
      </c>
      <c r="P700" s="12" t="n">
        <v>27700000</v>
      </c>
      <c r="Q700" s="9" t="inlineStr">
        <is>
          <t>Low</t>
        </is>
      </c>
      <c r="R700" s="11">
        <f>IFERROR(O700/K700,0)</f>
        <v/>
      </c>
    </row>
    <row r="701">
      <c r="A701" s="9" t="inlineStr">
        <is>
          <t>T0700</t>
        </is>
      </c>
      <c r="B701" s="9" t="inlineStr">
        <is>
          <t>Meridian Indemnity</t>
        </is>
      </c>
      <c r="C701" s="9" t="inlineStr">
        <is>
          <t>Property</t>
        </is>
      </c>
      <c r="D701" s="9" t="inlineStr">
        <is>
          <t>Europe</t>
        </is>
      </c>
      <c r="E701" s="9" t="inlineStr">
        <is>
          <t>James Whitfield</t>
        </is>
      </c>
      <c r="F701" s="9" t="inlineStr">
        <is>
          <t>Excess of Loss</t>
        </is>
      </c>
      <c r="G701" s="9" t="n">
        <v>2025</v>
      </c>
      <c r="H701" s="12" t="n">
        <v>5199999.9948</v>
      </c>
      <c r="I701" s="12" t="n">
        <v>446143.8528</v>
      </c>
      <c r="J701" s="12" t="n">
        <v>52375.76640000001</v>
      </c>
      <c r="K701" s="12" t="n">
        <v>446143.8528</v>
      </c>
      <c r="L701" s="12" t="n">
        <v>36057.8304</v>
      </c>
      <c r="M701" s="9" t="n">
        <v>7</v>
      </c>
      <c r="N701" s="12" t="n">
        <v>66378.9384</v>
      </c>
      <c r="O701" s="12" t="n">
        <v>362754.3528000001</v>
      </c>
      <c r="P701" s="12" t="n">
        <v>5199999.9948</v>
      </c>
      <c r="Q701" s="9" t="inlineStr">
        <is>
          <t>Low</t>
        </is>
      </c>
      <c r="R701" s="11">
        <f>IFERROR(O701/K701,0)</f>
        <v/>
      </c>
    </row>
  </sheetData>
  <autoFilter ref="A1:R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2106617.9696</v>
      </c>
      <c r="C2" s="12" t="n">
        <v>2106617.9696</v>
      </c>
      <c r="D2" s="9" t="n">
        <v>6</v>
      </c>
      <c r="E2" s="12" t="n">
        <v>2827456.6376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3612733.1008</v>
      </c>
      <c r="C3" s="12" t="n">
        <v>3612733.1008</v>
      </c>
      <c r="D3" s="9" t="n">
        <v>12</v>
      </c>
      <c r="E3" s="12" t="n">
        <v>1321189.0512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4551548.9392</v>
      </c>
      <c r="C4" s="12" t="n">
        <v>4551548.9392</v>
      </c>
      <c r="D4" s="9" t="n">
        <v>20</v>
      </c>
      <c r="E4" s="12" t="n">
        <v>2977977.3316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5630641.7784</v>
      </c>
      <c r="C5" s="12" t="n">
        <v>5630641.7784</v>
      </c>
      <c r="D5" s="9" t="n">
        <v>28</v>
      </c>
      <c r="E5" s="12" t="n">
        <v>5338883.3964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7509970.0816</v>
      </c>
      <c r="C6" s="12" t="n">
        <v>7509970.0816</v>
      </c>
      <c r="D6" s="9" t="n">
        <v>33</v>
      </c>
      <c r="E6" s="12" t="n">
        <v>5987392.5468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7981185.5916</v>
      </c>
      <c r="C7" s="12" t="n">
        <v>7981185.5916</v>
      </c>
      <c r="D7" s="9" t="n">
        <v>35</v>
      </c>
      <c r="E7" s="12" t="n">
        <v>5381402.3304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9120034.4616</v>
      </c>
      <c r="C8" s="12" t="n">
        <v>9120034.4616</v>
      </c>
      <c r="D8" s="9" t="n">
        <v>34</v>
      </c>
      <c r="E8" s="12" t="n">
        <v>4290959.6344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9680425.751600001</v>
      </c>
      <c r="C9" s="12" t="n">
        <v>9680425.751600001</v>
      </c>
      <c r="D9" s="9" t="n">
        <v>37</v>
      </c>
      <c r="E9" s="12" t="n">
        <v>3809973.7592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10188830.5952</v>
      </c>
      <c r="C10" s="12" t="n">
        <v>10188830.5952</v>
      </c>
      <c r="D10" s="9" t="n">
        <v>42</v>
      </c>
      <c r="E10" s="12" t="n">
        <v>4412202.2852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11016307.4704</v>
      </c>
      <c r="C11" s="12" t="n">
        <v>11016307.4704</v>
      </c>
      <c r="D11" s="9" t="n">
        <v>45</v>
      </c>
      <c r="E11" s="12" t="n">
        <v>4636055.345600001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11466857.8904</v>
      </c>
      <c r="C12" s="12" t="n">
        <v>11466857.8904</v>
      </c>
      <c r="D12" s="9" t="n">
        <v>47</v>
      </c>
      <c r="E12" s="12" t="n">
        <v>5933452.6408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11591616.3604</v>
      </c>
      <c r="C13" s="12" t="n">
        <v>11591616.3604</v>
      </c>
      <c r="D13" s="9" t="n">
        <v>44</v>
      </c>
      <c r="E13" s="12" t="n">
        <v>5112777.0896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10601887.60604</v>
      </c>
      <c r="C14" s="12" t="n">
        <v>10601887.60604</v>
      </c>
      <c r="D14" s="9" t="n">
        <v>54</v>
      </c>
      <c r="E14" s="12" t="n">
        <v>12877405.8032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12089028.73044</v>
      </c>
      <c r="C15" s="12" t="n">
        <v>12089028.73044</v>
      </c>
      <c r="D15" s="9" t="n">
        <v>49</v>
      </c>
      <c r="E15" s="12" t="n">
        <v>8139620.761600001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13216454.02484</v>
      </c>
      <c r="C16" s="12" t="n">
        <v>13216454.02484</v>
      </c>
      <c r="D16" s="9" t="n">
        <v>43</v>
      </c>
      <c r="E16" s="12" t="n">
        <v>6709386.17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13262081.63604</v>
      </c>
      <c r="C17" s="12" t="n">
        <v>13262081.63604</v>
      </c>
      <c r="D17" s="9" t="n">
        <v>62</v>
      </c>
      <c r="E17" s="12" t="n">
        <v>6538706.70684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12944342.46244</v>
      </c>
      <c r="C18" s="12" t="n">
        <v>12944342.46244</v>
      </c>
      <c r="D18" s="9" t="n">
        <v>52</v>
      </c>
      <c r="E18" s="12" t="n">
        <v>4387566.3032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16265169.95492</v>
      </c>
      <c r="C19" s="12" t="n">
        <v>16265169.95492</v>
      </c>
      <c r="D19" s="9" t="n">
        <v>57</v>
      </c>
      <c r="E19" s="12" t="n">
        <v>11091095.28224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16328990.85028</v>
      </c>
      <c r="C20" s="12" t="n">
        <v>16328990.85028</v>
      </c>
      <c r="D20" s="9" t="n">
        <v>85</v>
      </c>
      <c r="E20" s="12" t="n">
        <v>12526225.6662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17212049.95228</v>
      </c>
      <c r="C21" s="12" t="n">
        <v>17212049.95228</v>
      </c>
      <c r="D21" s="9" t="n">
        <v>86</v>
      </c>
      <c r="E21" s="12" t="n">
        <v>8415069.684520001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18088898.98788</v>
      </c>
      <c r="C22" s="12" t="n">
        <v>18088898.98788</v>
      </c>
      <c r="D22" s="9" t="n">
        <v>85</v>
      </c>
      <c r="E22" s="12" t="n">
        <v>19468802.11964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18999000.68428</v>
      </c>
      <c r="C23" s="12" t="n">
        <v>18999000.68428</v>
      </c>
      <c r="D23" s="9" t="n">
        <v>86</v>
      </c>
      <c r="E23" s="12" t="n">
        <v>12103448.8136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19641143.74248</v>
      </c>
      <c r="C24" s="12" t="n">
        <v>19641143.74248</v>
      </c>
      <c r="D24" s="9" t="n">
        <v>95</v>
      </c>
      <c r="E24" s="12" t="n">
        <v>12747419.07862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20410655.97096</v>
      </c>
      <c r="C25" s="12" t="n">
        <v>20410655.97096</v>
      </c>
      <c r="D25" s="9" t="n">
        <v>125</v>
      </c>
      <c r="E25" s="12" t="n">
        <v>17162214.31864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22392208.53642</v>
      </c>
      <c r="C26" s="12" t="n">
        <v>22392208.53642</v>
      </c>
      <c r="D26" s="9" t="n">
        <v>101</v>
      </c>
      <c r="E26" s="12" t="n">
        <v>14249163.86314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19691240.55202</v>
      </c>
      <c r="C27" s="12" t="n">
        <v>19691240.55202</v>
      </c>
      <c r="D27" s="9" t="n">
        <v>97</v>
      </c>
      <c r="E27" s="12" t="n">
        <v>11424743.12884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18903568.31854</v>
      </c>
      <c r="C28" s="12" t="n">
        <v>18903568.31854</v>
      </c>
      <c r="D28" s="9" t="n">
        <v>101</v>
      </c>
      <c r="E28" s="12" t="n">
        <v>13294900.86834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18632118.08674</v>
      </c>
      <c r="C29" s="12" t="n">
        <v>18632118.08674</v>
      </c>
      <c r="D29" s="9" t="n">
        <v>83</v>
      </c>
      <c r="E29" s="12" t="n">
        <v>7785917.44484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19096826.99946</v>
      </c>
      <c r="C30" s="12" t="n">
        <v>19096826.99946</v>
      </c>
      <c r="D30" s="9" t="n">
        <v>105</v>
      </c>
      <c r="E30" s="12" t="n">
        <v>11114244.31004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16848869.35178</v>
      </c>
      <c r="C31" s="12" t="n">
        <v>16848869.35178</v>
      </c>
      <c r="D31" s="9" t="n">
        <v>83</v>
      </c>
      <c r="E31" s="12" t="n">
        <v>8265336.60096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17026406.17642</v>
      </c>
      <c r="C32" s="12" t="n">
        <v>17026406.17642</v>
      </c>
      <c r="D32" s="9" t="n">
        <v>85</v>
      </c>
      <c r="E32" s="12" t="n">
        <v>10197019.38546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17496915.74402</v>
      </c>
      <c r="C33" s="12" t="n">
        <v>17496915.74402</v>
      </c>
      <c r="D33" s="9" t="n">
        <v>88</v>
      </c>
      <c r="E33" s="12" t="n">
        <v>11212929.77766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17018457.237</v>
      </c>
      <c r="C34" s="12" t="n">
        <v>17018457.237</v>
      </c>
      <c r="D34" s="9" t="n">
        <v>92</v>
      </c>
      <c r="E34" s="12" t="n">
        <v>10153713.412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16806303.71988</v>
      </c>
      <c r="C35" s="12" t="n">
        <v>16806303.71988</v>
      </c>
      <c r="D35" s="9" t="n">
        <v>89</v>
      </c>
      <c r="E35" s="12" t="n">
        <v>8220938.02134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17584247.42456</v>
      </c>
      <c r="C36" s="12" t="n">
        <v>17584247.42456</v>
      </c>
      <c r="D36" s="9" t="n">
        <v>67</v>
      </c>
      <c r="E36" s="12" t="n">
        <v>9149678.67712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18201864.56464</v>
      </c>
      <c r="C37" s="12" t="n">
        <v>18201864.56464</v>
      </c>
      <c r="D37" s="9" t="n">
        <v>97</v>
      </c>
      <c r="E37" s="12" t="n">
        <v>12433585.49158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17290222.27024</v>
      </c>
      <c r="C38" s="12" t="n">
        <v>17290222.27024</v>
      </c>
      <c r="D38" s="9" t="n">
        <v>107</v>
      </c>
      <c r="E38" s="12" t="n">
        <v>13499355.68272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18316806.59244</v>
      </c>
      <c r="C39" s="12" t="n">
        <v>18316806.59244</v>
      </c>
      <c r="D39" s="9" t="n">
        <v>82</v>
      </c>
      <c r="E39" s="12" t="n">
        <v>10219661.71972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18831680.19968</v>
      </c>
      <c r="C40" s="12" t="n">
        <v>18831680.19968</v>
      </c>
      <c r="D40" s="9" t="n">
        <v>104</v>
      </c>
      <c r="E40" s="12" t="n">
        <v>10370083.03418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19346638.34108</v>
      </c>
      <c r="C41" s="12" t="n">
        <v>19346638.34108</v>
      </c>
      <c r="D41" s="9" t="n">
        <v>97</v>
      </c>
      <c r="E41" s="12" t="n">
        <v>16475296.36668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20006764.41604</v>
      </c>
      <c r="C42" s="12" t="n">
        <v>20006764.41604</v>
      </c>
      <c r="D42" s="9" t="n">
        <v>86</v>
      </c>
      <c r="E42" s="12" t="n">
        <v>10223191.80318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20665838.39324</v>
      </c>
      <c r="C43" s="12" t="n">
        <v>20665838.39324</v>
      </c>
      <c r="D43" s="9" t="n">
        <v>84</v>
      </c>
      <c r="E43" s="12" t="n">
        <v>10088640.19476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19872568.04644</v>
      </c>
      <c r="C44" s="12" t="n">
        <v>19872568.04644</v>
      </c>
      <c r="D44" s="9" t="n">
        <v>96</v>
      </c>
      <c r="E44" s="12" t="n">
        <v>22656766.23794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20901058.323</v>
      </c>
      <c r="C45" s="12" t="n">
        <v>20901058.323</v>
      </c>
      <c r="D45" s="9" t="n">
        <v>101</v>
      </c>
      <c r="E45" s="12" t="n">
        <v>16959232.72586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21815170.40254</v>
      </c>
      <c r="C46" s="12" t="n">
        <v>21815170.40254</v>
      </c>
      <c r="D46" s="9" t="n">
        <v>98</v>
      </c>
      <c r="E46" s="12" t="n">
        <v>18057367.58762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21883352.40126</v>
      </c>
      <c r="C47" s="12" t="n">
        <v>21883352.40126</v>
      </c>
      <c r="D47" s="9" t="n">
        <v>117</v>
      </c>
      <c r="E47" s="12" t="n">
        <v>16812742.87496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24055104.76786</v>
      </c>
      <c r="C48" s="12" t="n">
        <v>24055104.76786</v>
      </c>
      <c r="D48" s="9" t="n">
        <v>115</v>
      </c>
      <c r="E48" s="12" t="n">
        <v>15608190.2952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26539320.75926</v>
      </c>
      <c r="C49" s="12" t="n">
        <v>26539320.75926</v>
      </c>
      <c r="D49" s="9" t="n">
        <v>109</v>
      </c>
      <c r="E49" s="12" t="n">
        <v>16148450.2969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25708057.52976</v>
      </c>
      <c r="C50" s="12" t="n">
        <v>25708057.52976</v>
      </c>
      <c r="D50" s="9" t="n">
        <v>102</v>
      </c>
      <c r="E50" s="12" t="n">
        <v>15444006.57866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26684552.30644</v>
      </c>
      <c r="C51" s="12" t="n">
        <v>26684552.30644</v>
      </c>
      <c r="D51" s="9" t="n">
        <v>103</v>
      </c>
      <c r="E51" s="12" t="n">
        <v>11263834.36572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28836514.97836</v>
      </c>
      <c r="C52" s="12" t="n">
        <v>28836514.97836</v>
      </c>
      <c r="D52" s="9" t="n">
        <v>114</v>
      </c>
      <c r="E52" s="12" t="n">
        <v>30182198.9923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28077433.74796</v>
      </c>
      <c r="C53" s="12" t="n">
        <v>28077433.74796</v>
      </c>
      <c r="D53" s="9" t="n">
        <v>106</v>
      </c>
      <c r="E53" s="12" t="n">
        <v>17693623.09538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27005942.07198</v>
      </c>
      <c r="C54" s="12" t="n">
        <v>27005942.07198</v>
      </c>
      <c r="D54" s="9" t="n">
        <v>118</v>
      </c>
      <c r="E54" s="12" t="n">
        <v>21387564.15982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27180733.8227</v>
      </c>
      <c r="C55" s="12" t="n">
        <v>27180733.8227</v>
      </c>
      <c r="D55" s="9" t="n">
        <v>102</v>
      </c>
      <c r="E55" s="12" t="n">
        <v>22407741.49678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31164083.38266</v>
      </c>
      <c r="C56" s="12" t="n">
        <v>31164083.38266</v>
      </c>
      <c r="D56" s="9" t="n">
        <v>102</v>
      </c>
      <c r="E56" s="12" t="n">
        <v>22825992.60808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30477171.1951</v>
      </c>
      <c r="C57" s="12" t="n">
        <v>30477171.1951</v>
      </c>
      <c r="D57" s="9" t="n">
        <v>121</v>
      </c>
      <c r="E57" s="12" t="n">
        <v>19014673.06416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30899562.74938</v>
      </c>
      <c r="C58" s="12" t="n">
        <v>30899562.74938</v>
      </c>
      <c r="D58" s="9" t="n">
        <v>122</v>
      </c>
      <c r="E58" s="12" t="n">
        <v>19981709.25202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31727870.60158</v>
      </c>
      <c r="C59" s="12" t="n">
        <v>31727870.60158</v>
      </c>
      <c r="D59" s="9" t="n">
        <v>121</v>
      </c>
      <c r="E59" s="12" t="n">
        <v>22661831.38546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29000732.3855</v>
      </c>
      <c r="C60" s="12" t="n">
        <v>29000732.3855</v>
      </c>
      <c r="D60" s="9" t="n">
        <v>113</v>
      </c>
      <c r="E60" s="12" t="n">
        <v>27432124.58366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26810917.17506</v>
      </c>
      <c r="C61" s="12" t="n">
        <v>26810917.17506</v>
      </c>
      <c r="D61" s="9" t="n">
        <v>123</v>
      </c>
      <c r="E61" s="12" t="n">
        <v>18054457.13718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25831045.77574</v>
      </c>
      <c r="C62" s="12" t="n">
        <v>25831045.77574</v>
      </c>
      <c r="D62" s="9" t="n">
        <v>135</v>
      </c>
      <c r="E62" s="12" t="n">
        <v>22512947.80498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25535340.92326</v>
      </c>
      <c r="C63" s="12" t="n">
        <v>25535340.92326</v>
      </c>
      <c r="D63" s="9" t="n">
        <v>114</v>
      </c>
      <c r="E63" s="12" t="n">
        <v>11903124.36054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22834367.01154</v>
      </c>
      <c r="C64" s="12" t="n">
        <v>22834367.01154</v>
      </c>
      <c r="D64" s="9" t="n">
        <v>119</v>
      </c>
      <c r="E64" s="12" t="n">
        <v>14742858.00452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22317738.53594</v>
      </c>
      <c r="C65" s="12" t="n">
        <v>22317738.53594</v>
      </c>
      <c r="D65" s="9" t="n">
        <v>124</v>
      </c>
      <c r="E65" s="12" t="n">
        <v>21891546.15372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23104163.31262</v>
      </c>
      <c r="C66" s="12" t="n">
        <v>23104163.31262</v>
      </c>
      <c r="D66" s="9" t="n">
        <v>121</v>
      </c>
      <c r="E66" s="12" t="n">
        <v>12948456.7281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21872337.77002</v>
      </c>
      <c r="C67" s="12" t="n">
        <v>21872337.77002</v>
      </c>
      <c r="D67" s="9" t="n">
        <v>113</v>
      </c>
      <c r="E67" s="12" t="n">
        <v>18822460.83144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18999553.24742</v>
      </c>
      <c r="C68" s="12" t="n">
        <v>18999553.24742</v>
      </c>
      <c r="D68" s="9" t="n">
        <v>106</v>
      </c>
      <c r="E68" s="12" t="n">
        <v>17665350.60516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17494346.17062</v>
      </c>
      <c r="C69" s="12" t="n">
        <v>17494346.17062</v>
      </c>
      <c r="D69" s="9" t="n">
        <v>112</v>
      </c>
      <c r="E69" s="12" t="n">
        <v>15151858.16804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15169114.84462</v>
      </c>
      <c r="C70" s="12" t="n">
        <v>8136984.0651</v>
      </c>
      <c r="D70" s="9" t="n">
        <v>106</v>
      </c>
      <c r="E70" s="12" t="n">
        <v>9221368.8159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CL004840</t>
        </is>
      </c>
      <c r="B2" s="9" t="inlineStr">
        <is>
          <t>T0640</t>
        </is>
      </c>
      <c r="C2" s="9" t="inlineStr">
        <is>
          <t>Pioneer Insurance</t>
        </is>
      </c>
      <c r="D2" s="9" t="inlineStr">
        <is>
          <t>Specialty</t>
        </is>
      </c>
      <c r="E2" s="9" t="inlineStr">
        <is>
          <t>Europe</t>
        </is>
      </c>
      <c r="F2" s="9" t="inlineStr">
        <is>
          <t>2025-11-30</t>
        </is>
      </c>
      <c r="G2" s="9" t="inlineStr">
        <is>
          <t>Energy</t>
        </is>
      </c>
      <c r="H2" s="9" t="inlineStr">
        <is>
          <t>Settled</t>
        </is>
      </c>
      <c r="I2" s="12" t="n">
        <v>6009160.824</v>
      </c>
      <c r="J2" s="12" t="n">
        <v>0</v>
      </c>
      <c r="K2" s="12" t="n">
        <v>6009160.824</v>
      </c>
      <c r="L2" s="9" t="n">
        <v>0</v>
      </c>
    </row>
    <row r="3">
      <c r="A3" s="9" t="inlineStr">
        <is>
          <t>CL004395</t>
        </is>
      </c>
      <c r="B3" s="9" t="inlineStr">
        <is>
          <t>T0450</t>
        </is>
      </c>
      <c r="C3" s="9" t="inlineStr">
        <is>
          <t>Granite Insurance</t>
        </is>
      </c>
      <c r="D3" s="9" t="inlineStr">
        <is>
          <t>Casualty</t>
        </is>
      </c>
      <c r="E3" s="9" t="inlineStr">
        <is>
          <t>Unassigned</t>
        </is>
      </c>
      <c r="F3" s="9" t="inlineStr">
        <is>
          <t>2025-07-15</t>
        </is>
      </c>
      <c r="G3" s="9" t="inlineStr">
        <is>
          <t>Auto Liability</t>
        </is>
      </c>
      <c r="H3" s="9" t="inlineStr">
        <is>
          <t>Settled</t>
        </is>
      </c>
      <c r="I3" s="12" t="n">
        <v>5522944.87</v>
      </c>
      <c r="J3" s="12" t="n">
        <v>0</v>
      </c>
      <c r="K3" s="12" t="n">
        <v>5522944.87</v>
      </c>
      <c r="L3" s="9" t="n">
        <v>0</v>
      </c>
    </row>
    <row r="4">
      <c r="A4" s="9" t="inlineStr">
        <is>
          <t>CL005584</t>
        </is>
      </c>
      <c r="B4" s="9" t="inlineStr">
        <is>
          <t>T0549</t>
        </is>
      </c>
      <c r="C4" s="9" t="inlineStr">
        <is>
          <t>Orion General</t>
        </is>
      </c>
      <c r="D4" s="9" t="inlineStr">
        <is>
          <t>Casualty</t>
        </is>
      </c>
      <c r="E4" s="9" t="inlineStr">
        <is>
          <t>North America</t>
        </is>
      </c>
      <c r="F4" s="9" t="inlineStr">
        <is>
          <t>2026-07-05</t>
        </is>
      </c>
      <c r="G4" s="9" t="inlineStr">
        <is>
          <t>Auto Liability</t>
        </is>
      </c>
      <c r="H4" s="9" t="inlineStr">
        <is>
          <t>Open</t>
        </is>
      </c>
      <c r="I4" s="12" t="n">
        <v>1042044.26</v>
      </c>
      <c r="J4" s="12" t="n">
        <v>4168177.05</v>
      </c>
      <c r="K4" s="12" t="n">
        <v>5210221.31</v>
      </c>
      <c r="L4" s="9" t="n">
        <v>1</v>
      </c>
    </row>
    <row r="5">
      <c r="A5" s="9" t="inlineStr">
        <is>
          <t>CL003762</t>
        </is>
      </c>
      <c r="B5" s="9" t="inlineStr">
        <is>
          <t>T0157</t>
        </is>
      </c>
      <c r="C5" s="9" t="inlineStr">
        <is>
          <t>Orion Insurance</t>
        </is>
      </c>
      <c r="D5" s="9" t="inlineStr">
        <is>
          <t>Specialty</t>
        </is>
      </c>
      <c r="E5" s="9" t="inlineStr">
        <is>
          <t>Asia Pacific</t>
        </is>
      </c>
      <c r="F5" s="9" t="inlineStr">
        <is>
          <t>2025-03-18</t>
        </is>
      </c>
      <c r="G5" s="9" t="inlineStr">
        <is>
          <t>Aviation</t>
        </is>
      </c>
      <c r="H5" s="9" t="inlineStr">
        <is>
          <t>Open</t>
        </is>
      </c>
      <c r="I5" s="12" t="n">
        <v>960424.37</v>
      </c>
      <c r="J5" s="12" t="n">
        <v>3841697.49</v>
      </c>
      <c r="K5" s="12" t="n">
        <v>4802121.86</v>
      </c>
      <c r="L5" s="9" t="n">
        <v>1</v>
      </c>
    </row>
    <row r="6">
      <c r="A6" s="9" t="inlineStr">
        <is>
          <t>CL005836</t>
        </is>
      </c>
      <c r="B6" s="9" t="inlineStr">
        <is>
          <t>T0549</t>
        </is>
      </c>
      <c r="C6" s="9" t="inlineStr">
        <is>
          <t>Orion General</t>
        </is>
      </c>
      <c r="D6" s="9" t="inlineStr">
        <is>
          <t>Casualty</t>
        </is>
      </c>
      <c r="E6" s="9" t="inlineStr">
        <is>
          <t>North America</t>
        </is>
      </c>
      <c r="F6" s="9" t="inlineStr">
        <is>
          <t>2026-08-12</t>
        </is>
      </c>
      <c r="G6" s="9" t="inlineStr">
        <is>
          <t>General Liability</t>
        </is>
      </c>
      <c r="H6" s="9" t="inlineStr">
        <is>
          <t>Open</t>
        </is>
      </c>
      <c r="I6" s="12" t="n">
        <v>944562.62</v>
      </c>
      <c r="J6" s="12" t="n">
        <v>3778250.49</v>
      </c>
      <c r="K6" s="12" t="n">
        <v>4722813.11</v>
      </c>
      <c r="L6" s="9" t="n">
        <v>1</v>
      </c>
    </row>
    <row r="7">
      <c r="A7" s="9" t="inlineStr">
        <is>
          <t>CL004057</t>
        </is>
      </c>
      <c r="B7" s="9" t="inlineStr">
        <is>
          <t>T0284</t>
        </is>
      </c>
      <c r="C7" s="9" t="inlineStr">
        <is>
          <t>Granite Indemnity</t>
        </is>
      </c>
      <c r="D7" s="9" t="inlineStr">
        <is>
          <t>Financial Lines</t>
        </is>
      </c>
      <c r="E7" s="9" t="inlineStr">
        <is>
          <t>Europe</t>
        </is>
      </c>
      <c r="F7" s="9" t="inlineStr">
        <is>
          <t>2025-05-23</t>
        </is>
      </c>
      <c r="G7" s="9" t="inlineStr">
        <is>
          <t>Credit &amp; Surety</t>
        </is>
      </c>
      <c r="H7" s="9" t="inlineStr">
        <is>
          <t>Open</t>
        </is>
      </c>
      <c r="I7" s="12" t="n">
        <v>1077109.5096</v>
      </c>
      <c r="J7" s="12" t="n">
        <v>3507149.88</v>
      </c>
      <c r="K7" s="12" t="n">
        <v>4584259.3896</v>
      </c>
      <c r="L7" s="9" t="n">
        <v>0</v>
      </c>
    </row>
    <row r="8">
      <c r="A8" s="9" t="inlineStr">
        <is>
          <t>CL000871</t>
        </is>
      </c>
      <c r="B8" s="9" t="inlineStr">
        <is>
          <t>T0422</t>
        </is>
      </c>
      <c r="C8" s="9" t="inlineStr">
        <is>
          <t>Evergreen Insurance</t>
        </is>
      </c>
      <c r="D8" s="9" t="inlineStr">
        <is>
          <t>Property</t>
        </is>
      </c>
      <c r="E8" s="9" t="inlineStr">
        <is>
          <t>North America</t>
        </is>
      </c>
      <c r="F8" s="9" t="inlineStr">
        <is>
          <t>2022-09-09</t>
        </is>
      </c>
      <c r="G8" s="9" t="inlineStr">
        <is>
          <t>Fire &amp; Explosion</t>
        </is>
      </c>
      <c r="H8" s="9" t="inlineStr">
        <is>
          <t>Settled</t>
        </is>
      </c>
      <c r="I8" s="12" t="n">
        <v>4351650.38</v>
      </c>
      <c r="J8" s="12" t="n">
        <v>0</v>
      </c>
      <c r="K8" s="12" t="n">
        <v>4351650.38</v>
      </c>
      <c r="L8" s="9" t="n">
        <v>0</v>
      </c>
    </row>
    <row r="9">
      <c r="A9" s="9" t="inlineStr">
        <is>
          <t>CL000896</t>
        </is>
      </c>
      <c r="B9" s="9" t="inlineStr">
        <is>
          <t>T0171</t>
        </is>
      </c>
      <c r="C9" s="9" t="inlineStr">
        <is>
          <t>Lumen Mutual</t>
        </is>
      </c>
      <c r="D9" s="9" t="inlineStr">
        <is>
          <t>Financial Lines</t>
        </is>
      </c>
      <c r="E9" s="9" t="inlineStr">
        <is>
          <t>Middle East &amp; Africa</t>
        </is>
      </c>
      <c r="F9" s="9" t="inlineStr">
        <is>
          <t>2022-09-25</t>
        </is>
      </c>
      <c r="G9" s="9" t="inlineStr">
        <is>
          <t>Directors &amp; Officers</t>
        </is>
      </c>
      <c r="H9" s="9" t="inlineStr">
        <is>
          <t>Open</t>
        </is>
      </c>
      <c r="I9" s="12" t="n">
        <v>766131.2</v>
      </c>
      <c r="J9" s="12" t="n">
        <v>3064524.79</v>
      </c>
      <c r="K9" s="12" t="n">
        <v>3830655.99</v>
      </c>
      <c r="L9" s="9" t="n">
        <v>1</v>
      </c>
    </row>
    <row r="10">
      <c r="A10" s="9" t="inlineStr">
        <is>
          <t>CL002962</t>
        </is>
      </c>
      <c r="B10" s="9" t="inlineStr">
        <is>
          <t>T0469</t>
        </is>
      </c>
      <c r="C10" s="9" t="inlineStr">
        <is>
          <t>Crown General</t>
        </is>
      </c>
      <c r="D10" s="9" t="inlineStr">
        <is>
          <t>Specialty</t>
        </is>
      </c>
      <c r="E10" s="9" t="inlineStr">
        <is>
          <t>North America</t>
        </is>
      </c>
      <c r="F10" s="9" t="inlineStr">
        <is>
          <t>2024-07-01</t>
        </is>
      </c>
      <c r="G10" s="9" t="inlineStr">
        <is>
          <t>Political Risk</t>
        </is>
      </c>
      <c r="H10" s="9" t="inlineStr">
        <is>
          <t>Open</t>
        </is>
      </c>
      <c r="I10" s="12" t="n">
        <v>712453.1</v>
      </c>
      <c r="J10" s="12" t="n">
        <v>2849812.38</v>
      </c>
      <c r="K10" s="12" t="n">
        <v>3562265.48</v>
      </c>
      <c r="L10" s="9" t="n">
        <v>1</v>
      </c>
    </row>
    <row r="11">
      <c r="A11" s="9" t="inlineStr">
        <is>
          <t>CL003195</t>
        </is>
      </c>
      <c r="B11" s="9" t="inlineStr">
        <is>
          <t>T0456</t>
        </is>
      </c>
      <c r="C11" s="9" t="inlineStr">
        <is>
          <t>Meridian General</t>
        </is>
      </c>
      <c r="D11" s="9" t="inlineStr">
        <is>
          <t>Property</t>
        </is>
      </c>
      <c r="E11" s="9" t="inlineStr">
        <is>
          <t>North America</t>
        </is>
      </c>
      <c r="F11" s="9" t="inlineStr">
        <is>
          <t>2024-07-24</t>
        </is>
      </c>
      <c r="G11" s="9" t="inlineStr">
        <is>
          <t>Natural Catastrophe</t>
        </is>
      </c>
      <c r="H11" s="9" t="inlineStr">
        <is>
          <t>Settled</t>
        </is>
      </c>
      <c r="I11" s="12" t="n">
        <v>3442803.59</v>
      </c>
      <c r="J11" s="12" t="n">
        <v>0</v>
      </c>
      <c r="K11" s="12" t="n">
        <v>3442803.59</v>
      </c>
      <c r="L11" s="9" t="n">
        <v>0</v>
      </c>
    </row>
    <row r="12">
      <c r="A12" s="9" t="inlineStr">
        <is>
          <t>CL004284</t>
        </is>
      </c>
      <c r="B12" s="9" t="inlineStr">
        <is>
          <t>T0450</t>
        </is>
      </c>
      <c r="C12" s="9" t="inlineStr">
        <is>
          <t>Granite Insurance</t>
        </is>
      </c>
      <c r="D12" s="9" t="inlineStr">
        <is>
          <t>Casualty</t>
        </is>
      </c>
      <c r="E12" s="9" t="inlineStr">
        <is>
          <t>Unassigned</t>
        </is>
      </c>
      <c r="F12" s="9" t="inlineStr">
        <is>
          <t>2025-07-16</t>
        </is>
      </c>
      <c r="G12" s="9" t="inlineStr">
        <is>
          <t>Auto Liability</t>
        </is>
      </c>
      <c r="H12" s="9" t="inlineStr">
        <is>
          <t>Open</t>
        </is>
      </c>
      <c r="I12" s="12" t="n">
        <v>1583429.46</v>
      </c>
      <c r="J12" s="12" t="n">
        <v>1854187.53</v>
      </c>
      <c r="K12" s="12" t="n">
        <v>3437616.99</v>
      </c>
      <c r="L12" s="9" t="n">
        <v>0</v>
      </c>
    </row>
    <row r="13">
      <c r="A13" s="9" t="inlineStr">
        <is>
          <t>CL002836</t>
        </is>
      </c>
      <c r="B13" s="9" t="inlineStr">
        <is>
          <t>T0272</t>
        </is>
      </c>
      <c r="C13" s="9" t="inlineStr">
        <is>
          <t>Evergreen Indemnity</t>
        </is>
      </c>
      <c r="D13" s="9" t="inlineStr">
        <is>
          <t>Casualty</t>
        </is>
      </c>
      <c r="E13" s="9" t="inlineStr">
        <is>
          <t>North America</t>
        </is>
      </c>
      <c r="F13" s="9" t="inlineStr">
        <is>
          <t>2024-04-23</t>
        </is>
      </c>
      <c r="G13" s="9" t="inlineStr">
        <is>
          <t>Workers Compensation</t>
        </is>
      </c>
      <c r="H13" s="9" t="inlineStr">
        <is>
          <t>Settled</t>
        </is>
      </c>
      <c r="I13" s="12" t="n">
        <v>3424691.22</v>
      </c>
      <c r="J13" s="12" t="n">
        <v>0</v>
      </c>
      <c r="K13" s="12" t="n">
        <v>3424691.22</v>
      </c>
      <c r="L13" s="9" t="n">
        <v>0</v>
      </c>
    </row>
    <row r="14">
      <c r="A14" s="9" t="inlineStr">
        <is>
          <t>CL004136</t>
        </is>
      </c>
      <c r="B14" s="9" t="inlineStr">
        <is>
          <t>T0372</t>
        </is>
      </c>
      <c r="C14" s="9" t="inlineStr">
        <is>
          <t>Meridian Assurance</t>
        </is>
      </c>
      <c r="D14" s="9" t="inlineStr">
        <is>
          <t>Specialty</t>
        </is>
      </c>
      <c r="E14" s="9" t="inlineStr">
        <is>
          <t>Europe</t>
        </is>
      </c>
      <c r="F14" s="9" t="inlineStr">
        <is>
          <t>2025-06-10</t>
        </is>
      </c>
      <c r="G14" s="9" t="inlineStr">
        <is>
          <t>Political Risk</t>
        </is>
      </c>
      <c r="H14" s="9" t="inlineStr">
        <is>
          <t>Settled</t>
        </is>
      </c>
      <c r="I14" s="12" t="n">
        <v>3136776.732</v>
      </c>
      <c r="J14" s="12" t="n">
        <v>0</v>
      </c>
      <c r="K14" s="12" t="n">
        <v>3136776.732</v>
      </c>
      <c r="L14" s="9" t="n">
        <v>0</v>
      </c>
    </row>
    <row r="15">
      <c r="A15" s="9" t="inlineStr">
        <is>
          <t>CL005471</t>
        </is>
      </c>
      <c r="B15" s="9" t="inlineStr">
        <is>
          <t>T0058</t>
        </is>
      </c>
      <c r="C15" s="9" t="inlineStr">
        <is>
          <t>Cobalt Indemnity</t>
        </is>
      </c>
      <c r="D15" s="9" t="inlineStr">
        <is>
          <t>Specialty</t>
        </is>
      </c>
      <c r="E15" s="9" t="inlineStr">
        <is>
          <t>North America</t>
        </is>
      </c>
      <c r="F15" s="9" t="inlineStr">
        <is>
          <t>2026-06-04</t>
        </is>
      </c>
      <c r="G15" s="9" t="inlineStr">
        <is>
          <t>Aviation</t>
        </is>
      </c>
      <c r="H15" s="9" t="inlineStr">
        <is>
          <t>Open</t>
        </is>
      </c>
      <c r="I15" s="12" t="n">
        <v>612738.99</v>
      </c>
      <c r="J15" s="12" t="n">
        <v>2450955.96</v>
      </c>
      <c r="K15" s="12" t="n">
        <v>3063694.95</v>
      </c>
      <c r="L15" s="9" t="n">
        <v>1</v>
      </c>
    </row>
    <row r="16">
      <c r="A16" s="9" t="inlineStr">
        <is>
          <t>CL004133</t>
        </is>
      </c>
      <c r="B16" s="9" t="inlineStr">
        <is>
          <t>T0483</t>
        </is>
      </c>
      <c r="C16" s="9" t="inlineStr">
        <is>
          <t>Evergreen General</t>
        </is>
      </c>
      <c r="D16" s="9" t="inlineStr">
        <is>
          <t>Casualty</t>
        </is>
      </c>
      <c r="E16" s="9" t="inlineStr">
        <is>
          <t>North America</t>
        </is>
      </c>
      <c r="F16" s="9" t="inlineStr">
        <is>
          <t>2025-05-07</t>
        </is>
      </c>
      <c r="G16" s="9" t="inlineStr">
        <is>
          <t>General Liability</t>
        </is>
      </c>
      <c r="H16" s="9" t="inlineStr">
        <is>
          <t>Open</t>
        </is>
      </c>
      <c r="I16" s="12" t="n">
        <v>594963.96</v>
      </c>
      <c r="J16" s="12" t="n">
        <v>2379855.82</v>
      </c>
      <c r="K16" s="12" t="n">
        <v>2974819.78</v>
      </c>
      <c r="L16" s="9" t="n">
        <v>1</v>
      </c>
    </row>
    <row r="17">
      <c r="A17" s="9" t="inlineStr">
        <is>
          <t>CL002257</t>
        </is>
      </c>
      <c r="B17" s="9" t="inlineStr">
        <is>
          <t>T0611</t>
        </is>
      </c>
      <c r="C17" s="9" t="inlineStr">
        <is>
          <t>Evergreen General</t>
        </is>
      </c>
      <c r="D17" s="9" t="inlineStr">
        <is>
          <t>Specialty</t>
        </is>
      </c>
      <c r="E17" s="9" t="inlineStr">
        <is>
          <t>North America</t>
        </is>
      </c>
      <c r="F17" s="9" t="inlineStr">
        <is>
          <t>2023-12-14</t>
        </is>
      </c>
      <c r="G17" s="9" t="inlineStr">
        <is>
          <t>Energy</t>
        </is>
      </c>
      <c r="H17" s="9" t="inlineStr">
        <is>
          <t>Open</t>
        </is>
      </c>
      <c r="I17" s="12" t="n">
        <v>592643</v>
      </c>
      <c r="J17" s="12" t="n">
        <v>2370572</v>
      </c>
      <c r="K17" s="12" t="n">
        <v>2963215</v>
      </c>
      <c r="L17" s="9" t="n">
        <v>1</v>
      </c>
    </row>
    <row r="18">
      <c r="A18" s="9" t="inlineStr">
        <is>
          <t>CL005205</t>
        </is>
      </c>
      <c r="B18" s="9" t="inlineStr">
        <is>
          <t>T0259</t>
        </is>
      </c>
      <c r="C18" s="9" t="inlineStr">
        <is>
          <t>Vantage Assurance</t>
        </is>
      </c>
      <c r="D18" s="9" t="inlineStr">
        <is>
          <t>Casualty</t>
        </is>
      </c>
      <c r="E18" s="9" t="inlineStr">
        <is>
          <t>Europe</t>
        </is>
      </c>
      <c r="F18" s="9" t="inlineStr">
        <is>
          <t>2025-12-12</t>
        </is>
      </c>
      <c r="G18" s="9" t="inlineStr">
        <is>
          <t>Workers Compensation</t>
        </is>
      </c>
      <c r="H18" s="9" t="inlineStr">
        <is>
          <t>Settled</t>
        </is>
      </c>
      <c r="I18" s="12" t="n">
        <v>2956220.7984</v>
      </c>
      <c r="J18" s="12" t="n">
        <v>0</v>
      </c>
      <c r="K18" s="12" t="n">
        <v>2956220.7984</v>
      </c>
      <c r="L18" s="9" t="n">
        <v>0</v>
      </c>
    </row>
    <row r="19">
      <c r="A19" s="9" t="inlineStr">
        <is>
          <t>CL005721</t>
        </is>
      </c>
      <c r="B19" s="9" t="inlineStr">
        <is>
          <t>T0132</t>
        </is>
      </c>
      <c r="C19" s="9" t="inlineStr">
        <is>
          <t>Cobalt General</t>
        </is>
      </c>
      <c r="D19" s="9" t="inlineStr">
        <is>
          <t>Property</t>
        </is>
      </c>
      <c r="E19" s="9" t="inlineStr">
        <is>
          <t>North America</t>
        </is>
      </c>
      <c r="F19" s="9" t="inlineStr">
        <is>
          <t>2026-07-25</t>
        </is>
      </c>
      <c r="G19" s="9" t="inlineStr">
        <is>
          <t>Business Interruption</t>
        </is>
      </c>
      <c r="H19" s="9" t="inlineStr">
        <is>
          <t>Open</t>
        </is>
      </c>
      <c r="I19" s="12" t="n">
        <v>590213.65</v>
      </c>
      <c r="J19" s="12" t="n">
        <v>2360854.59</v>
      </c>
      <c r="K19" s="12" t="n">
        <v>2951068.24</v>
      </c>
      <c r="L19" s="9" t="n">
        <v>1</v>
      </c>
    </row>
    <row r="20">
      <c r="A20" s="9" t="inlineStr">
        <is>
          <t>CL003149</t>
        </is>
      </c>
      <c r="B20" s="9" t="inlineStr">
        <is>
          <t>T0484</t>
        </is>
      </c>
      <c r="C20" s="9" t="inlineStr">
        <is>
          <t>Meridian Assurance</t>
        </is>
      </c>
      <c r="D20" s="9" t="inlineStr">
        <is>
          <t>Property</t>
        </is>
      </c>
      <c r="E20" s="9" t="inlineStr">
        <is>
          <t>Europe</t>
        </is>
      </c>
      <c r="F20" s="9" t="inlineStr">
        <is>
          <t>2024-09-28</t>
        </is>
      </c>
      <c r="G20" s="9" t="inlineStr">
        <is>
          <t>Fire &amp; Explosion</t>
        </is>
      </c>
      <c r="H20" s="9" t="inlineStr">
        <is>
          <t>Settled</t>
        </is>
      </c>
      <c r="I20" s="12" t="n">
        <v>2914423.0272</v>
      </c>
      <c r="J20" s="12" t="n">
        <v>0</v>
      </c>
      <c r="K20" s="12" t="n">
        <v>2914423.0272</v>
      </c>
      <c r="L20" s="9" t="n">
        <v>0</v>
      </c>
    </row>
    <row r="21">
      <c r="A21" s="9" t="inlineStr">
        <is>
          <t>CL004222</t>
        </is>
      </c>
      <c r="B21" s="9" t="inlineStr">
        <is>
          <t>T0259</t>
        </is>
      </c>
      <c r="C21" s="9" t="inlineStr">
        <is>
          <t>Vantage Assurance</t>
        </is>
      </c>
      <c r="D21" s="9" t="inlineStr">
        <is>
          <t>Casualty</t>
        </is>
      </c>
      <c r="E21" s="9" t="inlineStr">
        <is>
          <t>Europe</t>
        </is>
      </c>
      <c r="F21" s="9" t="inlineStr">
        <is>
          <t>2025-06-11</t>
        </is>
      </c>
      <c r="G21" s="9" t="inlineStr">
        <is>
          <t>General Liability</t>
        </is>
      </c>
      <c r="H21" s="9" t="inlineStr">
        <is>
          <t>Settled</t>
        </is>
      </c>
      <c r="I21" s="12" t="n">
        <v>2890744.5348</v>
      </c>
      <c r="J21" s="12" t="n">
        <v>0</v>
      </c>
      <c r="K21" s="12" t="n">
        <v>2890744.5348</v>
      </c>
      <c r="L21" s="9" t="n">
        <v>0</v>
      </c>
    </row>
    <row r="22">
      <c r="A22" s="9" t="inlineStr">
        <is>
          <t>CL005163</t>
        </is>
      </c>
      <c r="B22" s="9" t="inlineStr">
        <is>
          <t>T0378</t>
        </is>
      </c>
      <c r="C22" s="9" t="inlineStr">
        <is>
          <t>Vantage Mutual</t>
        </is>
      </c>
      <c r="D22" s="9" t="inlineStr">
        <is>
          <t>Professional</t>
        </is>
      </c>
      <c r="E22" s="9" t="inlineStr">
        <is>
          <t>Asia Pacific</t>
        </is>
      </c>
      <c r="F22" s="9" t="inlineStr">
        <is>
          <t>2026-01-29</t>
        </is>
      </c>
      <c r="G22" s="9" t="inlineStr">
        <is>
          <t>Professional Indemnity</t>
        </is>
      </c>
      <c r="H22" s="9" t="inlineStr">
        <is>
          <t>Open</t>
        </is>
      </c>
      <c r="I22" s="12" t="n">
        <v>561114.9798</v>
      </c>
      <c r="J22" s="12" t="n">
        <v>2244459.91944</v>
      </c>
      <c r="K22" s="12" t="n">
        <v>2805574.89924</v>
      </c>
      <c r="L22" s="9" t="n">
        <v>1</v>
      </c>
    </row>
    <row r="23">
      <c r="A23" s="9" t="inlineStr">
        <is>
          <t>CL004721</t>
        </is>
      </c>
      <c r="B23" s="9" t="inlineStr">
        <is>
          <t>T0450</t>
        </is>
      </c>
      <c r="C23" s="9" t="inlineStr">
        <is>
          <t>Granite Insurance</t>
        </is>
      </c>
      <c r="D23" s="9" t="inlineStr">
        <is>
          <t>Casualty</t>
        </is>
      </c>
      <c r="E23" s="9" t="inlineStr">
        <is>
          <t>Unassigned</t>
        </is>
      </c>
      <c r="F23" s="9" t="inlineStr">
        <is>
          <t>2025-11-19</t>
        </is>
      </c>
      <c r="G23" s="9" t="inlineStr">
        <is>
          <t>Auto Liability</t>
        </is>
      </c>
      <c r="H23" s="9" t="inlineStr">
        <is>
          <t>Open</t>
        </is>
      </c>
      <c r="I23" s="12" t="n">
        <v>137388.79</v>
      </c>
      <c r="J23" s="12" t="n">
        <v>2438283.99</v>
      </c>
      <c r="K23" s="12" t="n">
        <v>2575672.78</v>
      </c>
      <c r="L23" s="9" t="n">
        <v>0</v>
      </c>
    </row>
    <row r="24">
      <c r="A24" s="9" t="inlineStr">
        <is>
          <t>CL003582</t>
        </is>
      </c>
      <c r="B24" s="9" t="inlineStr">
        <is>
          <t>T0417</t>
        </is>
      </c>
      <c r="C24" s="9" t="inlineStr">
        <is>
          <t>Meridian Indemnity</t>
        </is>
      </c>
      <c r="D24" s="9" t="inlineStr">
        <is>
          <t>Property</t>
        </is>
      </c>
      <c r="E24" s="9" t="inlineStr">
        <is>
          <t>Europe</t>
        </is>
      </c>
      <c r="F24" s="9" t="inlineStr">
        <is>
          <t>2025-01-18</t>
        </is>
      </c>
      <c r="G24" s="9" t="inlineStr">
        <is>
          <t>Natural Catastrophe</t>
        </is>
      </c>
      <c r="H24" s="9" t="inlineStr">
        <is>
          <t>Open</t>
        </is>
      </c>
      <c r="I24" s="12" t="n">
        <v>359242.776</v>
      </c>
      <c r="J24" s="12" t="n">
        <v>2191405.914</v>
      </c>
      <c r="K24" s="12" t="n">
        <v>2550648.69</v>
      </c>
      <c r="L24" s="9" t="n">
        <v>0</v>
      </c>
    </row>
    <row r="25">
      <c r="A25" s="9" t="inlineStr">
        <is>
          <t>CL001312</t>
        </is>
      </c>
      <c r="B25" s="9" t="inlineStr">
        <is>
          <t>T0283</t>
        </is>
      </c>
      <c r="C25" s="9" t="inlineStr">
        <is>
          <t>Cobalt Mutual</t>
        </is>
      </c>
      <c r="D25" s="9" t="inlineStr">
        <is>
          <t>Casualty</t>
        </is>
      </c>
      <c r="E25" s="9" t="inlineStr">
        <is>
          <t>Europe</t>
        </is>
      </c>
      <c r="F25" s="9" t="inlineStr">
        <is>
          <t>2023-01-17</t>
        </is>
      </c>
      <c r="G25" s="9" t="inlineStr">
        <is>
          <t>General Liability</t>
        </is>
      </c>
      <c r="H25" s="9" t="inlineStr">
        <is>
          <t>Settled</t>
        </is>
      </c>
      <c r="I25" s="12" t="n">
        <v>2485590.3648</v>
      </c>
      <c r="J25" s="12" t="n">
        <v>0</v>
      </c>
      <c r="K25" s="12" t="n">
        <v>2485590.3648</v>
      </c>
      <c r="L25" s="9" t="n">
        <v>0</v>
      </c>
    </row>
    <row r="26">
      <c r="A26" s="9" t="inlineStr">
        <is>
          <t>CL001527</t>
        </is>
      </c>
      <c r="B26" s="9" t="inlineStr">
        <is>
          <t>T0422</t>
        </is>
      </c>
      <c r="C26" s="9" t="inlineStr">
        <is>
          <t>Evergreen Insurance</t>
        </is>
      </c>
      <c r="D26" s="9" t="inlineStr">
        <is>
          <t>Property</t>
        </is>
      </c>
      <c r="E26" s="9" t="inlineStr">
        <is>
          <t>North America</t>
        </is>
      </c>
      <c r="F26" s="9" t="inlineStr">
        <is>
          <t>2023-03-12</t>
        </is>
      </c>
      <c r="G26" s="9" t="inlineStr">
        <is>
          <t>Natural Catastrophe</t>
        </is>
      </c>
      <c r="H26" s="9" t="inlineStr">
        <is>
          <t>Settled</t>
        </is>
      </c>
      <c r="I26" s="12" t="n">
        <v>2479969.82</v>
      </c>
      <c r="J26" s="12" t="n">
        <v>0</v>
      </c>
      <c r="K26" s="12" t="n">
        <v>2479969.82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>
      <c r="A2" s="9" t="inlineStr">
        <is>
          <t>T0549</t>
        </is>
      </c>
      <c r="B2" s="9" t="inlineStr">
        <is>
          <t>Orion General</t>
        </is>
      </c>
      <c r="C2" s="9" t="inlineStr">
        <is>
          <t>Casualty</t>
        </is>
      </c>
      <c r="D2" s="9" t="inlineStr">
        <is>
          <t>North America</t>
        </is>
      </c>
      <c r="E2" s="9" t="inlineStr">
        <is>
          <t>Omar Haddad</t>
        </is>
      </c>
      <c r="F2" s="12" t="n">
        <v>3500000</v>
      </c>
      <c r="G2" s="12" t="n">
        <v>10700458.39</v>
      </c>
      <c r="H2" s="15" t="n">
        <v>3.057273825714286</v>
      </c>
    </row>
    <row r="3">
      <c r="A3" s="9" t="inlineStr">
        <is>
          <t>T0079</t>
        </is>
      </c>
      <c r="B3" s="9" t="inlineStr">
        <is>
          <t>Lumen Assurance</t>
        </is>
      </c>
      <c r="C3" s="9" t="inlineStr">
        <is>
          <t>Property</t>
        </is>
      </c>
      <c r="D3" s="9" t="inlineStr">
        <is>
          <t>Latin America</t>
        </is>
      </c>
      <c r="E3" s="9" t="inlineStr">
        <is>
          <t>Kenji Sato</t>
        </is>
      </c>
      <c r="F3" s="12" t="n">
        <v>1300000</v>
      </c>
      <c r="G3" s="12" t="n">
        <v>3360348.47</v>
      </c>
      <c r="H3" s="15" t="n">
        <v>2.584883438461538</v>
      </c>
    </row>
    <row r="4">
      <c r="A4" s="9" t="inlineStr">
        <is>
          <t>T0157</t>
        </is>
      </c>
      <c r="B4" s="9" t="inlineStr">
        <is>
          <t>Orion Insurance</t>
        </is>
      </c>
      <c r="C4" s="9" t="inlineStr">
        <is>
          <t>Specialty</t>
        </is>
      </c>
      <c r="D4" s="9" t="inlineStr">
        <is>
          <t>Asia Pacific</t>
        </is>
      </c>
      <c r="E4" s="9" t="inlineStr">
        <is>
          <t>Kenji Sato</t>
        </is>
      </c>
      <c r="F4" s="12" t="n">
        <v>3800000</v>
      </c>
      <c r="G4" s="12" t="n">
        <v>5577575.12</v>
      </c>
      <c r="H4" s="15" t="n">
        <v>1.46778292631579</v>
      </c>
    </row>
    <row r="5">
      <c r="A5" s="9" t="inlineStr">
        <is>
          <t>T0611</t>
        </is>
      </c>
      <c r="B5" s="9" t="inlineStr">
        <is>
          <t>Evergreen General</t>
        </is>
      </c>
      <c r="C5" s="9" t="inlineStr">
        <is>
          <t>Specialty</t>
        </is>
      </c>
      <c r="D5" s="9" t="inlineStr">
        <is>
          <t>North America</t>
        </is>
      </c>
      <c r="E5" s="9" t="inlineStr">
        <is>
          <t>James Whitfield</t>
        </is>
      </c>
      <c r="F5" s="12" t="n">
        <v>2200000</v>
      </c>
      <c r="G5" s="12" t="n">
        <v>3226670.7</v>
      </c>
      <c r="H5" s="15" t="n">
        <v>1.4666685</v>
      </c>
    </row>
    <row r="6">
      <c r="A6" s="9" t="inlineStr">
        <is>
          <t>T0058</t>
        </is>
      </c>
      <c r="B6" s="9" t="inlineStr">
        <is>
          <t>Cobalt Indemnity</t>
        </is>
      </c>
      <c r="C6" s="9" t="inlineStr">
        <is>
          <t>Specialty</t>
        </is>
      </c>
      <c r="D6" s="9" t="inlineStr">
        <is>
          <t>North America</t>
        </is>
      </c>
      <c r="E6" s="9" t="inlineStr">
        <is>
          <t>Carlos Ibarra</t>
        </is>
      </c>
      <c r="F6" s="12" t="n">
        <v>2300000</v>
      </c>
      <c r="G6" s="12" t="n">
        <v>3184909.96</v>
      </c>
      <c r="H6" s="15" t="n">
        <v>1.384743460869565</v>
      </c>
    </row>
    <row r="7">
      <c r="A7" s="9" t="inlineStr">
        <is>
          <t>T0483</t>
        </is>
      </c>
      <c r="B7" s="9" t="inlineStr">
        <is>
          <t>Evergreen General</t>
        </is>
      </c>
      <c r="C7" s="9" t="inlineStr">
        <is>
          <t>Casualty</t>
        </is>
      </c>
      <c r="D7" s="9" t="inlineStr">
        <is>
          <t>North America</t>
        </is>
      </c>
      <c r="E7" s="9" t="inlineStr">
        <is>
          <t>Kenji Sato</t>
        </is>
      </c>
      <c r="F7" s="12" t="n">
        <v>2400000</v>
      </c>
      <c r="G7" s="12" t="n">
        <v>3277690.35</v>
      </c>
      <c r="H7" s="15" t="n">
        <v>1.3657043125</v>
      </c>
    </row>
    <row r="8">
      <c r="A8" s="9" t="inlineStr">
        <is>
          <t>T0378</t>
        </is>
      </c>
      <c r="B8" s="9" t="inlineStr">
        <is>
          <t>Vantage Mutual</t>
        </is>
      </c>
      <c r="C8" s="9" t="inlineStr">
        <is>
          <t>Professional</t>
        </is>
      </c>
      <c r="D8" s="9" t="inlineStr">
        <is>
          <t>Asia Pacific</t>
        </is>
      </c>
      <c r="E8" s="9" t="inlineStr">
        <is>
          <t>Sophie Laurent</t>
        </is>
      </c>
      <c r="F8" s="12" t="n">
        <v>2300000.00004</v>
      </c>
      <c r="G8" s="12" t="n">
        <v>3044036.4996</v>
      </c>
      <c r="H8" s="15" t="n">
        <v>1.323494130237852</v>
      </c>
    </row>
    <row r="9">
      <c r="A9" s="9" t="inlineStr">
        <is>
          <t>T0171</t>
        </is>
      </c>
      <c r="B9" s="9" t="inlineStr">
        <is>
          <t>Lumen Mutual</t>
        </is>
      </c>
      <c r="C9" s="9" t="inlineStr">
        <is>
          <t>Financial Lines</t>
        </is>
      </c>
      <c r="D9" s="9" t="inlineStr">
        <is>
          <t>Middle East &amp; Africa</t>
        </is>
      </c>
      <c r="E9" s="9" t="inlineStr">
        <is>
          <t>Kenji Sato</t>
        </is>
      </c>
      <c r="F9" s="12" t="n">
        <v>3200000</v>
      </c>
      <c r="G9" s="12" t="n">
        <v>3993789.58</v>
      </c>
      <c r="H9" s="15" t="n">
        <v>1.24805924375</v>
      </c>
    </row>
    <row r="10">
      <c r="A10" s="9" t="inlineStr">
        <is>
          <t>T0132</t>
        </is>
      </c>
      <c r="B10" s="9" t="inlineStr">
        <is>
          <t>Cobalt General</t>
        </is>
      </c>
      <c r="C10" s="9" t="inlineStr">
        <is>
          <t>Property</t>
        </is>
      </c>
      <c r="D10" s="9" t="inlineStr">
        <is>
          <t>North America</t>
        </is>
      </c>
      <c r="E10" s="9" t="inlineStr">
        <is>
          <t>Omar Haddad</t>
        </is>
      </c>
      <c r="F10" s="12" t="n">
        <v>2600000</v>
      </c>
      <c r="G10" s="12" t="n">
        <v>3165653.25</v>
      </c>
      <c r="H10" s="15" t="n">
        <v>1.217558942307692</v>
      </c>
    </row>
    <row r="11">
      <c r="A11" s="9" t="inlineStr">
        <is>
          <t>T0469</t>
        </is>
      </c>
      <c r="B11" s="9" t="inlineStr">
        <is>
          <t>Crown General</t>
        </is>
      </c>
      <c r="C11" s="9" t="inlineStr">
        <is>
          <t>Specialty</t>
        </is>
      </c>
      <c r="D11" s="9" t="inlineStr">
        <is>
          <t>North America</t>
        </is>
      </c>
      <c r="E11" s="9" t="inlineStr">
        <is>
          <t>Omar Haddad</t>
        </is>
      </c>
      <c r="F11" s="12" t="n">
        <v>3200000</v>
      </c>
      <c r="G11" s="12" t="n">
        <v>3741523.78</v>
      </c>
      <c r="H11" s="15" t="n">
        <v>1.16922618125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2026-10-08T11:45:43Z</dcterms:created>
  <dcterms:modified xmlns:dcterms="http://purl.org/dc/terms/" xmlns:xsi="http://www.w3.org/2001/XMLSchema-instance" xsi:type="dcterms:W3CDTF">2026-10-08T11:45:44Z</dcterms:modified>
</cp:coreProperties>
</file>