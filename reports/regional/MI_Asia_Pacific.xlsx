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aty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Large_Losse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DQ_Log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'Treaty_Data'!$A$1:$R$149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4D"/>
      <sz val="16"/>
    </font>
    <font>
      <name val="Arial"/>
      <i val="1"/>
      <sz val="9"/>
    </font>
    <font>
      <name val="Arial"/>
      <b val="1"/>
      <color rgb="000000FF"/>
    </font>
    <font>
      <name val="Arial"/>
      <b val="1"/>
      <color rgb="001F3A4D"/>
      <sz val="14"/>
    </font>
    <font>
      <name val="Arial"/>
      <b val="1"/>
      <color rgb="009C0006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ratio by line of business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'Summary'!$A$11:$A$16</f>
            </numRef>
          </cat>
          <val>
            <numRef>
              <f>'Summary'!$E$11:$E$16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premium vs incurred losses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'Monthly_Trend'!$B$2:$B$70</f>
            </numRef>
          </val>
        </ser>
        <ser>
          <idx val="1"/>
          <order val="1"/>
          <tx>
            <strRef>
              <f>'Monthly_Trend'!E1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'Monthly_Trend'!$E$2:$E$70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6" customWidth="1" min="11" max="11"/>
  </cols>
  <sheetData>
    <row r="1">
      <c r="A1" s="1" t="inlineStr">
        <is>
          <t>Reinsurance Portfolio MI - Asia Pacific</t>
        </is>
      </c>
    </row>
    <row r="2">
      <c r="A2" s="2" t="inlineStr">
        <is>
          <t>Valuation date 30-Sep-2026 | USD millions unless stated | all figures are live formulas over Treaty_Data</t>
        </is>
      </c>
    </row>
    <row r="4">
      <c r="A4" t="inlineStr">
        <is>
          <t>Admin expense ratio (assumption)</t>
        </is>
      </c>
      <c r="B4" s="3" t="n">
        <v>0.05</v>
      </c>
      <c r="C4" s="2" t="inlineStr">
        <is>
          <t>Input: edit to flex the combined ratio. Source: ref_assumptions table.</t>
        </is>
      </c>
    </row>
    <row r="6">
      <c r="A6" s="4" t="inlineStr">
        <is>
          <t>Gross premium</t>
        </is>
      </c>
      <c r="B6" s="4" t="inlineStr">
        <is>
          <t>Ceded</t>
        </is>
      </c>
      <c r="C6" s="4" t="inlineStr">
        <is>
          <t>Earned</t>
        </is>
      </c>
      <c r="D6" s="4" t="inlineStr">
        <is>
          <t>Incurred</t>
        </is>
      </c>
      <c r="E6" s="4" t="inlineStr">
        <is>
          <t>Loss ratio</t>
        </is>
      </c>
      <c r="F6" s="4" t="inlineStr">
        <is>
          <t>Combined ratio</t>
        </is>
      </c>
      <c r="G6" s="4" t="inlineStr">
        <is>
          <t>Exposure</t>
        </is>
      </c>
      <c r="H6" s="4" t="inlineStr">
        <is>
          <t>Treaties</t>
        </is>
      </c>
      <c r="I6" s="4" t="inlineStr">
        <is>
          <t>Claims</t>
        </is>
      </c>
      <c r="K6" s="4" t="inlineStr">
        <is>
          <t>Data health</t>
        </is>
      </c>
    </row>
    <row r="7">
      <c r="A7" s="5">
        <f>SUM(Treaty_Data!$I$2:$I$149)/1000000</f>
        <v/>
      </c>
      <c r="B7" s="5">
        <f>SUM(Treaty_Data!$J$2:$J$149)/1000000</f>
        <v/>
      </c>
      <c r="C7" s="5">
        <f>SUM(Treaty_Data!$K$2:$K$149)/1000000</f>
        <v/>
      </c>
      <c r="D7" s="5">
        <f>SUM(Treaty_Data!$O$2:$O$149)/1000000</f>
        <v/>
      </c>
      <c r="E7" s="6">
        <f>IFERROR(D7/C7,0)</f>
        <v/>
      </c>
      <c r="F7" s="6">
        <f>IFERROR(E7+SUM(Treaty_Data!$L$2:$L$149)/1000000/C7+B4,0)</f>
        <v/>
      </c>
      <c r="G7" s="7">
        <f>SUM(Treaty_Data!$P$2:$P$149)/1000000</f>
        <v/>
      </c>
      <c r="H7" s="7">
        <f>COUNTA(Treaty_Data!$A$2:$A$149)</f>
        <v/>
      </c>
      <c r="I7" s="7">
        <f>SUM(Treaty_Data!$M$2:$M$149)</f>
        <v/>
      </c>
      <c r="K7" s="8">
        <f>COUNTIF(DQ_Log!G2:G29,"PASS")&amp;" of "&amp;COUNTA(DQ_Log!G2:G29)&amp;" checks passed"</f>
        <v/>
      </c>
    </row>
    <row r="10">
      <c r="A10" s="4" t="inlineStr">
        <is>
          <t>Line of business</t>
        </is>
      </c>
      <c r="B10" s="4" t="inlineStr">
        <is>
          <t>GWP</t>
        </is>
      </c>
      <c r="C10" s="4" t="inlineStr">
        <is>
          <t>Earned</t>
        </is>
      </c>
      <c r="D10" s="4" t="inlineStr">
        <is>
          <t>Incurred</t>
        </is>
      </c>
      <c r="E10" s="4" t="inlineStr">
        <is>
          <t>Loss ratio</t>
        </is>
      </c>
      <c r="F10" s="4" t="inlineStr">
        <is>
          <t>Commission ratio</t>
        </is>
      </c>
      <c r="G10" s="4" t="inlineStr">
        <is>
          <t>Combined ratio</t>
        </is>
      </c>
      <c r="H10" s="4" t="inlineStr">
        <is>
          <t>Treaties</t>
        </is>
      </c>
    </row>
    <row r="11">
      <c r="A11" s="9" t="inlineStr">
        <is>
          <t>Casualty</t>
        </is>
      </c>
      <c r="B11" s="10">
        <f>SUMIFS(Treaty_Data!$I$2:$I$149,Treaty_Data!$C$2:$C$149,$A11)/1000000</f>
        <v/>
      </c>
      <c r="C11" s="10">
        <f>SUMIFS(Treaty_Data!$K$2:$K$149,Treaty_Data!$C$2:$C$149,$A11)/1000000</f>
        <v/>
      </c>
      <c r="D11" s="10">
        <f>SUMIFS(Treaty_Data!$O$2:$O$149,Treaty_Data!$C$2:$C$149,$A11)/1000000</f>
        <v/>
      </c>
      <c r="E11" s="11">
        <f>IFERROR(D11/C11,0)</f>
        <v/>
      </c>
      <c r="F11" s="11">
        <f>IFERROR(SUMIFS(Treaty_Data!$L$2:$L$149,Treaty_Data!$C$2:$C$149,$A11)/1000000/C11,0)</f>
        <v/>
      </c>
      <c r="G11" s="11">
        <f>E11+F11+$B$4</f>
        <v/>
      </c>
      <c r="H11" s="12">
        <f>COUNTIF(Treaty_Data!$C$2:$C$149,$A11)</f>
        <v/>
      </c>
    </row>
    <row r="12">
      <c r="A12" s="9" t="inlineStr">
        <is>
          <t>Financial Lines</t>
        </is>
      </c>
      <c r="B12" s="10">
        <f>SUMIFS(Treaty_Data!$I$2:$I$149,Treaty_Data!$C$2:$C$149,$A12)/1000000</f>
        <v/>
      </c>
      <c r="C12" s="10">
        <f>SUMIFS(Treaty_Data!$K$2:$K$149,Treaty_Data!$C$2:$C$149,$A12)/1000000</f>
        <v/>
      </c>
      <c r="D12" s="10">
        <f>SUMIFS(Treaty_Data!$O$2:$O$149,Treaty_Data!$C$2:$C$149,$A12)/1000000</f>
        <v/>
      </c>
      <c r="E12" s="11">
        <f>IFERROR(D12/C12,0)</f>
        <v/>
      </c>
      <c r="F12" s="11">
        <f>IFERROR(SUMIFS(Treaty_Data!$L$2:$L$149,Treaty_Data!$C$2:$C$149,$A12)/1000000/C12,0)</f>
        <v/>
      </c>
      <c r="G12" s="11">
        <f>E12+F12+$B$4</f>
        <v/>
      </c>
      <c r="H12" s="12">
        <f>COUNTIF(Treaty_Data!$C$2:$C$149,$A12)</f>
        <v/>
      </c>
    </row>
    <row r="13">
      <c r="A13" s="9" t="inlineStr">
        <is>
          <t>Professional</t>
        </is>
      </c>
      <c r="B13" s="10">
        <f>SUMIFS(Treaty_Data!$I$2:$I$149,Treaty_Data!$C$2:$C$149,$A13)/1000000</f>
        <v/>
      </c>
      <c r="C13" s="10">
        <f>SUMIFS(Treaty_Data!$K$2:$K$149,Treaty_Data!$C$2:$C$149,$A13)/1000000</f>
        <v/>
      </c>
      <c r="D13" s="10">
        <f>SUMIFS(Treaty_Data!$O$2:$O$149,Treaty_Data!$C$2:$C$149,$A13)/1000000</f>
        <v/>
      </c>
      <c r="E13" s="11">
        <f>IFERROR(D13/C13,0)</f>
        <v/>
      </c>
      <c r="F13" s="11">
        <f>IFERROR(SUMIFS(Treaty_Data!$L$2:$L$149,Treaty_Data!$C$2:$C$149,$A13)/1000000/C13,0)</f>
        <v/>
      </c>
      <c r="G13" s="11">
        <f>E13+F13+$B$4</f>
        <v/>
      </c>
      <c r="H13" s="12">
        <f>COUNTIF(Treaty_Data!$C$2:$C$149,$A13)</f>
        <v/>
      </c>
    </row>
    <row r="14">
      <c r="A14" s="9" t="inlineStr">
        <is>
          <t>Property</t>
        </is>
      </c>
      <c r="B14" s="10">
        <f>SUMIFS(Treaty_Data!$I$2:$I$149,Treaty_Data!$C$2:$C$149,$A14)/1000000</f>
        <v/>
      </c>
      <c r="C14" s="10">
        <f>SUMIFS(Treaty_Data!$K$2:$K$149,Treaty_Data!$C$2:$C$149,$A14)/1000000</f>
        <v/>
      </c>
      <c r="D14" s="10">
        <f>SUMIFS(Treaty_Data!$O$2:$O$149,Treaty_Data!$C$2:$C$149,$A14)/1000000</f>
        <v/>
      </c>
      <c r="E14" s="11">
        <f>IFERROR(D14/C14,0)</f>
        <v/>
      </c>
      <c r="F14" s="11">
        <f>IFERROR(SUMIFS(Treaty_Data!$L$2:$L$149,Treaty_Data!$C$2:$C$149,$A14)/1000000/C14,0)</f>
        <v/>
      </c>
      <c r="G14" s="11">
        <f>E14+F14+$B$4</f>
        <v/>
      </c>
      <c r="H14" s="12">
        <f>COUNTIF(Treaty_Data!$C$2:$C$149,$A14)</f>
        <v/>
      </c>
    </row>
    <row r="15">
      <c r="A15" s="9" t="inlineStr">
        <is>
          <t>Specialty</t>
        </is>
      </c>
      <c r="B15" s="10">
        <f>SUMIFS(Treaty_Data!$I$2:$I$149,Treaty_Data!$C$2:$C$149,$A15)/1000000</f>
        <v/>
      </c>
      <c r="C15" s="10">
        <f>SUMIFS(Treaty_Data!$K$2:$K$149,Treaty_Data!$C$2:$C$149,$A15)/1000000</f>
        <v/>
      </c>
      <c r="D15" s="10">
        <f>SUMIFS(Treaty_Data!$O$2:$O$149,Treaty_Data!$C$2:$C$149,$A15)/1000000</f>
        <v/>
      </c>
      <c r="E15" s="11">
        <f>IFERROR(D15/C15,0)</f>
        <v/>
      </c>
      <c r="F15" s="11">
        <f>IFERROR(SUMIFS(Treaty_Data!$L$2:$L$149,Treaty_Data!$C$2:$C$149,$A15)/1000000/C15,0)</f>
        <v/>
      </c>
      <c r="G15" s="11">
        <f>E15+F15+$B$4</f>
        <v/>
      </c>
      <c r="H15" s="12">
        <f>COUNTIF(Treaty_Data!$C$2:$C$149,$A15)</f>
        <v/>
      </c>
    </row>
    <row r="16">
      <c r="A16" s="9" t="inlineStr">
        <is>
          <t>Unmapped</t>
        </is>
      </c>
      <c r="B16" s="10">
        <f>SUMIFS(Treaty_Data!$I$2:$I$149,Treaty_Data!$C$2:$C$149,$A16)/1000000</f>
        <v/>
      </c>
      <c r="C16" s="10">
        <f>SUMIFS(Treaty_Data!$K$2:$K$149,Treaty_Data!$C$2:$C$149,$A16)/1000000</f>
        <v/>
      </c>
      <c r="D16" s="10">
        <f>SUMIFS(Treaty_Data!$O$2:$O$149,Treaty_Data!$C$2:$C$149,$A16)/1000000</f>
        <v/>
      </c>
      <c r="E16" s="11">
        <f>IFERROR(D16/C16,0)</f>
        <v/>
      </c>
      <c r="F16" s="11">
        <f>IFERROR(SUMIFS(Treaty_Data!$L$2:$L$149,Treaty_Data!$C$2:$C$149,$A16)/1000000/C16,0)</f>
        <v/>
      </c>
      <c r="G16" s="11">
        <f>E16+F16+$B$4</f>
        <v/>
      </c>
      <c r="H16" s="12">
        <f>COUNTIF(Treaty_Data!$C$2:$C$149,$A16)</f>
        <v/>
      </c>
    </row>
    <row r="19">
      <c r="A19" s="4" t="inlineStr">
        <is>
          <t>Region</t>
        </is>
      </c>
      <c r="B19" s="4" t="inlineStr">
        <is>
          <t>GWP</t>
        </is>
      </c>
      <c r="C19" s="4" t="inlineStr">
        <is>
          <t>Earned</t>
        </is>
      </c>
      <c r="D19" s="4" t="inlineStr">
        <is>
          <t>Incurred</t>
        </is>
      </c>
      <c r="E19" s="4" t="inlineStr">
        <is>
          <t>Loss ratio</t>
        </is>
      </c>
      <c r="F19" s="4" t="inlineStr">
        <is>
          <t>Commission ratio</t>
        </is>
      </c>
      <c r="G19" s="4" t="inlineStr">
        <is>
          <t>Combined ratio</t>
        </is>
      </c>
      <c r="H19" s="4" t="inlineStr">
        <is>
          <t>Treaties</t>
        </is>
      </c>
    </row>
    <row r="20">
      <c r="A20" s="9" t="inlineStr">
        <is>
          <t>Asia Pacific</t>
        </is>
      </c>
      <c r="B20" s="10">
        <f>SUMIFS(Treaty_Data!$I$2:$I$149,Treaty_Data!$D$2:$D$149,$A20)/1000000</f>
        <v/>
      </c>
      <c r="C20" s="10">
        <f>SUMIFS(Treaty_Data!$K$2:$K$149,Treaty_Data!$D$2:$D$149,$A20)/1000000</f>
        <v/>
      </c>
      <c r="D20" s="10">
        <f>SUMIFS(Treaty_Data!$O$2:$O$149,Treaty_Data!$D$2:$D$149,$A20)/1000000</f>
        <v/>
      </c>
      <c r="E20" s="11">
        <f>IFERROR(D20/C20,0)</f>
        <v/>
      </c>
      <c r="F20" s="11">
        <f>IFERROR(SUMIFS(Treaty_Data!$L$2:$L$149,Treaty_Data!$D$2:$D$149,$A20)/1000000/C20,0)</f>
        <v/>
      </c>
      <c r="G20" s="11">
        <f>E20+F20+$B$4</f>
        <v/>
      </c>
      <c r="H20" s="12">
        <f>COUNTIF(Treaty_Data!$D$2:$D$149,$A20)</f>
        <v/>
      </c>
    </row>
    <row r="23">
      <c r="A23" s="4" t="inlineStr">
        <is>
          <t>Underwriting year</t>
        </is>
      </c>
      <c r="B23" s="4" t="inlineStr">
        <is>
          <t>GWP</t>
        </is>
      </c>
      <c r="C23" s="4" t="inlineStr">
        <is>
          <t>Earned</t>
        </is>
      </c>
      <c r="D23" s="4" t="inlineStr">
        <is>
          <t>Incurred</t>
        </is>
      </c>
      <c r="E23" s="4" t="inlineStr">
        <is>
          <t>Loss ratio</t>
        </is>
      </c>
      <c r="F23" s="4" t="inlineStr">
        <is>
          <t>Commission ratio</t>
        </is>
      </c>
      <c r="G23" s="4" t="inlineStr">
        <is>
          <t>Combined ratio</t>
        </is>
      </c>
      <c r="H23" s="4" t="inlineStr">
        <is>
          <t>Treaties</t>
        </is>
      </c>
    </row>
    <row r="24">
      <c r="A24" s="9" t="n">
        <v>2021</v>
      </c>
      <c r="B24" s="10">
        <f>SUMIFS(Treaty_Data!$I$2:$I$149,Treaty_Data!$G$2:$G$149,$A24)/1000000</f>
        <v/>
      </c>
      <c r="C24" s="10">
        <f>SUMIFS(Treaty_Data!$K$2:$K$149,Treaty_Data!$G$2:$G$149,$A24)/1000000</f>
        <v/>
      </c>
      <c r="D24" s="10">
        <f>SUMIFS(Treaty_Data!$O$2:$O$149,Treaty_Data!$G$2:$G$149,$A24)/1000000</f>
        <v/>
      </c>
      <c r="E24" s="11">
        <f>IFERROR(D24/C24,0)</f>
        <v/>
      </c>
      <c r="F24" s="11">
        <f>IFERROR(SUMIFS(Treaty_Data!$L$2:$L$149,Treaty_Data!$G$2:$G$149,$A24)/1000000/C24,0)</f>
        <v/>
      </c>
      <c r="G24" s="11">
        <f>E24+F24+$B$4</f>
        <v/>
      </c>
      <c r="H24" s="12">
        <f>COUNTIF(Treaty_Data!$G$2:$G$149,$A24)</f>
        <v/>
      </c>
    </row>
    <row r="25">
      <c r="A25" s="9" t="n">
        <v>2022</v>
      </c>
      <c r="B25" s="10">
        <f>SUMIFS(Treaty_Data!$I$2:$I$149,Treaty_Data!$G$2:$G$149,$A25)/1000000</f>
        <v/>
      </c>
      <c r="C25" s="10">
        <f>SUMIFS(Treaty_Data!$K$2:$K$149,Treaty_Data!$G$2:$G$149,$A25)/1000000</f>
        <v/>
      </c>
      <c r="D25" s="10">
        <f>SUMIFS(Treaty_Data!$O$2:$O$149,Treaty_Data!$G$2:$G$149,$A25)/1000000</f>
        <v/>
      </c>
      <c r="E25" s="11">
        <f>IFERROR(D25/C25,0)</f>
        <v/>
      </c>
      <c r="F25" s="11">
        <f>IFERROR(SUMIFS(Treaty_Data!$L$2:$L$149,Treaty_Data!$G$2:$G$149,$A25)/1000000/C25,0)</f>
        <v/>
      </c>
      <c r="G25" s="11">
        <f>E25+F25+$B$4</f>
        <v/>
      </c>
      <c r="H25" s="12">
        <f>COUNTIF(Treaty_Data!$G$2:$G$149,$A25)</f>
        <v/>
      </c>
    </row>
    <row r="26">
      <c r="A26" s="9" t="n">
        <v>2023</v>
      </c>
      <c r="B26" s="10">
        <f>SUMIFS(Treaty_Data!$I$2:$I$149,Treaty_Data!$G$2:$G$149,$A26)/1000000</f>
        <v/>
      </c>
      <c r="C26" s="10">
        <f>SUMIFS(Treaty_Data!$K$2:$K$149,Treaty_Data!$G$2:$G$149,$A26)/1000000</f>
        <v/>
      </c>
      <c r="D26" s="10">
        <f>SUMIFS(Treaty_Data!$O$2:$O$149,Treaty_Data!$G$2:$G$149,$A26)/1000000</f>
        <v/>
      </c>
      <c r="E26" s="11">
        <f>IFERROR(D26/C26,0)</f>
        <v/>
      </c>
      <c r="F26" s="11">
        <f>IFERROR(SUMIFS(Treaty_Data!$L$2:$L$149,Treaty_Data!$G$2:$G$149,$A26)/1000000/C26,0)</f>
        <v/>
      </c>
      <c r="G26" s="11">
        <f>E26+F26+$B$4</f>
        <v/>
      </c>
      <c r="H26" s="12">
        <f>COUNTIF(Treaty_Data!$G$2:$G$149,$A26)</f>
        <v/>
      </c>
    </row>
    <row r="27">
      <c r="A27" s="9" t="n">
        <v>2024</v>
      </c>
      <c r="B27" s="10">
        <f>SUMIFS(Treaty_Data!$I$2:$I$149,Treaty_Data!$G$2:$G$149,$A27)/1000000</f>
        <v/>
      </c>
      <c r="C27" s="10">
        <f>SUMIFS(Treaty_Data!$K$2:$K$149,Treaty_Data!$G$2:$G$149,$A27)/1000000</f>
        <v/>
      </c>
      <c r="D27" s="10">
        <f>SUMIFS(Treaty_Data!$O$2:$O$149,Treaty_Data!$G$2:$G$149,$A27)/1000000</f>
        <v/>
      </c>
      <c r="E27" s="11">
        <f>IFERROR(D27/C27,0)</f>
        <v/>
      </c>
      <c r="F27" s="11">
        <f>IFERROR(SUMIFS(Treaty_Data!$L$2:$L$149,Treaty_Data!$G$2:$G$149,$A27)/1000000/C27,0)</f>
        <v/>
      </c>
      <c r="G27" s="11">
        <f>E27+F27+$B$4</f>
        <v/>
      </c>
      <c r="H27" s="12">
        <f>COUNTIF(Treaty_Data!$G$2:$G$149,$A27)</f>
        <v/>
      </c>
    </row>
    <row r="28">
      <c r="A28" s="9" t="n">
        <v>2025</v>
      </c>
      <c r="B28" s="10">
        <f>SUMIFS(Treaty_Data!$I$2:$I$149,Treaty_Data!$G$2:$G$149,$A28)/1000000</f>
        <v/>
      </c>
      <c r="C28" s="10">
        <f>SUMIFS(Treaty_Data!$K$2:$K$149,Treaty_Data!$G$2:$G$149,$A28)/1000000</f>
        <v/>
      </c>
      <c r="D28" s="10">
        <f>SUMIFS(Treaty_Data!$O$2:$O$149,Treaty_Data!$G$2:$G$149,$A28)/1000000</f>
        <v/>
      </c>
      <c r="E28" s="11">
        <f>IFERROR(D28/C28,0)</f>
        <v/>
      </c>
      <c r="F28" s="11">
        <f>IFERROR(SUMIFS(Treaty_Data!$L$2:$L$149,Treaty_Data!$G$2:$G$149,$A28)/1000000/C28,0)</f>
        <v/>
      </c>
      <c r="G28" s="11">
        <f>E28+F28+$B$4</f>
        <v/>
      </c>
      <c r="H28" s="12">
        <f>COUNTIF(Treaty_Data!$G$2:$G$149,$A28)</f>
        <v/>
      </c>
    </row>
    <row r="29">
      <c r="A29" s="9" t="n">
        <v>2026</v>
      </c>
      <c r="B29" s="10">
        <f>SUMIFS(Treaty_Data!$I$2:$I$149,Treaty_Data!$G$2:$G$149,$A29)/1000000</f>
        <v/>
      </c>
      <c r="C29" s="10">
        <f>SUMIFS(Treaty_Data!$K$2:$K$149,Treaty_Data!$G$2:$G$149,$A29)/1000000</f>
        <v/>
      </c>
      <c r="D29" s="10">
        <f>SUMIFS(Treaty_Data!$O$2:$O$149,Treaty_Data!$G$2:$G$149,$A29)/1000000</f>
        <v/>
      </c>
      <c r="E29" s="11">
        <f>IFERROR(D29/C29,0)</f>
        <v/>
      </c>
      <c r="F29" s="11">
        <f>IFERROR(SUMIFS(Treaty_Data!$L$2:$L$149,Treaty_Data!$G$2:$G$149,$A29)/1000000/C29,0)</f>
        <v/>
      </c>
      <c r="G29" s="11">
        <f>E29+F29+$B$4</f>
        <v/>
      </c>
      <c r="H29" s="12">
        <f>COUNTIF(Treaty_Data!$G$2:$G$149,$A29)</f>
        <v/>
      </c>
    </row>
  </sheetData>
  <conditionalFormatting sqref="G11:G16">
    <cfRule type="cellIs" priority="1" operator="greaterThan" dxfId="0">
      <formula>1</formula>
    </cfRule>
  </conditionalFormatting>
  <conditionalFormatting sqref="E11:E16">
    <cfRule type="dataBar" priority="2">
      <dataBar>
        <cfvo type="num" val="0"/>
        <cfvo type="num" val="1.2"/>
        <color rgb="007FA6BF"/>
      </dataBar>
    </cfRule>
  </conditionalFormatting>
  <conditionalFormatting sqref="G20">
    <cfRule type="cellIs" priority="3" operator="greaterThan" dxfId="0">
      <formula>1</formula>
    </cfRule>
  </conditionalFormatting>
  <conditionalFormatting sqref="E20">
    <cfRule type="dataBar" priority="4">
      <dataBar>
        <cfvo type="num" val="0"/>
        <cfvo type="num" val="1.2"/>
        <color rgb="007FA6BF"/>
      </dataBar>
    </cfRule>
  </conditionalFormatting>
  <conditionalFormatting sqref="G24:G29">
    <cfRule type="cellIs" priority="5" operator="greaterThan" dxfId="0">
      <formula>1</formula>
    </cfRule>
  </conditionalFormatting>
  <conditionalFormatting sqref="E24:E29">
    <cfRule type="dataBar" priority="6">
      <dataBar>
        <cfvo type="num" val="0"/>
        <cfvo type="num" val="1.2"/>
        <color rgb="007FA6B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5" customWidth="1" min="6" max="6"/>
    <col width="21" customWidth="1" min="7" max="7"/>
    <col width="13" customWidth="1" min="8" max="8"/>
    <col width="11" customWidth="1" min="9" max="9"/>
    <col width="11" customWidth="1" min="10" max="10"/>
    <col width="11" customWidth="1" min="11" max="11"/>
    <col width="21" customWidth="1" min="12" max="12"/>
    <col width="15" customWidth="1" min="13" max="13"/>
    <col width="11" customWidth="1" min="14" max="14"/>
    <col width="12" customWidth="1" min="15" max="15"/>
    <col width="12" customWidth="1" min="16" max="16"/>
    <col width="13" customWidth="1" min="17" max="17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treaty_type</t>
        </is>
      </c>
      <c r="G1" s="4" t="inlineStr">
        <is>
          <t>underwriting_year</t>
        </is>
      </c>
      <c r="H1" s="4" t="inlineStr">
        <is>
          <t>limit_usd</t>
        </is>
      </c>
      <c r="I1" s="4" t="inlineStr">
        <is>
          <t>gwp</t>
        </is>
      </c>
      <c r="J1" s="4" t="inlineStr">
        <is>
          <t>ceded</t>
        </is>
      </c>
      <c r="K1" s="4" t="inlineStr">
        <is>
          <t>earned</t>
        </is>
      </c>
      <c r="L1" s="4" t="inlineStr">
        <is>
          <t>earned_commission</t>
        </is>
      </c>
      <c r="M1" s="4" t="inlineStr">
        <is>
          <t>claim_count</t>
        </is>
      </c>
      <c r="N1" s="4" t="inlineStr">
        <is>
          <t>paid</t>
        </is>
      </c>
      <c r="O1" s="4" t="inlineStr">
        <is>
          <t>incurred</t>
        </is>
      </c>
      <c r="P1" s="4" t="inlineStr">
        <is>
          <t>exposure</t>
        </is>
      </c>
      <c r="Q1" s="4" t="inlineStr">
        <is>
          <t>risk_band</t>
        </is>
      </c>
      <c r="R1" s="4" t="inlineStr">
        <is>
          <t>loss_ratio</t>
        </is>
      </c>
    </row>
    <row r="2">
      <c r="A2" s="9" t="inlineStr">
        <is>
          <t>T0004</t>
        </is>
      </c>
      <c r="B2" s="9" t="inlineStr">
        <is>
          <t>Northwind General</t>
        </is>
      </c>
      <c r="C2" s="9" t="inlineStr">
        <is>
          <t>Property</t>
        </is>
      </c>
      <c r="D2" s="9" t="inlineStr">
        <is>
          <t>Asia Pacific</t>
        </is>
      </c>
      <c r="E2" s="9" t="inlineStr">
        <is>
          <t>Omar Haddad</t>
        </is>
      </c>
      <c r="F2" s="9" t="inlineStr">
        <is>
          <t>Proportional</t>
        </is>
      </c>
      <c r="G2" s="9" t="n">
        <v>2026</v>
      </c>
      <c r="H2" s="12" t="n">
        <v>22899999.99996</v>
      </c>
      <c r="I2" s="12" t="n">
        <v>1032836.38416</v>
      </c>
      <c r="J2" s="12" t="n">
        <v>99769.85844</v>
      </c>
      <c r="K2" s="12" t="n">
        <v>968898.8937600001</v>
      </c>
      <c r="L2" s="12" t="n">
        <v>240665.6134319228</v>
      </c>
      <c r="M2" s="9" t="n">
        <v>5</v>
      </c>
      <c r="N2" s="12" t="n">
        <v>137988.10416</v>
      </c>
      <c r="O2" s="12" t="n">
        <v>300765.65328</v>
      </c>
      <c r="P2" s="12" t="n">
        <v>4580000.00004</v>
      </c>
      <c r="Q2" s="9" t="inlineStr">
        <is>
          <t>Low</t>
        </is>
      </c>
      <c r="R2" s="11">
        <f>IFERROR(O2/K2,0)</f>
        <v/>
      </c>
    </row>
    <row r="3">
      <c r="A3" s="9" t="inlineStr">
        <is>
          <t>T0010</t>
        </is>
      </c>
      <c r="B3" s="9" t="inlineStr">
        <is>
          <t>Granite Assurance</t>
        </is>
      </c>
      <c r="C3" s="9" t="inlineStr">
        <is>
          <t>Property</t>
        </is>
      </c>
      <c r="D3" s="9" t="inlineStr">
        <is>
          <t>Asia Pacific</t>
        </is>
      </c>
      <c r="E3" s="9" t="inlineStr">
        <is>
          <t>Priya Nair</t>
        </is>
      </c>
      <c r="F3" s="9" t="inlineStr">
        <is>
          <t>Excess of Loss</t>
        </is>
      </c>
      <c r="G3" s="9" t="n">
        <v>2023</v>
      </c>
      <c r="H3" s="12" t="n">
        <v>16200000</v>
      </c>
      <c r="I3" s="12" t="n">
        <v>1858151.28</v>
      </c>
      <c r="J3" s="12" t="n">
        <v>97597.92</v>
      </c>
      <c r="K3" s="12" t="n">
        <v>1858151.28</v>
      </c>
      <c r="L3" s="12" t="n">
        <v>169428.96</v>
      </c>
      <c r="M3" s="9" t="n">
        <v>15</v>
      </c>
      <c r="N3" s="12" t="n">
        <v>490576.76</v>
      </c>
      <c r="O3" s="12" t="n">
        <v>545775.98</v>
      </c>
      <c r="P3" s="12" t="n">
        <v>16200000</v>
      </c>
      <c r="Q3" s="9" t="inlineStr">
        <is>
          <t>Low</t>
        </is>
      </c>
      <c r="R3" s="11">
        <f>IFERROR(O3/K3,0)</f>
        <v/>
      </c>
    </row>
    <row r="4">
      <c r="A4" s="9" t="inlineStr">
        <is>
          <t>T0015</t>
        </is>
      </c>
      <c r="B4" s="9" t="inlineStr">
        <is>
          <t>Granite General</t>
        </is>
      </c>
      <c r="C4" s="9" t="inlineStr">
        <is>
          <t>Property</t>
        </is>
      </c>
      <c r="D4" s="9" t="inlineStr">
        <is>
          <t>Asia Pacific</t>
        </is>
      </c>
      <c r="E4" s="9" t="inlineStr">
        <is>
          <t>Kenji Sato</t>
        </is>
      </c>
      <c r="F4" s="9" t="inlineStr">
        <is>
          <t>Proportional</t>
        </is>
      </c>
      <c r="G4" s="9" t="n">
        <v>2024</v>
      </c>
      <c r="H4" s="12" t="n">
        <v>34300000</v>
      </c>
      <c r="I4" s="12" t="n">
        <v>2470818.24</v>
      </c>
      <c r="J4" s="12" t="n">
        <v>201068.28</v>
      </c>
      <c r="K4" s="12" t="n">
        <v>2470818.24</v>
      </c>
      <c r="L4" s="12" t="n">
        <v>680949.96</v>
      </c>
      <c r="M4" s="9" t="n">
        <v>9</v>
      </c>
      <c r="N4" s="12" t="n">
        <v>1972769.76</v>
      </c>
      <c r="O4" s="12" t="n">
        <v>2008666.04</v>
      </c>
      <c r="P4" s="12" t="n">
        <v>6860000</v>
      </c>
      <c r="Q4" s="9" t="inlineStr">
        <is>
          <t>Low</t>
        </is>
      </c>
      <c r="R4" s="11">
        <f>IFERROR(O4/K4,0)</f>
        <v/>
      </c>
    </row>
    <row r="5">
      <c r="A5" s="9" t="inlineStr">
        <is>
          <t>T0022</t>
        </is>
      </c>
      <c r="B5" s="9" t="inlineStr">
        <is>
          <t>Northwind Mutual</t>
        </is>
      </c>
      <c r="C5" s="9" t="inlineStr">
        <is>
          <t>Professional</t>
        </is>
      </c>
      <c r="D5" s="9" t="inlineStr">
        <is>
          <t>Asia Pacific</t>
        </is>
      </c>
      <c r="E5" s="9" t="inlineStr">
        <is>
          <t>Omar Haddad</t>
        </is>
      </c>
      <c r="F5" s="9" t="inlineStr">
        <is>
          <t>Facultative</t>
        </is>
      </c>
      <c r="G5" s="9" t="n">
        <v>2024</v>
      </c>
      <c r="H5" s="12" t="n">
        <v>15000000</v>
      </c>
      <c r="I5" s="12" t="n">
        <v>1719241.14528</v>
      </c>
      <c r="J5" s="12" t="n">
        <v>197247.01824</v>
      </c>
      <c r="K5" s="12" t="n">
        <v>1719241.14528</v>
      </c>
      <c r="L5" s="12" t="n">
        <v>265177.4112</v>
      </c>
      <c r="M5" s="9" t="n">
        <v>4</v>
      </c>
      <c r="N5" s="12" t="n">
        <v>1398201.80568</v>
      </c>
      <c r="O5" s="12" t="n">
        <v>1464519.76716</v>
      </c>
      <c r="P5" s="12" t="n">
        <v>15000000</v>
      </c>
      <c r="Q5" s="9" t="inlineStr">
        <is>
          <t>Low</t>
        </is>
      </c>
      <c r="R5" s="11">
        <f>IFERROR(O5/K5,0)</f>
        <v/>
      </c>
    </row>
    <row r="6">
      <c r="A6" s="9" t="inlineStr">
        <is>
          <t>T0023</t>
        </is>
      </c>
      <c r="B6" s="9" t="inlineStr">
        <is>
          <t>Sterling Insurance</t>
        </is>
      </c>
      <c r="C6" s="9" t="inlineStr">
        <is>
          <t>Property</t>
        </is>
      </c>
      <c r="D6" s="9" t="inlineStr">
        <is>
          <t>Asia Pacific</t>
        </is>
      </c>
      <c r="E6" s="9" t="inlineStr">
        <is>
          <t>Aarav Mehta</t>
        </is>
      </c>
      <c r="F6" s="9" t="inlineStr">
        <is>
          <t>Excess of Loss</t>
        </is>
      </c>
      <c r="G6" s="9" t="n">
        <v>2023</v>
      </c>
      <c r="H6" s="12" t="n">
        <v>6600000</v>
      </c>
      <c r="I6" s="12" t="n">
        <v>581182.99488</v>
      </c>
      <c r="J6" s="12" t="n">
        <v>31051.1304</v>
      </c>
      <c r="K6" s="12" t="n">
        <v>581182.99488</v>
      </c>
      <c r="L6" s="12" t="n">
        <v>59141.29968</v>
      </c>
      <c r="M6" s="9" t="n">
        <v>10</v>
      </c>
      <c r="N6" s="12" t="n">
        <v>424860.12816</v>
      </c>
      <c r="O6" s="12" t="n">
        <v>430495.06416</v>
      </c>
      <c r="P6" s="12" t="n">
        <v>6600000</v>
      </c>
      <c r="Q6" s="9" t="inlineStr">
        <is>
          <t>Low</t>
        </is>
      </c>
      <c r="R6" s="11">
        <f>IFERROR(O6/K6,0)</f>
        <v/>
      </c>
    </row>
    <row r="7">
      <c r="A7" s="9" t="inlineStr">
        <is>
          <t>T0031</t>
        </is>
      </c>
      <c r="B7" s="9" t="inlineStr">
        <is>
          <t>Northwind General</t>
        </is>
      </c>
      <c r="C7" s="9" t="inlineStr">
        <is>
          <t>Casualty</t>
        </is>
      </c>
      <c r="D7" s="9" t="inlineStr">
        <is>
          <t>Asia Pacific</t>
        </is>
      </c>
      <c r="E7" s="9" t="inlineStr">
        <is>
          <t>Priya Nair</t>
        </is>
      </c>
      <c r="F7" s="9" t="inlineStr">
        <is>
          <t>Proportional</t>
        </is>
      </c>
      <c r="G7" s="9" t="n">
        <v>2023</v>
      </c>
      <c r="H7" s="12" t="n">
        <v>6300000</v>
      </c>
      <c r="I7" s="12" t="n">
        <v>1136747.01024</v>
      </c>
      <c r="J7" s="12" t="n">
        <v>89987.9328</v>
      </c>
      <c r="K7" s="12" t="n">
        <v>1136747.01024</v>
      </c>
      <c r="L7" s="12" t="n">
        <v>329450.85072</v>
      </c>
      <c r="M7" s="9" t="n">
        <v>14</v>
      </c>
      <c r="N7" s="12" t="n">
        <v>522756.0012000001</v>
      </c>
      <c r="O7" s="12" t="n">
        <v>595718.77992</v>
      </c>
      <c r="P7" s="12" t="n">
        <v>1890000</v>
      </c>
      <c r="Q7" s="9" t="inlineStr">
        <is>
          <t>Low</t>
        </is>
      </c>
      <c r="R7" s="11">
        <f>IFERROR(O7/K7,0)</f>
        <v/>
      </c>
    </row>
    <row r="8">
      <c r="A8" s="9" t="inlineStr">
        <is>
          <t>T0032</t>
        </is>
      </c>
      <c r="B8" s="9" t="inlineStr">
        <is>
          <t>Granite General</t>
        </is>
      </c>
      <c r="C8" s="9" t="inlineStr">
        <is>
          <t>Property</t>
        </is>
      </c>
      <c r="D8" s="9" t="inlineStr">
        <is>
          <t>Asia Pacific</t>
        </is>
      </c>
      <c r="E8" s="9" t="inlineStr">
        <is>
          <t>Aarav Mehta</t>
        </is>
      </c>
      <c r="F8" s="9" t="inlineStr">
        <is>
          <t>Excess of Loss</t>
        </is>
      </c>
      <c r="G8" s="9" t="n">
        <v>2025</v>
      </c>
      <c r="H8" s="12" t="n">
        <v>9400000</v>
      </c>
      <c r="I8" s="12" t="n">
        <v>1170447</v>
      </c>
      <c r="J8" s="12" t="n">
        <v>84944.39999999999</v>
      </c>
      <c r="K8" s="12" t="n">
        <v>1170447</v>
      </c>
      <c r="L8" s="12" t="n">
        <v>127443.24</v>
      </c>
      <c r="M8" s="9" t="n">
        <v>11</v>
      </c>
      <c r="N8" s="12" t="n">
        <v>1087091.11</v>
      </c>
      <c r="O8" s="12" t="n">
        <v>1301913.97</v>
      </c>
      <c r="P8" s="12" t="n">
        <v>9400000</v>
      </c>
      <c r="Q8" s="9" t="inlineStr">
        <is>
          <t>Low</t>
        </is>
      </c>
      <c r="R8" s="11">
        <f>IFERROR(O8/K8,0)</f>
        <v/>
      </c>
    </row>
    <row r="9">
      <c r="A9" s="9" t="inlineStr">
        <is>
          <t>T0038</t>
        </is>
      </c>
      <c r="B9" s="9" t="inlineStr">
        <is>
          <t>Granite Insurance</t>
        </is>
      </c>
      <c r="C9" s="9" t="inlineStr">
        <is>
          <t>Property</t>
        </is>
      </c>
      <c r="D9" s="9" t="inlineStr">
        <is>
          <t>Asia Pacific</t>
        </is>
      </c>
      <c r="E9" s="9" t="inlineStr">
        <is>
          <t>Omar Haddad</t>
        </is>
      </c>
      <c r="F9" s="9" t="inlineStr">
        <is>
          <t>Excess of Loss</t>
        </is>
      </c>
      <c r="G9" s="9" t="n">
        <v>2025</v>
      </c>
      <c r="H9" s="12" t="n">
        <v>8800000</v>
      </c>
      <c r="I9" s="12" t="n">
        <v>1178208.84</v>
      </c>
      <c r="J9" s="12" t="n">
        <v>127879.44</v>
      </c>
      <c r="K9" s="12" t="n">
        <v>1178208.84</v>
      </c>
      <c r="L9" s="12" t="n">
        <v>83220.24000000001</v>
      </c>
      <c r="M9" s="9" t="n">
        <v>5</v>
      </c>
      <c r="N9" s="12" t="n">
        <v>355376.77</v>
      </c>
      <c r="O9" s="12" t="n">
        <v>613801.25</v>
      </c>
      <c r="P9" s="12" t="n">
        <v>8800000</v>
      </c>
      <c r="Q9" s="9" t="inlineStr">
        <is>
          <t>Low</t>
        </is>
      </c>
      <c r="R9" s="11">
        <f>IFERROR(O9/K9,0)</f>
        <v/>
      </c>
    </row>
    <row r="10">
      <c r="A10" s="9" t="inlineStr">
        <is>
          <t>T0039</t>
        </is>
      </c>
      <c r="B10" s="9" t="inlineStr">
        <is>
          <t>Granite General</t>
        </is>
      </c>
      <c r="C10" s="9" t="inlineStr">
        <is>
          <t>Specialty</t>
        </is>
      </c>
      <c r="D10" s="9" t="inlineStr">
        <is>
          <t>Asia Pacific</t>
        </is>
      </c>
      <c r="E10" s="9" t="inlineStr">
        <is>
          <t>Kenji Sato</t>
        </is>
      </c>
      <c r="F10" s="9" t="inlineStr">
        <is>
          <t>Excess of Loss</t>
        </is>
      </c>
      <c r="G10" s="9" t="n">
        <v>2022</v>
      </c>
      <c r="H10" s="12" t="n">
        <v>14400000</v>
      </c>
      <c r="I10" s="12" t="n">
        <v>1447081.08</v>
      </c>
      <c r="J10" s="12" t="n">
        <v>149178.96</v>
      </c>
      <c r="K10" s="12" t="n">
        <v>1447081.08</v>
      </c>
      <c r="L10" s="12" t="n">
        <v>145871.4</v>
      </c>
      <c r="M10" s="9" t="n">
        <v>9</v>
      </c>
      <c r="N10" s="12" t="n">
        <v>679322.1799999999</v>
      </c>
      <c r="O10" s="12" t="n">
        <v>679322.1799999999</v>
      </c>
      <c r="P10" s="12" t="n">
        <v>14400000</v>
      </c>
      <c r="Q10" s="9" t="inlineStr">
        <is>
          <t>Low</t>
        </is>
      </c>
      <c r="R10" s="11">
        <f>IFERROR(O10/K10,0)</f>
        <v/>
      </c>
    </row>
    <row r="11">
      <c r="A11" s="9" t="inlineStr">
        <is>
          <t>T0051</t>
        </is>
      </c>
      <c r="B11" s="9" t="inlineStr">
        <is>
          <t>Summit Indemnity</t>
        </is>
      </c>
      <c r="C11" s="9" t="inlineStr">
        <is>
          <t>Property</t>
        </is>
      </c>
      <c r="D11" s="9" t="inlineStr">
        <is>
          <t>Asia Pacific</t>
        </is>
      </c>
      <c r="E11" s="9" t="inlineStr">
        <is>
          <t>James Whitfield</t>
        </is>
      </c>
      <c r="F11" s="9" t="inlineStr">
        <is>
          <t>Excess of Loss</t>
        </is>
      </c>
      <c r="G11" s="9" t="n">
        <v>2026</v>
      </c>
      <c r="H11" s="12" t="n">
        <v>18300000</v>
      </c>
      <c r="I11" s="12" t="n">
        <v>1593514.35</v>
      </c>
      <c r="J11" s="12" t="n">
        <v>162399.87</v>
      </c>
      <c r="K11" s="12" t="n">
        <v>1587612.44</v>
      </c>
      <c r="L11" s="12" t="n">
        <v>189246.9690706554</v>
      </c>
      <c r="M11" s="9" t="n">
        <v>3</v>
      </c>
      <c r="N11" s="12" t="n">
        <v>851644.64</v>
      </c>
      <c r="O11" s="12" t="n">
        <v>946048.6599999999</v>
      </c>
      <c r="P11" s="12" t="n">
        <v>18300000</v>
      </c>
      <c r="Q11" s="9" t="inlineStr">
        <is>
          <t>Low</t>
        </is>
      </c>
      <c r="R11" s="11">
        <f>IFERROR(O11/K11,0)</f>
        <v/>
      </c>
    </row>
    <row r="12">
      <c r="A12" s="9" t="inlineStr">
        <is>
          <t>T0059</t>
        </is>
      </c>
      <c r="B12" s="9" t="inlineStr">
        <is>
          <t>Orion Insurance</t>
        </is>
      </c>
      <c r="C12" s="9" t="inlineStr">
        <is>
          <t>Specialty</t>
        </is>
      </c>
      <c r="D12" s="9" t="inlineStr">
        <is>
          <t>Asia Pacific</t>
        </is>
      </c>
      <c r="E12" s="9" t="inlineStr">
        <is>
          <t>Kenji Sato</t>
        </is>
      </c>
      <c r="F12" s="9" t="inlineStr">
        <is>
          <t>Excess of Loss</t>
        </is>
      </c>
      <c r="G12" s="9" t="n">
        <v>2023</v>
      </c>
      <c r="H12" s="12" t="n">
        <v>21900000</v>
      </c>
      <c r="I12" s="12" t="n">
        <v>2776799.76</v>
      </c>
      <c r="J12" s="12" t="n">
        <v>316241.52</v>
      </c>
      <c r="K12" s="12" t="n">
        <v>2776799.76</v>
      </c>
      <c r="L12" s="12" t="n">
        <v>261724.92</v>
      </c>
      <c r="M12" s="9" t="n">
        <v>10</v>
      </c>
      <c r="N12" s="12" t="n">
        <v>1412002.06</v>
      </c>
      <c r="O12" s="12" t="n">
        <v>1412002.06</v>
      </c>
      <c r="P12" s="12" t="n">
        <v>21900000</v>
      </c>
      <c r="Q12" s="9" t="inlineStr">
        <is>
          <t>Low</t>
        </is>
      </c>
      <c r="R12" s="11">
        <f>IFERROR(O12/K12,0)</f>
        <v/>
      </c>
    </row>
    <row r="13">
      <c r="A13" s="9" t="inlineStr">
        <is>
          <t>T0061</t>
        </is>
      </c>
      <c r="B13" s="9" t="inlineStr">
        <is>
          <t>Granite Insurance</t>
        </is>
      </c>
      <c r="C13" s="9" t="inlineStr">
        <is>
          <t>Casualty</t>
        </is>
      </c>
      <c r="D13" s="9" t="inlineStr">
        <is>
          <t>Asia Pacific</t>
        </is>
      </c>
      <c r="E13" s="9" t="inlineStr">
        <is>
          <t>Sophie Laurent</t>
        </is>
      </c>
      <c r="F13" s="9" t="inlineStr">
        <is>
          <t>Excess of Loss</t>
        </is>
      </c>
      <c r="G13" s="9" t="n">
        <v>2022</v>
      </c>
      <c r="H13" s="12" t="n">
        <v>6200000</v>
      </c>
      <c r="I13" s="12" t="n">
        <v>949776.8400000001</v>
      </c>
      <c r="J13" s="12" t="n">
        <v>98970.12</v>
      </c>
      <c r="K13" s="12" t="n">
        <v>949776.8400000001</v>
      </c>
      <c r="L13" s="12" t="n">
        <v>100510.8</v>
      </c>
      <c r="M13" s="9" t="n">
        <v>17</v>
      </c>
      <c r="N13" s="12" t="n">
        <v>912128.14</v>
      </c>
      <c r="O13" s="12" t="n">
        <v>994874.1899999999</v>
      </c>
      <c r="P13" s="12" t="n">
        <v>6200000</v>
      </c>
      <c r="Q13" s="9" t="inlineStr">
        <is>
          <t>Low</t>
        </is>
      </c>
      <c r="R13" s="11">
        <f>IFERROR(O13/K13,0)</f>
        <v/>
      </c>
    </row>
    <row r="14">
      <c r="A14" s="9" t="inlineStr">
        <is>
          <t>T0064</t>
        </is>
      </c>
      <c r="B14" s="9" t="inlineStr">
        <is>
          <t>Crown Insurance</t>
        </is>
      </c>
      <c r="C14" s="9" t="inlineStr">
        <is>
          <t>Property</t>
        </is>
      </c>
      <c r="D14" s="9" t="inlineStr">
        <is>
          <t>Asia Pacific</t>
        </is>
      </c>
      <c r="E14" s="9" t="inlineStr">
        <is>
          <t>Priya Nair</t>
        </is>
      </c>
      <c r="F14" s="9" t="inlineStr">
        <is>
          <t>Proportional</t>
        </is>
      </c>
      <c r="G14" s="9" t="n">
        <v>2025</v>
      </c>
      <c r="H14" s="12" t="n">
        <v>28300000</v>
      </c>
      <c r="I14" s="12" t="n">
        <v>2669162.3</v>
      </c>
      <c r="J14" s="12" t="n">
        <v>288932.6</v>
      </c>
      <c r="K14" s="12" t="n">
        <v>2420040.49</v>
      </c>
      <c r="L14" s="12" t="n">
        <v>544852.5397173289</v>
      </c>
      <c r="M14" s="9" t="n">
        <v>13</v>
      </c>
      <c r="N14" s="12" t="n">
        <v>520339.65</v>
      </c>
      <c r="O14" s="12" t="n">
        <v>1731230.31</v>
      </c>
      <c r="P14" s="12" t="n">
        <v>5660000</v>
      </c>
      <c r="Q14" s="9" t="inlineStr">
        <is>
          <t>Low</t>
        </is>
      </c>
      <c r="R14" s="11">
        <f>IFERROR(O14/K14,0)</f>
        <v/>
      </c>
    </row>
    <row r="15">
      <c r="A15" s="9" t="inlineStr">
        <is>
          <t>T0065</t>
        </is>
      </c>
      <c r="B15" s="9" t="inlineStr">
        <is>
          <t>Sterling Insurance</t>
        </is>
      </c>
      <c r="C15" s="9" t="inlineStr">
        <is>
          <t>Casualty</t>
        </is>
      </c>
      <c r="D15" s="9" t="inlineStr">
        <is>
          <t>Asia Pacific</t>
        </is>
      </c>
      <c r="E15" s="9" t="inlineStr">
        <is>
          <t>Hannah Weber</t>
        </is>
      </c>
      <c r="F15" s="9" t="inlineStr">
        <is>
          <t>Excess of Loss</t>
        </is>
      </c>
      <c r="G15" s="9" t="n">
        <v>2023</v>
      </c>
      <c r="H15" s="12" t="n">
        <v>14499999.99996</v>
      </c>
      <c r="I15" s="12" t="n">
        <v>1222452.6264</v>
      </c>
      <c r="J15" s="12" t="n">
        <v>106804.22112</v>
      </c>
      <c r="K15" s="12" t="n">
        <v>1222452.6264</v>
      </c>
      <c r="L15" s="12" t="n">
        <v>69345.6624</v>
      </c>
      <c r="M15" s="9" t="n">
        <v>8</v>
      </c>
      <c r="N15" s="12" t="n">
        <v>212921.29308</v>
      </c>
      <c r="O15" s="12" t="n">
        <v>462056.24148</v>
      </c>
      <c r="P15" s="12" t="n">
        <v>14499999.99996</v>
      </c>
      <c r="Q15" s="9" t="inlineStr">
        <is>
          <t>Low</t>
        </is>
      </c>
      <c r="R15" s="11">
        <f>IFERROR(O15/K15,0)</f>
        <v/>
      </c>
    </row>
    <row r="16">
      <c r="A16" s="9" t="inlineStr">
        <is>
          <t>T0067</t>
        </is>
      </c>
      <c r="B16" s="9" t="inlineStr">
        <is>
          <t>Sterling Insurance</t>
        </is>
      </c>
      <c r="C16" s="9" t="inlineStr">
        <is>
          <t>Property</t>
        </is>
      </c>
      <c r="D16" s="9" t="inlineStr">
        <is>
          <t>Asia Pacific</t>
        </is>
      </c>
      <c r="E16" s="9" t="inlineStr">
        <is>
          <t>Kenji Sato</t>
        </is>
      </c>
      <c r="F16" s="9" t="inlineStr">
        <is>
          <t>Proportional</t>
        </is>
      </c>
      <c r="G16" s="9" t="n">
        <v>2023</v>
      </c>
      <c r="H16" s="12" t="n">
        <v>39900000</v>
      </c>
      <c r="I16" s="12" t="n">
        <v>4185599.10336</v>
      </c>
      <c r="J16" s="12" t="n">
        <v>270333.42192</v>
      </c>
      <c r="K16" s="12" t="n">
        <v>4185599.10336</v>
      </c>
      <c r="L16" s="12" t="n">
        <v>1234863.06768</v>
      </c>
      <c r="M16" s="9" t="n">
        <v>10</v>
      </c>
      <c r="N16" s="12" t="n">
        <v>2643599.38704</v>
      </c>
      <c r="O16" s="12" t="n">
        <v>4550726.52312</v>
      </c>
      <c r="P16" s="12" t="n">
        <v>7980000</v>
      </c>
      <c r="Q16" s="9" t="inlineStr">
        <is>
          <t>Low</t>
        </is>
      </c>
      <c r="R16" s="11">
        <f>IFERROR(O16/K16,0)</f>
        <v/>
      </c>
    </row>
    <row r="17">
      <c r="A17" s="9" t="inlineStr">
        <is>
          <t>T0069</t>
        </is>
      </c>
      <c r="B17" s="9" t="inlineStr">
        <is>
          <t>Orion Insurance</t>
        </is>
      </c>
      <c r="C17" s="9" t="inlineStr">
        <is>
          <t>Financial Lines</t>
        </is>
      </c>
      <c r="D17" s="9" t="inlineStr">
        <is>
          <t>Asia Pacific</t>
        </is>
      </c>
      <c r="E17" s="9" t="inlineStr">
        <is>
          <t>Sophie Laurent</t>
        </is>
      </c>
      <c r="F17" s="9" t="inlineStr">
        <is>
          <t>Excess of Loss</t>
        </is>
      </c>
      <c r="G17" s="9" t="n">
        <v>2025</v>
      </c>
      <c r="H17" s="12" t="n">
        <v>3900000</v>
      </c>
      <c r="I17" s="12" t="n">
        <v>510411.72</v>
      </c>
      <c r="J17" s="12" t="n">
        <v>50907.12</v>
      </c>
      <c r="K17" s="12" t="n">
        <v>510411.72</v>
      </c>
      <c r="L17" s="12" t="n">
        <v>45203.87999999999</v>
      </c>
      <c r="M17" s="9" t="n">
        <v>5</v>
      </c>
      <c r="N17" s="12" t="n">
        <v>443995.74</v>
      </c>
      <c r="O17" s="12" t="n">
        <v>480600.26</v>
      </c>
      <c r="P17" s="12" t="n">
        <v>3900000</v>
      </c>
      <c r="Q17" s="9" t="inlineStr">
        <is>
          <t>Low</t>
        </is>
      </c>
      <c r="R17" s="11">
        <f>IFERROR(O17/K17,0)</f>
        <v/>
      </c>
    </row>
    <row r="18">
      <c r="A18" s="9" t="inlineStr">
        <is>
          <t>T0070</t>
        </is>
      </c>
      <c r="B18" s="9" t="inlineStr">
        <is>
          <t>Summit Indemnity</t>
        </is>
      </c>
      <c r="C18" s="9" t="inlineStr">
        <is>
          <t>Property</t>
        </is>
      </c>
      <c r="D18" s="9" t="inlineStr">
        <is>
          <t>Asia Pacific</t>
        </is>
      </c>
      <c r="E18" s="9" t="inlineStr">
        <is>
          <t>Priya Nair</t>
        </is>
      </c>
      <c r="F18" s="9" t="inlineStr">
        <is>
          <t>Excess of Loss</t>
        </is>
      </c>
      <c r="G18" s="9" t="n">
        <v>2024</v>
      </c>
      <c r="H18" s="12" t="n">
        <v>15000000</v>
      </c>
      <c r="I18" s="12" t="n">
        <v>1267598.4</v>
      </c>
      <c r="J18" s="12" t="n">
        <v>109690.68</v>
      </c>
      <c r="K18" s="12" t="n">
        <v>1267598.4</v>
      </c>
      <c r="L18" s="12" t="n">
        <v>97574.51999999999</v>
      </c>
      <c r="M18" s="9" t="n">
        <v>12</v>
      </c>
      <c r="N18" s="12" t="n">
        <v>584081.1900000001</v>
      </c>
      <c r="O18" s="12" t="n">
        <v>589567.28</v>
      </c>
      <c r="P18" s="12" t="n">
        <v>15000000</v>
      </c>
      <c r="Q18" s="9" t="inlineStr">
        <is>
          <t>Low</t>
        </is>
      </c>
      <c r="R18" s="11">
        <f>IFERROR(O18/K18,0)</f>
        <v/>
      </c>
    </row>
    <row r="19">
      <c r="A19" s="9" t="inlineStr">
        <is>
          <t>T0078</t>
        </is>
      </c>
      <c r="B19" s="9" t="inlineStr">
        <is>
          <t>Sterling Insurance</t>
        </is>
      </c>
      <c r="C19" s="9" t="inlineStr">
        <is>
          <t>Unmapped</t>
        </is>
      </c>
      <c r="D19" s="9" t="inlineStr">
        <is>
          <t>Asia Pacific</t>
        </is>
      </c>
      <c r="E19" s="9" t="inlineStr">
        <is>
          <t>Hannah Weber</t>
        </is>
      </c>
      <c r="F19" s="9" t="inlineStr">
        <is>
          <t>Facultative</t>
        </is>
      </c>
      <c r="G19" s="9" t="n">
        <v>2024</v>
      </c>
      <c r="H19" s="12" t="n">
        <v>44100000</v>
      </c>
      <c r="I19" s="12" t="n">
        <v>5170105.2312</v>
      </c>
      <c r="J19" s="12" t="n">
        <v>504753.84</v>
      </c>
      <c r="K19" s="12" t="n">
        <v>5170105.2312</v>
      </c>
      <c r="L19" s="12" t="n">
        <v>925184.52144</v>
      </c>
      <c r="M19" s="9" t="n">
        <v>10</v>
      </c>
      <c r="N19" s="12" t="n">
        <v>1896891.49356</v>
      </c>
      <c r="O19" s="12" t="n">
        <v>2128751.37984</v>
      </c>
      <c r="P19" s="12" t="n">
        <v>44100000</v>
      </c>
      <c r="Q19" s="9" t="inlineStr">
        <is>
          <t>Low</t>
        </is>
      </c>
      <c r="R19" s="11">
        <f>IFERROR(O19/K19,0)</f>
        <v/>
      </c>
    </row>
    <row r="20">
      <c r="A20" s="9" t="inlineStr">
        <is>
          <t>T0083</t>
        </is>
      </c>
      <c r="B20" s="9" t="inlineStr">
        <is>
          <t>Northwind General</t>
        </is>
      </c>
      <c r="C20" s="9" t="inlineStr">
        <is>
          <t>Casualty</t>
        </is>
      </c>
      <c r="D20" s="9" t="inlineStr">
        <is>
          <t>Asia Pacific</t>
        </is>
      </c>
      <c r="E20" s="9" t="inlineStr">
        <is>
          <t>Sophie Laurent</t>
        </is>
      </c>
      <c r="F20" s="9" t="inlineStr">
        <is>
          <t>Proportional</t>
        </is>
      </c>
      <c r="G20" s="9" t="n">
        <v>2022</v>
      </c>
      <c r="H20" s="12" t="n">
        <v>15399999.99996</v>
      </c>
      <c r="I20" s="12" t="n">
        <v>2630560.13856</v>
      </c>
      <c r="J20" s="12" t="n">
        <v>251525.90736</v>
      </c>
      <c r="K20" s="12" t="n">
        <v>2630560.13856</v>
      </c>
      <c r="L20" s="12" t="n">
        <v>827921.40048</v>
      </c>
      <c r="M20" s="9" t="n">
        <v>9</v>
      </c>
      <c r="N20" s="12" t="n">
        <v>1900968.06864</v>
      </c>
      <c r="O20" s="12" t="n">
        <v>1983010.09104</v>
      </c>
      <c r="P20" s="12" t="n">
        <v>1539999.99996</v>
      </c>
      <c r="Q20" s="9" t="inlineStr">
        <is>
          <t>Low</t>
        </is>
      </c>
      <c r="R20" s="11">
        <f>IFERROR(O20/K20,0)</f>
        <v/>
      </c>
    </row>
    <row r="21">
      <c r="A21" s="9" t="inlineStr">
        <is>
          <t>T0084</t>
        </is>
      </c>
      <c r="B21" s="9" t="inlineStr">
        <is>
          <t>Orion Insurance</t>
        </is>
      </c>
      <c r="C21" s="9" t="inlineStr">
        <is>
          <t>Specialty</t>
        </is>
      </c>
      <c r="D21" s="9" t="inlineStr">
        <is>
          <t>Asia Pacific</t>
        </is>
      </c>
      <c r="E21" s="9" t="inlineStr">
        <is>
          <t>Carlos Ibarra</t>
        </is>
      </c>
      <c r="F21" s="9" t="inlineStr">
        <is>
          <t>Proportional</t>
        </is>
      </c>
      <c r="G21" s="9" t="n">
        <v>2023</v>
      </c>
      <c r="H21" s="12" t="n">
        <v>28100000</v>
      </c>
      <c r="I21" s="12" t="n">
        <v>2013952.44</v>
      </c>
      <c r="J21" s="12" t="n">
        <v>227998.08</v>
      </c>
      <c r="K21" s="12" t="n">
        <v>2013952.44</v>
      </c>
      <c r="L21" s="12" t="n">
        <v>636148.6800000001</v>
      </c>
      <c r="M21" s="9" t="n">
        <v>7</v>
      </c>
      <c r="N21" s="12" t="n">
        <v>1062571.47</v>
      </c>
      <c r="O21" s="12" t="n">
        <v>1240890.9</v>
      </c>
      <c r="P21" s="12" t="n">
        <v>4215000</v>
      </c>
      <c r="Q21" s="9" t="inlineStr">
        <is>
          <t>Low</t>
        </is>
      </c>
      <c r="R21" s="11">
        <f>IFERROR(O21/K21,0)</f>
        <v/>
      </c>
    </row>
    <row r="22">
      <c r="A22" s="9" t="inlineStr">
        <is>
          <t>T0085</t>
        </is>
      </c>
      <c r="B22" s="9" t="inlineStr">
        <is>
          <t>Northwind Mutual</t>
        </is>
      </c>
      <c r="C22" s="9" t="inlineStr">
        <is>
          <t>Financial Lines</t>
        </is>
      </c>
      <c r="D22" s="9" t="inlineStr">
        <is>
          <t>Asia Pacific</t>
        </is>
      </c>
      <c r="E22" s="9" t="inlineStr">
        <is>
          <t>Aarav Mehta</t>
        </is>
      </c>
      <c r="F22" s="9" t="inlineStr">
        <is>
          <t>Excess of Loss</t>
        </is>
      </c>
      <c r="G22" s="9" t="n">
        <v>2025</v>
      </c>
      <c r="H22" s="12" t="n">
        <v>16599999.99996</v>
      </c>
      <c r="I22" s="12" t="n">
        <v>2154882.1932</v>
      </c>
      <c r="J22" s="12" t="n">
        <v>174871.1112</v>
      </c>
      <c r="K22" s="12" t="n">
        <v>1953759.85512</v>
      </c>
      <c r="L22" s="12" t="n">
        <v>175294.0067156934</v>
      </c>
      <c r="M22" s="9" t="n">
        <v>10</v>
      </c>
      <c r="N22" s="12" t="n">
        <v>688439.01984</v>
      </c>
      <c r="O22" s="12" t="n">
        <v>1003854.6528</v>
      </c>
      <c r="P22" s="12" t="n">
        <v>16599999.99996</v>
      </c>
      <c r="Q22" s="9" t="inlineStr">
        <is>
          <t>Low</t>
        </is>
      </c>
      <c r="R22" s="11">
        <f>IFERROR(O22/K22,0)</f>
        <v/>
      </c>
    </row>
    <row r="23">
      <c r="A23" s="9" t="inlineStr">
        <is>
          <t>T0089</t>
        </is>
      </c>
      <c r="B23" s="9" t="inlineStr">
        <is>
          <t>Crown Insurance</t>
        </is>
      </c>
      <c r="C23" s="9" t="inlineStr">
        <is>
          <t>Financial Lines</t>
        </is>
      </c>
      <c r="D23" s="9" t="inlineStr">
        <is>
          <t>Asia Pacific</t>
        </is>
      </c>
      <c r="E23" s="9" t="inlineStr">
        <is>
          <t>Hannah Weber</t>
        </is>
      </c>
      <c r="F23" s="9" t="inlineStr">
        <is>
          <t>Proportional</t>
        </is>
      </c>
      <c r="G23" s="9" t="n">
        <v>2026</v>
      </c>
      <c r="H23" s="12" t="n">
        <v>5900000</v>
      </c>
      <c r="I23" s="12" t="n">
        <v>797242.0499999999</v>
      </c>
      <c r="J23" s="12" t="n">
        <v>51127.74</v>
      </c>
      <c r="K23" s="12" t="n">
        <v>767714.5699999999</v>
      </c>
      <c r="L23" s="12" t="n">
        <v>183877.2007983748</v>
      </c>
      <c r="M23" s="9" t="n">
        <v>7</v>
      </c>
      <c r="N23" s="12" t="n">
        <v>133385.27</v>
      </c>
      <c r="O23" s="12" t="n">
        <v>370293.9</v>
      </c>
      <c r="P23" s="12" t="n">
        <v>885000</v>
      </c>
      <c r="Q23" s="9" t="inlineStr">
        <is>
          <t>Low</t>
        </is>
      </c>
      <c r="R23" s="11">
        <f>IFERROR(O23/K23,0)</f>
        <v/>
      </c>
    </row>
    <row r="24">
      <c r="A24" s="9" t="inlineStr">
        <is>
          <t>T0104</t>
        </is>
      </c>
      <c r="B24" s="9" t="inlineStr">
        <is>
          <t>Crown Insurance</t>
        </is>
      </c>
      <c r="C24" s="9" t="inlineStr">
        <is>
          <t>Professional</t>
        </is>
      </c>
      <c r="D24" s="9" t="inlineStr">
        <is>
          <t>Asia Pacific</t>
        </is>
      </c>
      <c r="E24" s="9" t="inlineStr">
        <is>
          <t>Carlos Ibarra</t>
        </is>
      </c>
      <c r="F24" s="9" t="inlineStr">
        <is>
          <t>Proportional</t>
        </is>
      </c>
      <c r="G24" s="9" t="n">
        <v>2021</v>
      </c>
      <c r="H24" s="12" t="n">
        <v>2400000</v>
      </c>
      <c r="I24" s="12" t="n">
        <v>352994.04</v>
      </c>
      <c r="J24" s="12" t="n">
        <v>34709.28</v>
      </c>
      <c r="K24" s="12" t="n">
        <v>352994.04</v>
      </c>
      <c r="L24" s="12" t="n">
        <v>84559.56</v>
      </c>
      <c r="M24" s="9" t="n">
        <v>8</v>
      </c>
      <c r="N24" s="12" t="n">
        <v>228415.93</v>
      </c>
      <c r="O24" s="12" t="n">
        <v>231481.99</v>
      </c>
      <c r="P24" s="12" t="n">
        <v>480000</v>
      </c>
      <c r="Q24" s="9" t="inlineStr">
        <is>
          <t>Low</t>
        </is>
      </c>
      <c r="R24" s="11">
        <f>IFERROR(O24/K24,0)</f>
        <v/>
      </c>
    </row>
    <row r="25">
      <c r="A25" s="9" t="inlineStr">
        <is>
          <t>T0107</t>
        </is>
      </c>
      <c r="B25" s="9" t="inlineStr">
        <is>
          <t>Summit Indemnity</t>
        </is>
      </c>
      <c r="C25" s="9" t="inlineStr">
        <is>
          <t>Property</t>
        </is>
      </c>
      <c r="D25" s="9" t="inlineStr">
        <is>
          <t>Asia Pacific</t>
        </is>
      </c>
      <c r="E25" s="9" t="inlineStr">
        <is>
          <t>Omar Haddad</t>
        </is>
      </c>
      <c r="F25" s="9" t="inlineStr">
        <is>
          <t>Proportional</t>
        </is>
      </c>
      <c r="G25" s="9" t="n">
        <v>2024</v>
      </c>
      <c r="H25" s="12" t="n">
        <v>33900000</v>
      </c>
      <c r="I25" s="12" t="n">
        <v>2675265.96</v>
      </c>
      <c r="J25" s="12" t="n">
        <v>191030.04</v>
      </c>
      <c r="K25" s="12" t="n">
        <v>2675265.96</v>
      </c>
      <c r="L25" s="12" t="n">
        <v>815522.8800000001</v>
      </c>
      <c r="M25" s="9" t="n">
        <v>7</v>
      </c>
      <c r="N25" s="12" t="n">
        <v>1086351.88</v>
      </c>
      <c r="O25" s="12" t="n">
        <v>1180499.09</v>
      </c>
      <c r="P25" s="12" t="n">
        <v>6780000</v>
      </c>
      <c r="Q25" s="9" t="inlineStr">
        <is>
          <t>Low</t>
        </is>
      </c>
      <c r="R25" s="11">
        <f>IFERROR(O25/K25,0)</f>
        <v/>
      </c>
    </row>
    <row r="26">
      <c r="A26" s="9" t="inlineStr">
        <is>
          <t>T0110</t>
        </is>
      </c>
      <c r="B26" s="9" t="inlineStr">
        <is>
          <t>Crown Insurance</t>
        </is>
      </c>
      <c r="C26" s="9" t="inlineStr">
        <is>
          <t>Property</t>
        </is>
      </c>
      <c r="D26" s="9" t="inlineStr">
        <is>
          <t>Asia Pacific</t>
        </is>
      </c>
      <c r="E26" s="9" t="inlineStr">
        <is>
          <t>Omar Haddad</t>
        </is>
      </c>
      <c r="F26" s="9" t="inlineStr">
        <is>
          <t>Facultative</t>
        </is>
      </c>
      <c r="G26" s="9" t="n">
        <v>2025</v>
      </c>
      <c r="H26" s="12" t="n">
        <v>36800000</v>
      </c>
      <c r="I26" s="12" t="n">
        <v>2652491.04</v>
      </c>
      <c r="J26" s="12" t="n">
        <v>150042.24</v>
      </c>
      <c r="K26" s="12" t="n">
        <v>2652491.04</v>
      </c>
      <c r="L26" s="12" t="n">
        <v>482517.72</v>
      </c>
      <c r="M26" s="9" t="n">
        <v>11</v>
      </c>
      <c r="N26" s="12" t="n">
        <v>970333.86</v>
      </c>
      <c r="O26" s="12" t="n">
        <v>1456138.98</v>
      </c>
      <c r="P26" s="12" t="n">
        <v>36800000</v>
      </c>
      <c r="Q26" s="9" t="inlineStr">
        <is>
          <t>Low</t>
        </is>
      </c>
      <c r="R26" s="11">
        <f>IFERROR(O26/K26,0)</f>
        <v/>
      </c>
    </row>
    <row r="27">
      <c r="A27" s="9" t="inlineStr">
        <is>
          <t>T0112</t>
        </is>
      </c>
      <c r="B27" s="9" t="inlineStr">
        <is>
          <t>Atlas Insurance</t>
        </is>
      </c>
      <c r="C27" s="9" t="inlineStr">
        <is>
          <t>Property</t>
        </is>
      </c>
      <c r="D27" s="9" t="inlineStr">
        <is>
          <t>Asia Pacific</t>
        </is>
      </c>
      <c r="E27" s="9" t="inlineStr">
        <is>
          <t>Hannah Weber</t>
        </is>
      </c>
      <c r="F27" s="9" t="inlineStr">
        <is>
          <t>Excess of Loss</t>
        </is>
      </c>
      <c r="G27" s="9" t="n">
        <v>2022</v>
      </c>
      <c r="H27" s="12" t="n">
        <v>4900000</v>
      </c>
      <c r="I27" s="12" t="n">
        <v>886328.64</v>
      </c>
      <c r="J27" s="12" t="n">
        <v>102956.28</v>
      </c>
      <c r="K27" s="12" t="n">
        <v>886328.64</v>
      </c>
      <c r="L27" s="12" t="n">
        <v>46233.12000000001</v>
      </c>
      <c r="M27" s="9" t="n">
        <v>9</v>
      </c>
      <c r="N27" s="12" t="n">
        <v>402245.16</v>
      </c>
      <c r="O27" s="12" t="n">
        <v>476759.5</v>
      </c>
      <c r="P27" s="12" t="n">
        <v>4900000</v>
      </c>
      <c r="Q27" s="9" t="inlineStr">
        <is>
          <t>Low</t>
        </is>
      </c>
      <c r="R27" s="11">
        <f>IFERROR(O27/K27,0)</f>
        <v/>
      </c>
    </row>
    <row r="28">
      <c r="A28" s="9" t="inlineStr">
        <is>
          <t>T0113</t>
        </is>
      </c>
      <c r="B28" s="9" t="inlineStr">
        <is>
          <t>Northwind Mutual</t>
        </is>
      </c>
      <c r="C28" s="9" t="inlineStr">
        <is>
          <t>Professional</t>
        </is>
      </c>
      <c r="D28" s="9" t="inlineStr">
        <is>
          <t>Asia Pacific</t>
        </is>
      </c>
      <c r="E28" s="9" t="inlineStr">
        <is>
          <t>James Whitfield</t>
        </is>
      </c>
      <c r="F28" s="9" t="inlineStr">
        <is>
          <t>Proportional</t>
        </is>
      </c>
      <c r="G28" s="9" t="n">
        <v>2022</v>
      </c>
      <c r="H28" s="12" t="n">
        <v>8700000</v>
      </c>
      <c r="I28" s="12" t="n">
        <v>890810.4312</v>
      </c>
      <c r="J28" s="12" t="n">
        <v>88814.85264000001</v>
      </c>
      <c r="K28" s="12" t="n">
        <v>890810.4312</v>
      </c>
      <c r="L28" s="12" t="n">
        <v>265396.47408</v>
      </c>
      <c r="M28" s="9" t="n">
        <v>11</v>
      </c>
      <c r="N28" s="12" t="n">
        <v>496787.4601200001</v>
      </c>
      <c r="O28" s="12" t="n">
        <v>496787.4601200001</v>
      </c>
      <c r="P28" s="12" t="n">
        <v>4350000</v>
      </c>
      <c r="Q28" s="9" t="inlineStr">
        <is>
          <t>Low</t>
        </is>
      </c>
      <c r="R28" s="11">
        <f>IFERROR(O28/K28,0)</f>
        <v/>
      </c>
    </row>
    <row r="29">
      <c r="A29" s="9" t="inlineStr">
        <is>
          <t>T0116</t>
        </is>
      </c>
      <c r="B29" s="9" t="inlineStr">
        <is>
          <t>Sterling Insurance</t>
        </is>
      </c>
      <c r="C29" s="9" t="inlineStr">
        <is>
          <t>Specialty</t>
        </is>
      </c>
      <c r="D29" s="9" t="inlineStr">
        <is>
          <t>Asia Pacific</t>
        </is>
      </c>
      <c r="E29" s="9" t="inlineStr">
        <is>
          <t>Hannah Weber</t>
        </is>
      </c>
      <c r="F29" s="9" t="inlineStr">
        <is>
          <t>Excess of Loss</t>
        </is>
      </c>
      <c r="G29" s="9" t="n">
        <v>2025</v>
      </c>
      <c r="H29" s="12" t="n">
        <v>12600000</v>
      </c>
      <c r="I29" s="12" t="n">
        <v>1295934.3576</v>
      </c>
      <c r="J29" s="12" t="n">
        <v>80192.40192</v>
      </c>
      <c r="K29" s="12" t="n">
        <v>1295934.3576</v>
      </c>
      <c r="L29" s="12" t="n">
        <v>96190.03728</v>
      </c>
      <c r="M29" s="9" t="n">
        <v>9</v>
      </c>
      <c r="N29" s="12" t="n">
        <v>609687.93348</v>
      </c>
      <c r="O29" s="12" t="n">
        <v>757246.28928</v>
      </c>
      <c r="P29" s="12" t="n">
        <v>12600000</v>
      </c>
      <c r="Q29" s="9" t="inlineStr">
        <is>
          <t>Low</t>
        </is>
      </c>
      <c r="R29" s="11">
        <f>IFERROR(O29/K29,0)</f>
        <v/>
      </c>
    </row>
    <row r="30">
      <c r="A30" s="9" t="inlineStr">
        <is>
          <t>T0129</t>
        </is>
      </c>
      <c r="B30" s="9" t="inlineStr">
        <is>
          <t>Granite General</t>
        </is>
      </c>
      <c r="C30" s="9" t="inlineStr">
        <is>
          <t>Casualty</t>
        </is>
      </c>
      <c r="D30" s="9" t="inlineStr">
        <is>
          <t>Asia Pacific</t>
        </is>
      </c>
      <c r="E30" s="9" t="inlineStr">
        <is>
          <t>Hannah Weber</t>
        </is>
      </c>
      <c r="F30" s="9" t="inlineStr">
        <is>
          <t>Excess of Loss</t>
        </is>
      </c>
      <c r="G30" s="9" t="n">
        <v>2024</v>
      </c>
      <c r="H30" s="12" t="n">
        <v>7000000</v>
      </c>
      <c r="I30" s="12" t="n">
        <v>566910.72</v>
      </c>
      <c r="J30" s="12" t="n">
        <v>30034.2</v>
      </c>
      <c r="K30" s="12" t="n">
        <v>566910.72</v>
      </c>
      <c r="L30" s="12" t="n">
        <v>47196.24000000001</v>
      </c>
      <c r="M30" s="9" t="n">
        <v>12</v>
      </c>
      <c r="N30" s="12" t="n">
        <v>197308.09</v>
      </c>
      <c r="O30" s="12" t="n">
        <v>198863.4</v>
      </c>
      <c r="P30" s="12" t="n">
        <v>7000000</v>
      </c>
      <c r="Q30" s="9" t="inlineStr">
        <is>
          <t>Low</t>
        </is>
      </c>
      <c r="R30" s="11">
        <f>IFERROR(O30/K30,0)</f>
        <v/>
      </c>
    </row>
    <row r="31">
      <c r="A31" s="9" t="inlineStr">
        <is>
          <t>T0130</t>
        </is>
      </c>
      <c r="B31" s="9" t="inlineStr">
        <is>
          <t>Meridian Insurance</t>
        </is>
      </c>
      <c r="C31" s="9" t="inlineStr">
        <is>
          <t>Casualty</t>
        </is>
      </c>
      <c r="D31" s="9" t="inlineStr">
        <is>
          <t>Asia Pacific</t>
        </is>
      </c>
      <c r="E31" s="9" t="inlineStr">
        <is>
          <t>Carlos Ibarra</t>
        </is>
      </c>
      <c r="F31" s="9" t="inlineStr">
        <is>
          <t>Excess of Loss</t>
        </is>
      </c>
      <c r="G31" s="9" t="n">
        <v>2023</v>
      </c>
      <c r="H31" s="12" t="n">
        <v>12700000</v>
      </c>
      <c r="I31" s="12" t="n">
        <v>955039.4399999999</v>
      </c>
      <c r="J31" s="12" t="n">
        <v>48557.64</v>
      </c>
      <c r="K31" s="12" t="n">
        <v>955039.4399999999</v>
      </c>
      <c r="L31" s="12" t="n">
        <v>48946.08000000001</v>
      </c>
      <c r="M31" s="9" t="n">
        <v>11</v>
      </c>
      <c r="N31" s="12" t="n">
        <v>1418796.89</v>
      </c>
      <c r="O31" s="12" t="n">
        <v>1505551.03</v>
      </c>
      <c r="P31" s="12" t="n">
        <v>12700000</v>
      </c>
      <c r="Q31" s="9" t="inlineStr">
        <is>
          <t>Low</t>
        </is>
      </c>
      <c r="R31" s="11">
        <f>IFERROR(O31/K31,0)</f>
        <v/>
      </c>
    </row>
    <row r="32">
      <c r="A32" s="9" t="inlineStr">
        <is>
          <t>T0133</t>
        </is>
      </c>
      <c r="B32" s="9" t="inlineStr">
        <is>
          <t>Northwind General</t>
        </is>
      </c>
      <c r="C32" s="9" t="inlineStr">
        <is>
          <t>Financial Lines</t>
        </is>
      </c>
      <c r="D32" s="9" t="inlineStr">
        <is>
          <t>Asia Pacific</t>
        </is>
      </c>
      <c r="E32" s="9" t="inlineStr">
        <is>
          <t>Aarav Mehta</t>
        </is>
      </c>
      <c r="F32" s="9" t="inlineStr">
        <is>
          <t>Excess of Loss</t>
        </is>
      </c>
      <c r="G32" s="9" t="n">
        <v>2025</v>
      </c>
      <c r="H32" s="12" t="n">
        <v>3699999.99996</v>
      </c>
      <c r="I32" s="12" t="n">
        <v>444363.6528</v>
      </c>
      <c r="J32" s="12" t="n">
        <v>43771.97952</v>
      </c>
      <c r="K32" s="12" t="n">
        <v>444363.6528</v>
      </c>
      <c r="L32" s="12" t="n">
        <v>41461.90272000001</v>
      </c>
      <c r="M32" s="9" t="n">
        <v>12</v>
      </c>
      <c r="N32" s="12" t="n">
        <v>133777.22832</v>
      </c>
      <c r="O32" s="12" t="n">
        <v>217057.61892</v>
      </c>
      <c r="P32" s="12" t="n">
        <v>3699999.99996</v>
      </c>
      <c r="Q32" s="9" t="inlineStr">
        <is>
          <t>Low</t>
        </is>
      </c>
      <c r="R32" s="11">
        <f>IFERROR(O32/K32,0)</f>
        <v/>
      </c>
    </row>
    <row r="33">
      <c r="A33" s="9" t="inlineStr">
        <is>
          <t>T0136</t>
        </is>
      </c>
      <c r="B33" s="9" t="inlineStr">
        <is>
          <t>Granite Assurance</t>
        </is>
      </c>
      <c r="C33" s="9" t="inlineStr">
        <is>
          <t>Casualty</t>
        </is>
      </c>
      <c r="D33" s="9" t="inlineStr">
        <is>
          <t>Asia Pacific</t>
        </is>
      </c>
      <c r="E33" s="9" t="inlineStr">
        <is>
          <t>Priya Nair</t>
        </is>
      </c>
      <c r="F33" s="9" t="inlineStr">
        <is>
          <t>Proportional</t>
        </is>
      </c>
      <c r="G33" s="9" t="n">
        <v>2023</v>
      </c>
      <c r="H33" s="12" t="n">
        <v>11400000</v>
      </c>
      <c r="I33" s="12" t="n">
        <v>1078724.76</v>
      </c>
      <c r="J33" s="12" t="n">
        <v>88410.48</v>
      </c>
      <c r="K33" s="12" t="n">
        <v>1078724.76</v>
      </c>
      <c r="L33" s="12" t="n">
        <v>277633.32</v>
      </c>
      <c r="M33" s="9" t="n">
        <v>10</v>
      </c>
      <c r="N33" s="12" t="n">
        <v>586125.71</v>
      </c>
      <c r="O33" s="12" t="n">
        <v>589435.27</v>
      </c>
      <c r="P33" s="12" t="n">
        <v>2850000</v>
      </c>
      <c r="Q33" s="9" t="inlineStr">
        <is>
          <t>Low</t>
        </is>
      </c>
      <c r="R33" s="11">
        <f>IFERROR(O33/K33,0)</f>
        <v/>
      </c>
    </row>
    <row r="34">
      <c r="A34" s="9" t="inlineStr">
        <is>
          <t>T0138</t>
        </is>
      </c>
      <c r="B34" s="9" t="inlineStr">
        <is>
          <t>Granite General</t>
        </is>
      </c>
      <c r="C34" s="9" t="inlineStr">
        <is>
          <t>Specialty</t>
        </is>
      </c>
      <c r="D34" s="9" t="inlineStr">
        <is>
          <t>Asia Pacific</t>
        </is>
      </c>
      <c r="E34" s="9" t="inlineStr">
        <is>
          <t>Omar Haddad</t>
        </is>
      </c>
      <c r="F34" s="9" t="inlineStr">
        <is>
          <t>Excess of Loss</t>
        </is>
      </c>
      <c r="G34" s="9" t="n">
        <v>2025</v>
      </c>
      <c r="H34" s="12" t="n">
        <v>20900000</v>
      </c>
      <c r="I34" s="12" t="n">
        <v>1953615.12</v>
      </c>
      <c r="J34" s="12" t="n">
        <v>117748.32</v>
      </c>
      <c r="K34" s="12" t="n">
        <v>1888494.62</v>
      </c>
      <c r="L34" s="12" t="n">
        <v>100022.6242118568</v>
      </c>
      <c r="M34" s="9" t="n">
        <v>9</v>
      </c>
      <c r="N34" s="12" t="n">
        <v>924843.7000000001</v>
      </c>
      <c r="O34" s="12" t="n">
        <v>1116577.38</v>
      </c>
      <c r="P34" s="12" t="n">
        <v>20900000</v>
      </c>
      <c r="Q34" s="9" t="inlineStr">
        <is>
          <t>Low</t>
        </is>
      </c>
      <c r="R34" s="11">
        <f>IFERROR(O34/K34,0)</f>
        <v/>
      </c>
    </row>
    <row r="35">
      <c r="A35" s="9" t="inlineStr">
        <is>
          <t>T0144</t>
        </is>
      </c>
      <c r="B35" s="9" t="inlineStr">
        <is>
          <t>Crown Insurance</t>
        </is>
      </c>
      <c r="C35" s="9" t="inlineStr">
        <is>
          <t>Casualty</t>
        </is>
      </c>
      <c r="D35" s="9" t="inlineStr">
        <is>
          <t>Asia Pacific</t>
        </is>
      </c>
      <c r="E35" s="9" t="inlineStr">
        <is>
          <t>Omar Haddad</t>
        </is>
      </c>
      <c r="F35" s="9" t="inlineStr">
        <is>
          <t>Proportional</t>
        </is>
      </c>
      <c r="G35" s="9" t="n">
        <v>2022</v>
      </c>
      <c r="H35" s="12" t="n">
        <v>23500000</v>
      </c>
      <c r="I35" s="12" t="n">
        <v>3178280.52</v>
      </c>
      <c r="J35" s="12" t="n">
        <v>166213.56</v>
      </c>
      <c r="K35" s="12" t="n">
        <v>3178280.52</v>
      </c>
      <c r="L35" s="12" t="n">
        <v>711795</v>
      </c>
      <c r="M35" s="9" t="n">
        <v>18</v>
      </c>
      <c r="N35" s="12" t="n">
        <v>1582109.56</v>
      </c>
      <c r="O35" s="12" t="n">
        <v>1638096.95</v>
      </c>
      <c r="P35" s="12" t="n">
        <v>2350000</v>
      </c>
      <c r="Q35" s="9" t="inlineStr">
        <is>
          <t>Low</t>
        </is>
      </c>
      <c r="R35" s="11">
        <f>IFERROR(O35/K35,0)</f>
        <v/>
      </c>
    </row>
    <row r="36">
      <c r="A36" s="9" t="inlineStr">
        <is>
          <t>T0148</t>
        </is>
      </c>
      <c r="B36" s="9" t="inlineStr">
        <is>
          <t>Northwind Mutual</t>
        </is>
      </c>
      <c r="C36" s="9" t="inlineStr">
        <is>
          <t>Casualty</t>
        </is>
      </c>
      <c r="D36" s="9" t="inlineStr">
        <is>
          <t>Asia Pacific</t>
        </is>
      </c>
      <c r="E36" s="9" t="inlineStr">
        <is>
          <t>Priya Nair</t>
        </is>
      </c>
      <c r="F36" s="9" t="inlineStr">
        <is>
          <t>Excess of Loss</t>
        </is>
      </c>
      <c r="G36" s="9" t="n">
        <v>2022</v>
      </c>
      <c r="H36" s="12" t="n">
        <v>8300000.000039999</v>
      </c>
      <c r="I36" s="12" t="n">
        <v>1123158.00672</v>
      </c>
      <c r="J36" s="12" t="n">
        <v>89001.32111999999</v>
      </c>
      <c r="K36" s="12" t="n">
        <v>1123158.00672</v>
      </c>
      <c r="L36" s="12" t="n">
        <v>81930.49056000001</v>
      </c>
      <c r="M36" s="9" t="n">
        <v>13</v>
      </c>
      <c r="N36" s="12" t="n">
        <v>754086.19956</v>
      </c>
      <c r="O36" s="12" t="n">
        <v>968207.0113199999</v>
      </c>
      <c r="P36" s="12" t="n">
        <v>8300000.000039999</v>
      </c>
      <c r="Q36" s="9" t="inlineStr">
        <is>
          <t>Low</t>
        </is>
      </c>
      <c r="R36" s="11">
        <f>IFERROR(O36/K36,0)</f>
        <v/>
      </c>
    </row>
    <row r="37">
      <c r="A37" s="9" t="inlineStr">
        <is>
          <t>T0150</t>
        </is>
      </c>
      <c r="B37" s="9" t="inlineStr">
        <is>
          <t>Granite Assurance</t>
        </is>
      </c>
      <c r="C37" s="9" t="inlineStr">
        <is>
          <t>Casualty</t>
        </is>
      </c>
      <c r="D37" s="9" t="inlineStr">
        <is>
          <t>Asia Pacific</t>
        </is>
      </c>
      <c r="E37" s="9" t="inlineStr">
        <is>
          <t>James Whitfield</t>
        </is>
      </c>
      <c r="F37" s="9" t="inlineStr">
        <is>
          <t>Proportional</t>
        </is>
      </c>
      <c r="G37" s="9" t="n">
        <v>2022</v>
      </c>
      <c r="H37" s="12" t="n">
        <v>54600000</v>
      </c>
      <c r="I37" s="12" t="n">
        <v>4082542.08</v>
      </c>
      <c r="J37" s="12" t="n">
        <v>437293.68</v>
      </c>
      <c r="K37" s="12" t="n">
        <v>4082542.08</v>
      </c>
      <c r="L37" s="12" t="n">
        <v>945184.4399999999</v>
      </c>
      <c r="M37" s="9" t="n">
        <v>13</v>
      </c>
      <c r="N37" s="12" t="n">
        <v>1376753.13</v>
      </c>
      <c r="O37" s="12" t="n">
        <v>1455123.8</v>
      </c>
      <c r="P37" s="12" t="n">
        <v>21840000</v>
      </c>
      <c r="Q37" s="9" t="inlineStr">
        <is>
          <t>Low</t>
        </is>
      </c>
      <c r="R37" s="11">
        <f>IFERROR(O37/K37,0)</f>
        <v/>
      </c>
    </row>
    <row r="38">
      <c r="A38" s="9" t="inlineStr">
        <is>
          <t>T0157</t>
        </is>
      </c>
      <c r="B38" s="9" t="inlineStr">
        <is>
          <t>Orion Insurance</t>
        </is>
      </c>
      <c r="C38" s="9" t="inlineStr">
        <is>
          <t>Specialty</t>
        </is>
      </c>
      <c r="D38" s="9" t="inlineStr">
        <is>
          <t>Asia Pacific</t>
        </is>
      </c>
      <c r="E38" s="9" t="inlineStr">
        <is>
          <t>Kenji Sato</t>
        </is>
      </c>
      <c r="F38" s="9" t="inlineStr">
        <is>
          <t>Excess of Loss</t>
        </is>
      </c>
      <c r="G38" s="9" t="n">
        <v>2024</v>
      </c>
      <c r="H38" s="12" t="n">
        <v>3800000</v>
      </c>
      <c r="I38" s="12" t="n">
        <v>712863.84</v>
      </c>
      <c r="J38" s="12" t="n">
        <v>56612.52</v>
      </c>
      <c r="K38" s="12" t="n">
        <v>712863.84</v>
      </c>
      <c r="L38" s="12" t="n">
        <v>78574.79999999999</v>
      </c>
      <c r="M38" s="9" t="n">
        <v>12</v>
      </c>
      <c r="N38" s="12" t="n">
        <v>1723294.12</v>
      </c>
      <c r="O38" s="12" t="n">
        <v>5577575.12</v>
      </c>
      <c r="P38" s="12" t="n">
        <v>3800000</v>
      </c>
      <c r="Q38" s="9" t="inlineStr">
        <is>
          <t>Critical</t>
        </is>
      </c>
      <c r="R38" s="11">
        <f>IFERROR(O38/K38,0)</f>
        <v/>
      </c>
    </row>
    <row r="39">
      <c r="A39" s="9" t="inlineStr">
        <is>
          <t>T0160</t>
        </is>
      </c>
      <c r="B39" s="9" t="inlineStr">
        <is>
          <t>Crown Insurance</t>
        </is>
      </c>
      <c r="C39" s="9" t="inlineStr">
        <is>
          <t>Casualty</t>
        </is>
      </c>
      <c r="D39" s="9" t="inlineStr">
        <is>
          <t>Asia Pacific</t>
        </is>
      </c>
      <c r="E39" s="9" t="inlineStr">
        <is>
          <t>James Whitfield</t>
        </is>
      </c>
      <c r="F39" s="9" t="inlineStr">
        <is>
          <t>Facultative</t>
        </is>
      </c>
      <c r="G39" s="9" t="n">
        <v>2024</v>
      </c>
      <c r="H39" s="12" t="n">
        <v>12800000</v>
      </c>
      <c r="I39" s="12" t="n">
        <v>2236155.24</v>
      </c>
      <c r="J39" s="12" t="n">
        <v>231409.2</v>
      </c>
      <c r="K39" s="12" t="n">
        <v>2236155.24</v>
      </c>
      <c r="L39" s="12" t="n">
        <v>355627.68</v>
      </c>
      <c r="M39" s="9" t="n">
        <v>5</v>
      </c>
      <c r="N39" s="12" t="n">
        <v>1577461.37</v>
      </c>
      <c r="O39" s="12" t="n">
        <v>1609298.79</v>
      </c>
      <c r="P39" s="12" t="n">
        <v>12800000</v>
      </c>
      <c r="Q39" s="9" t="inlineStr">
        <is>
          <t>Low</t>
        </is>
      </c>
      <c r="R39" s="11">
        <f>IFERROR(O39/K39,0)</f>
        <v/>
      </c>
    </row>
    <row r="40">
      <c r="A40" s="9" t="inlineStr">
        <is>
          <t>T0162</t>
        </is>
      </c>
      <c r="B40" s="9" t="inlineStr">
        <is>
          <t>Granite Insurance</t>
        </is>
      </c>
      <c r="C40" s="9" t="inlineStr">
        <is>
          <t>Casualty</t>
        </is>
      </c>
      <c r="D40" s="9" t="inlineStr">
        <is>
          <t>Asia Pacific</t>
        </is>
      </c>
      <c r="E40" s="9" t="inlineStr">
        <is>
          <t>James Whitfield</t>
        </is>
      </c>
      <c r="F40" s="9" t="inlineStr">
        <is>
          <t>Excess of Loss</t>
        </is>
      </c>
      <c r="G40" s="9" t="n">
        <v>2025</v>
      </c>
      <c r="H40" s="12" t="n">
        <v>19900000</v>
      </c>
      <c r="I40" s="12" t="n">
        <v>1771607.16</v>
      </c>
      <c r="J40" s="12" t="n">
        <v>97154.39999999999</v>
      </c>
      <c r="K40" s="12" t="n">
        <v>1771607.16</v>
      </c>
      <c r="L40" s="12" t="n">
        <v>158987.88</v>
      </c>
      <c r="M40" s="9" t="n">
        <v>13</v>
      </c>
      <c r="N40" s="12" t="n">
        <v>812459.54</v>
      </c>
      <c r="O40" s="12" t="n">
        <v>1225238.37</v>
      </c>
      <c r="P40" s="12" t="n">
        <v>19900000</v>
      </c>
      <c r="Q40" s="9" t="inlineStr">
        <is>
          <t>Low</t>
        </is>
      </c>
      <c r="R40" s="11">
        <f>IFERROR(O40/K40,0)</f>
        <v/>
      </c>
    </row>
    <row r="41">
      <c r="A41" s="9" t="inlineStr">
        <is>
          <t>T0163</t>
        </is>
      </c>
      <c r="B41" s="9" t="inlineStr">
        <is>
          <t>Sterling General</t>
        </is>
      </c>
      <c r="C41" s="9" t="inlineStr">
        <is>
          <t>Property</t>
        </is>
      </c>
      <c r="D41" s="9" t="inlineStr">
        <is>
          <t>Asia Pacific</t>
        </is>
      </c>
      <c r="E41" s="9" t="inlineStr">
        <is>
          <t>Hannah Weber</t>
        </is>
      </c>
      <c r="F41" s="9" t="inlineStr">
        <is>
          <t>Excess of Loss</t>
        </is>
      </c>
      <c r="G41" s="9" t="n">
        <v>2025</v>
      </c>
      <c r="H41" s="12" t="n">
        <v>38600000</v>
      </c>
      <c r="I41" s="12" t="n">
        <v>3080380.92</v>
      </c>
      <c r="J41" s="12" t="n">
        <v>272241.36</v>
      </c>
      <c r="K41" s="12" t="n">
        <v>3080380.92</v>
      </c>
      <c r="L41" s="12" t="n">
        <v>166156.44</v>
      </c>
      <c r="M41" s="9" t="n">
        <v>8</v>
      </c>
      <c r="N41" s="12" t="n">
        <v>1137148.59</v>
      </c>
      <c r="O41" s="12" t="n">
        <v>1614027.75</v>
      </c>
      <c r="P41" s="12" t="n">
        <v>38600000</v>
      </c>
      <c r="Q41" s="9" t="inlineStr">
        <is>
          <t>Low</t>
        </is>
      </c>
      <c r="R41" s="11">
        <f>IFERROR(O41/K41,0)</f>
        <v/>
      </c>
    </row>
    <row r="42">
      <c r="A42" s="9" t="inlineStr">
        <is>
          <t>T0166</t>
        </is>
      </c>
      <c r="B42" s="9" t="inlineStr">
        <is>
          <t>Granite Assurance</t>
        </is>
      </c>
      <c r="C42" s="9" t="inlineStr">
        <is>
          <t>Specialty</t>
        </is>
      </c>
      <c r="D42" s="9" t="inlineStr">
        <is>
          <t>Asia Pacific</t>
        </is>
      </c>
      <c r="E42" s="9" t="inlineStr">
        <is>
          <t>Aarav Mehta</t>
        </is>
      </c>
      <c r="F42" s="9" t="inlineStr">
        <is>
          <t>Proportional</t>
        </is>
      </c>
      <c r="G42" s="9" t="n">
        <v>2025</v>
      </c>
      <c r="H42" s="12" t="n">
        <v>2000000</v>
      </c>
      <c r="I42" s="12" t="n">
        <v>342950.08</v>
      </c>
      <c r="J42" s="12" t="n">
        <v>18872.7</v>
      </c>
      <c r="K42" s="12" t="n">
        <v>328400.68</v>
      </c>
      <c r="L42" s="12" t="n">
        <v>97280.49387673331</v>
      </c>
      <c r="M42" s="9" t="n">
        <v>7</v>
      </c>
      <c r="N42" s="12" t="n">
        <v>53491.60000000001</v>
      </c>
      <c r="O42" s="12" t="n">
        <v>172997.62</v>
      </c>
      <c r="P42" s="12" t="n">
        <v>500000</v>
      </c>
      <c r="Q42" s="9" t="inlineStr">
        <is>
          <t>Low</t>
        </is>
      </c>
      <c r="R42" s="11">
        <f>IFERROR(O42/K42,0)</f>
        <v/>
      </c>
    </row>
    <row r="43">
      <c r="A43" s="9" t="inlineStr">
        <is>
          <t>T0167</t>
        </is>
      </c>
      <c r="B43" s="9" t="inlineStr">
        <is>
          <t>Granite Insurance</t>
        </is>
      </c>
      <c r="C43" s="9" t="inlineStr">
        <is>
          <t>Professional</t>
        </is>
      </c>
      <c r="D43" s="9" t="inlineStr">
        <is>
          <t>Asia Pacific</t>
        </is>
      </c>
      <c r="E43" s="9" t="inlineStr">
        <is>
          <t>Aarav Mehta</t>
        </is>
      </c>
      <c r="F43" s="9" t="inlineStr">
        <is>
          <t>Facultative</t>
        </is>
      </c>
      <c r="G43" s="9" t="n">
        <v>2023</v>
      </c>
      <c r="H43" s="12" t="n">
        <v>20400000</v>
      </c>
      <c r="I43" s="12" t="n">
        <v>2558538.51</v>
      </c>
      <c r="J43" s="12" t="n">
        <v>269820.76</v>
      </c>
      <c r="K43" s="12" t="n">
        <v>2558538.51</v>
      </c>
      <c r="L43" s="12" t="n">
        <v>399634.18</v>
      </c>
      <c r="M43" s="9" t="n">
        <v>12</v>
      </c>
      <c r="N43" s="12" t="n">
        <v>985200.23</v>
      </c>
      <c r="O43" s="12" t="n">
        <v>985200.23</v>
      </c>
      <c r="P43" s="12" t="n">
        <v>20400000</v>
      </c>
      <c r="Q43" s="9" t="inlineStr">
        <is>
          <t>Low</t>
        </is>
      </c>
      <c r="R43" s="11">
        <f>IFERROR(O43/K43,0)</f>
        <v/>
      </c>
    </row>
    <row r="44">
      <c r="A44" s="9" t="inlineStr">
        <is>
          <t>T0179</t>
        </is>
      </c>
      <c r="B44" s="9" t="inlineStr">
        <is>
          <t>Granite General</t>
        </is>
      </c>
      <c r="C44" s="9" t="inlineStr">
        <is>
          <t>Casualty</t>
        </is>
      </c>
      <c r="D44" s="9" t="inlineStr">
        <is>
          <t>Asia Pacific</t>
        </is>
      </c>
      <c r="E44" s="9" t="inlineStr">
        <is>
          <t>Sophie Laurent</t>
        </is>
      </c>
      <c r="F44" s="9" t="inlineStr">
        <is>
          <t>Proportional</t>
        </is>
      </c>
      <c r="G44" s="9" t="n">
        <v>2024</v>
      </c>
      <c r="H44" s="12" t="n">
        <v>28100000</v>
      </c>
      <c r="I44" s="12" t="n">
        <v>2878407.48</v>
      </c>
      <c r="J44" s="12" t="n">
        <v>203150.04</v>
      </c>
      <c r="K44" s="12" t="n">
        <v>2878407.48</v>
      </c>
      <c r="L44" s="12" t="n">
        <v>741269.9999999999</v>
      </c>
      <c r="M44" s="9" t="n">
        <v>6</v>
      </c>
      <c r="N44" s="12" t="n">
        <v>1098183.15</v>
      </c>
      <c r="O44" s="12" t="n">
        <v>1306866.25</v>
      </c>
      <c r="P44" s="12" t="n">
        <v>11240000</v>
      </c>
      <c r="Q44" s="9" t="inlineStr">
        <is>
          <t>Low</t>
        </is>
      </c>
      <c r="R44" s="11">
        <f>IFERROR(O44/K44,0)</f>
        <v/>
      </c>
    </row>
    <row r="45">
      <c r="A45" s="9" t="inlineStr">
        <is>
          <t>T0187</t>
        </is>
      </c>
      <c r="B45" s="9" t="inlineStr">
        <is>
          <t>Sterling Insurance</t>
        </is>
      </c>
      <c r="C45" s="9" t="inlineStr">
        <is>
          <t>Property</t>
        </is>
      </c>
      <c r="D45" s="9" t="inlineStr">
        <is>
          <t>Asia Pacific</t>
        </is>
      </c>
      <c r="E45" s="9" t="inlineStr">
        <is>
          <t>Aarav Mehta</t>
        </is>
      </c>
      <c r="F45" s="9" t="inlineStr">
        <is>
          <t>Excess of Loss</t>
        </is>
      </c>
      <c r="G45" s="9" t="n">
        <v>2025</v>
      </c>
      <c r="H45" s="12" t="n">
        <v>16599999.99996</v>
      </c>
      <c r="I45" s="12" t="n">
        <v>1300249.61424</v>
      </c>
      <c r="J45" s="12" t="n">
        <v>142044.48288</v>
      </c>
      <c r="K45" s="12" t="n">
        <v>1300249.61424</v>
      </c>
      <c r="L45" s="12" t="n">
        <v>131401.57824</v>
      </c>
      <c r="M45" s="9" t="n">
        <v>9</v>
      </c>
      <c r="N45" s="12" t="n">
        <v>781914.2069999999</v>
      </c>
      <c r="O45" s="12" t="n">
        <v>1553228.26824</v>
      </c>
      <c r="P45" s="12" t="n">
        <v>16599999.99996</v>
      </c>
      <c r="Q45" s="9" t="inlineStr">
        <is>
          <t>Low</t>
        </is>
      </c>
      <c r="R45" s="11">
        <f>IFERROR(O45/K45,0)</f>
        <v/>
      </c>
    </row>
    <row r="46">
      <c r="A46" s="9" t="inlineStr">
        <is>
          <t>T0190</t>
        </is>
      </c>
      <c r="B46" s="9" t="inlineStr">
        <is>
          <t>Granite Insurance</t>
        </is>
      </c>
      <c r="C46" s="9" t="inlineStr">
        <is>
          <t>Casualty</t>
        </is>
      </c>
      <c r="D46" s="9" t="inlineStr">
        <is>
          <t>Asia Pacific</t>
        </is>
      </c>
      <c r="E46" s="9" t="inlineStr">
        <is>
          <t>Hannah Weber</t>
        </is>
      </c>
      <c r="F46" s="9" t="inlineStr">
        <is>
          <t>Excess of Loss</t>
        </is>
      </c>
      <c r="G46" s="9" t="n">
        <v>2023</v>
      </c>
      <c r="H46" s="12" t="n">
        <v>5900000</v>
      </c>
      <c r="I46" s="12" t="n">
        <v>726822.24</v>
      </c>
      <c r="J46" s="12" t="n">
        <v>73948.44</v>
      </c>
      <c r="K46" s="12" t="n">
        <v>726822.24</v>
      </c>
      <c r="L46" s="12" t="n">
        <v>44150.39999999999</v>
      </c>
      <c r="M46" s="9" t="n">
        <v>7</v>
      </c>
      <c r="N46" s="12" t="n">
        <v>459839.59</v>
      </c>
      <c r="O46" s="12" t="n">
        <v>459839.59</v>
      </c>
      <c r="P46" s="12" t="n">
        <v>5900000</v>
      </c>
      <c r="Q46" s="9" t="inlineStr">
        <is>
          <t>Low</t>
        </is>
      </c>
      <c r="R46" s="11">
        <f>IFERROR(O46/K46,0)</f>
        <v/>
      </c>
    </row>
    <row r="47">
      <c r="A47" s="9" t="inlineStr">
        <is>
          <t>T0195</t>
        </is>
      </c>
      <c r="B47" s="9" t="inlineStr">
        <is>
          <t>Northwind General</t>
        </is>
      </c>
      <c r="C47" s="9" t="inlineStr">
        <is>
          <t>Property</t>
        </is>
      </c>
      <c r="D47" s="9" t="inlineStr">
        <is>
          <t>Asia Pacific</t>
        </is>
      </c>
      <c r="E47" s="9" t="inlineStr">
        <is>
          <t>Sophie Laurent</t>
        </is>
      </c>
      <c r="F47" s="9" t="inlineStr">
        <is>
          <t>Proportional</t>
        </is>
      </c>
      <c r="G47" s="9" t="n">
        <v>2024</v>
      </c>
      <c r="H47" s="12" t="n">
        <v>27200000.00004</v>
      </c>
      <c r="I47" s="12" t="n">
        <v>2157246.94896</v>
      </c>
      <c r="J47" s="12" t="n">
        <v>136049.68512</v>
      </c>
      <c r="K47" s="12" t="n">
        <v>2157246.94896</v>
      </c>
      <c r="L47" s="12" t="n">
        <v>512341.3699200001</v>
      </c>
      <c r="M47" s="9" t="n">
        <v>11</v>
      </c>
      <c r="N47" s="12" t="n">
        <v>2154650.45412</v>
      </c>
      <c r="O47" s="12" t="n">
        <v>2229957.49512</v>
      </c>
      <c r="P47" s="12" t="n">
        <v>8160000</v>
      </c>
      <c r="Q47" s="9" t="inlineStr">
        <is>
          <t>Low</t>
        </is>
      </c>
      <c r="R47" s="11">
        <f>IFERROR(O47/K47,0)</f>
        <v/>
      </c>
    </row>
    <row r="48">
      <c r="A48" s="9" t="inlineStr">
        <is>
          <t>T0199</t>
        </is>
      </c>
      <c r="B48" s="9" t="inlineStr">
        <is>
          <t>Vantage Mutual</t>
        </is>
      </c>
      <c r="C48" s="9" t="inlineStr">
        <is>
          <t>Specialty</t>
        </is>
      </c>
      <c r="D48" s="9" t="inlineStr">
        <is>
          <t>Asia Pacific</t>
        </is>
      </c>
      <c r="E48" s="9" t="inlineStr">
        <is>
          <t>Aarav Mehta</t>
        </is>
      </c>
      <c r="F48" s="9" t="inlineStr">
        <is>
          <t>Proportional</t>
        </is>
      </c>
      <c r="G48" s="9" t="n">
        <v>2024</v>
      </c>
      <c r="H48" s="12" t="n">
        <v>8100000</v>
      </c>
      <c r="I48" s="12" t="n">
        <v>648810.7934399999</v>
      </c>
      <c r="J48" s="12" t="n">
        <v>60906.22128</v>
      </c>
      <c r="K48" s="12" t="n">
        <v>648810.7934399999</v>
      </c>
      <c r="L48" s="12" t="n">
        <v>147613.5</v>
      </c>
      <c r="M48" s="9" t="n">
        <v>3</v>
      </c>
      <c r="N48" s="12" t="n">
        <v>108699.88836</v>
      </c>
      <c r="O48" s="12" t="n">
        <v>108699.88836</v>
      </c>
      <c r="P48" s="12" t="n">
        <v>2025000</v>
      </c>
      <c r="Q48" s="9" t="inlineStr">
        <is>
          <t>Low</t>
        </is>
      </c>
      <c r="R48" s="11">
        <f>IFERROR(O48/K48,0)</f>
        <v/>
      </c>
    </row>
    <row r="49">
      <c r="A49" s="9" t="inlineStr">
        <is>
          <t>T0203</t>
        </is>
      </c>
      <c r="B49" s="9" t="inlineStr">
        <is>
          <t>Sterling Insurance</t>
        </is>
      </c>
      <c r="C49" s="9" t="inlineStr">
        <is>
          <t>Specialty</t>
        </is>
      </c>
      <c r="D49" s="9" t="inlineStr">
        <is>
          <t>Asia Pacific</t>
        </is>
      </c>
      <c r="E49" s="9" t="inlineStr">
        <is>
          <t>Kenji Sato</t>
        </is>
      </c>
      <c r="F49" s="9" t="inlineStr">
        <is>
          <t>Proportional</t>
        </is>
      </c>
      <c r="G49" s="9" t="n">
        <v>2024</v>
      </c>
      <c r="H49" s="12" t="n">
        <v>5300000.00004</v>
      </c>
      <c r="I49" s="12" t="n">
        <v>973402.63632</v>
      </c>
      <c r="J49" s="12" t="n">
        <v>88723.25135999999</v>
      </c>
      <c r="K49" s="12" t="n">
        <v>973402.63632</v>
      </c>
      <c r="L49" s="12" t="n">
        <v>290749.6382399999</v>
      </c>
      <c r="M49" s="9" t="n">
        <v>7</v>
      </c>
      <c r="N49" s="12" t="n">
        <v>701596.9686</v>
      </c>
      <c r="O49" s="12" t="n">
        <v>727336.4568</v>
      </c>
      <c r="P49" s="12" t="n">
        <v>1590000</v>
      </c>
      <c r="Q49" s="9" t="inlineStr">
        <is>
          <t>Low</t>
        </is>
      </c>
      <c r="R49" s="11">
        <f>IFERROR(O49/K49,0)</f>
        <v/>
      </c>
    </row>
    <row r="50">
      <c r="A50" s="9" t="inlineStr">
        <is>
          <t>T0206</t>
        </is>
      </c>
      <c r="B50" s="9" t="inlineStr">
        <is>
          <t>Northwind General</t>
        </is>
      </c>
      <c r="C50" s="9" t="inlineStr">
        <is>
          <t>Property</t>
        </is>
      </c>
      <c r="D50" s="9" t="inlineStr">
        <is>
          <t>Asia Pacific</t>
        </is>
      </c>
      <c r="E50" s="9" t="inlineStr">
        <is>
          <t>James Whitfield</t>
        </is>
      </c>
      <c r="F50" s="9" t="inlineStr">
        <is>
          <t>Proportional</t>
        </is>
      </c>
      <c r="G50" s="9" t="n">
        <v>2022</v>
      </c>
      <c r="H50" s="12" t="n">
        <v>7400000.000039999</v>
      </c>
      <c r="I50" s="12" t="n">
        <v>862571.19888</v>
      </c>
      <c r="J50" s="12" t="n">
        <v>76317.83136</v>
      </c>
      <c r="K50" s="12" t="n">
        <v>862571.19888</v>
      </c>
      <c r="L50" s="12" t="n">
        <v>235399.0780799999</v>
      </c>
      <c r="M50" s="9" t="n">
        <v>11</v>
      </c>
      <c r="N50" s="12" t="n">
        <v>489052.40208</v>
      </c>
      <c r="O50" s="12" t="n">
        <v>489052.40208</v>
      </c>
      <c r="P50" s="12" t="n">
        <v>740000.0000400001</v>
      </c>
      <c r="Q50" s="9" t="inlineStr">
        <is>
          <t>Low</t>
        </is>
      </c>
      <c r="R50" s="11">
        <f>IFERROR(O50/K50,0)</f>
        <v/>
      </c>
    </row>
    <row r="51">
      <c r="A51" s="9" t="inlineStr">
        <is>
          <t>T0213</t>
        </is>
      </c>
      <c r="B51" s="9" t="inlineStr">
        <is>
          <t>Granite General</t>
        </is>
      </c>
      <c r="C51" s="9" t="inlineStr">
        <is>
          <t>Property</t>
        </is>
      </c>
      <c r="D51" s="9" t="inlineStr">
        <is>
          <t>Asia Pacific</t>
        </is>
      </c>
      <c r="E51" s="9" t="inlineStr">
        <is>
          <t>Kenji Sato</t>
        </is>
      </c>
      <c r="F51" s="9" t="inlineStr">
        <is>
          <t>Facultative</t>
        </is>
      </c>
      <c r="G51" s="9" t="n">
        <v>2026</v>
      </c>
      <c r="H51" s="12" t="n">
        <v>4700000</v>
      </c>
      <c r="I51" s="12" t="n">
        <v>464765.7000000001</v>
      </c>
      <c r="J51" s="12" t="n">
        <v>41907.53</v>
      </c>
      <c r="K51" s="12" t="n">
        <v>413862.79</v>
      </c>
      <c r="L51" s="12" t="n">
        <v>67400.65933333333</v>
      </c>
      <c r="M51" s="9" t="n">
        <v>8</v>
      </c>
      <c r="N51" s="12" t="n">
        <v>115373.31</v>
      </c>
      <c r="O51" s="12" t="n">
        <v>171582.5</v>
      </c>
      <c r="P51" s="12" t="n">
        <v>4700000</v>
      </c>
      <c r="Q51" s="9" t="inlineStr">
        <is>
          <t>Low</t>
        </is>
      </c>
      <c r="R51" s="11">
        <f>IFERROR(O51/K51,0)</f>
        <v/>
      </c>
    </row>
    <row r="52">
      <c r="A52" s="9" t="inlineStr">
        <is>
          <t>T0224</t>
        </is>
      </c>
      <c r="B52" s="9" t="inlineStr">
        <is>
          <t>Orion Insurance</t>
        </is>
      </c>
      <c r="C52" s="9" t="inlineStr">
        <is>
          <t>Financial Lines</t>
        </is>
      </c>
      <c r="D52" s="9" t="inlineStr">
        <is>
          <t>Asia Pacific</t>
        </is>
      </c>
      <c r="E52" s="9" t="inlineStr">
        <is>
          <t>Sophie Laurent</t>
        </is>
      </c>
      <c r="F52" s="9" t="inlineStr">
        <is>
          <t>Proportional</t>
        </is>
      </c>
      <c r="G52" s="9" t="n">
        <v>2025</v>
      </c>
      <c r="H52" s="12" t="n">
        <v>28800000</v>
      </c>
      <c r="I52" s="12" t="n">
        <v>5015447.88</v>
      </c>
      <c r="J52" s="12" t="n">
        <v>587592.6000000001</v>
      </c>
      <c r="K52" s="12" t="n">
        <v>5015447.88</v>
      </c>
      <c r="L52" s="12" t="n">
        <v>1299139.44</v>
      </c>
      <c r="M52" s="9" t="n">
        <v>13</v>
      </c>
      <c r="N52" s="12" t="n">
        <v>1689730.18</v>
      </c>
      <c r="O52" s="12" t="n">
        <v>2202528.39</v>
      </c>
      <c r="P52" s="12" t="n">
        <v>14400000</v>
      </c>
      <c r="Q52" s="9" t="inlineStr">
        <is>
          <t>Low</t>
        </is>
      </c>
      <c r="R52" s="11">
        <f>IFERROR(O52/K52,0)</f>
        <v/>
      </c>
    </row>
    <row r="53">
      <c r="A53" s="9" t="inlineStr">
        <is>
          <t>T0230</t>
        </is>
      </c>
      <c r="B53" s="9" t="inlineStr">
        <is>
          <t>Atlas General</t>
        </is>
      </c>
      <c r="C53" s="9" t="inlineStr">
        <is>
          <t>Specialty</t>
        </is>
      </c>
      <c r="D53" s="9" t="inlineStr">
        <is>
          <t>Asia Pacific</t>
        </is>
      </c>
      <c r="E53" s="9" t="inlineStr">
        <is>
          <t>Sophie Laurent</t>
        </is>
      </c>
      <c r="F53" s="9" t="inlineStr">
        <is>
          <t>Excess of Loss</t>
        </is>
      </c>
      <c r="G53" s="9" t="n">
        <v>2021</v>
      </c>
      <c r="H53" s="12" t="n">
        <v>91800000</v>
      </c>
      <c r="I53" s="12" t="n">
        <v>6611100.84</v>
      </c>
      <c r="J53" s="12" t="n">
        <v>349150.2</v>
      </c>
      <c r="K53" s="12" t="n">
        <v>6611100.84</v>
      </c>
      <c r="L53" s="12" t="n">
        <v>786198.36</v>
      </c>
      <c r="M53" s="9" t="n">
        <v>10</v>
      </c>
      <c r="N53" s="12" t="n">
        <v>2659107.9</v>
      </c>
      <c r="O53" s="12" t="n">
        <v>2659107.9</v>
      </c>
      <c r="P53" s="12" t="n">
        <v>91800000</v>
      </c>
      <c r="Q53" s="9" t="inlineStr">
        <is>
          <t>Low</t>
        </is>
      </c>
      <c r="R53" s="11">
        <f>IFERROR(O53/K53,0)</f>
        <v/>
      </c>
    </row>
    <row r="54">
      <c r="A54" s="9" t="inlineStr">
        <is>
          <t>T0231</t>
        </is>
      </c>
      <c r="B54" s="9" t="inlineStr">
        <is>
          <t>Orion Insurance</t>
        </is>
      </c>
      <c r="C54" s="9" t="inlineStr">
        <is>
          <t>Casualty</t>
        </is>
      </c>
      <c r="D54" s="9" t="inlineStr">
        <is>
          <t>Asia Pacific</t>
        </is>
      </c>
      <c r="E54" s="9" t="inlineStr">
        <is>
          <t>Sophie Laurent</t>
        </is>
      </c>
      <c r="F54" s="9" t="inlineStr">
        <is>
          <t>Proportional</t>
        </is>
      </c>
      <c r="G54" s="9" t="n">
        <v>2021</v>
      </c>
      <c r="H54" s="12" t="n">
        <v>25100000</v>
      </c>
      <c r="I54" s="12" t="n">
        <v>2667314.88</v>
      </c>
      <c r="J54" s="12" t="n">
        <v>160121.4</v>
      </c>
      <c r="K54" s="12" t="n">
        <v>2667314.88</v>
      </c>
      <c r="L54" s="12" t="n">
        <v>633161.04</v>
      </c>
      <c r="M54" s="9" t="n">
        <v>11</v>
      </c>
      <c r="N54" s="12" t="n">
        <v>2158738.65</v>
      </c>
      <c r="O54" s="12" t="n">
        <v>2289104.91</v>
      </c>
      <c r="P54" s="12" t="n">
        <v>6275000</v>
      </c>
      <c r="Q54" s="9" t="inlineStr">
        <is>
          <t>Low</t>
        </is>
      </c>
      <c r="R54" s="11">
        <f>IFERROR(O54/K54,0)</f>
        <v/>
      </c>
    </row>
    <row r="55">
      <c r="A55" s="9" t="inlineStr">
        <is>
          <t>T0234</t>
        </is>
      </c>
      <c r="B55" s="9" t="inlineStr">
        <is>
          <t>Granite Insurance</t>
        </is>
      </c>
      <c r="C55" s="9" t="inlineStr">
        <is>
          <t>Property</t>
        </is>
      </c>
      <c r="D55" s="9" t="inlineStr">
        <is>
          <t>Asia Pacific</t>
        </is>
      </c>
      <c r="E55" s="9" t="inlineStr">
        <is>
          <t>James Whitfield</t>
        </is>
      </c>
      <c r="F55" s="9" t="inlineStr">
        <is>
          <t>Proportional</t>
        </is>
      </c>
      <c r="G55" s="9" t="n">
        <v>2025</v>
      </c>
      <c r="H55" s="12" t="n">
        <v>5700000</v>
      </c>
      <c r="I55" s="12" t="n">
        <v>713889.72</v>
      </c>
      <c r="J55" s="12" t="n">
        <v>42640.92</v>
      </c>
      <c r="K55" s="12" t="n">
        <v>713889.72</v>
      </c>
      <c r="L55" s="12" t="n">
        <v>176633.88</v>
      </c>
      <c r="M55" s="9" t="n">
        <v>6</v>
      </c>
      <c r="N55" s="12" t="n">
        <v>31703.18</v>
      </c>
      <c r="O55" s="12" t="n">
        <v>201043.47</v>
      </c>
      <c r="P55" s="12" t="n">
        <v>2280000</v>
      </c>
      <c r="Q55" s="9" t="inlineStr">
        <is>
          <t>Low</t>
        </is>
      </c>
      <c r="R55" s="11">
        <f>IFERROR(O55/K55,0)</f>
        <v/>
      </c>
    </row>
    <row r="56">
      <c r="A56" s="9" t="inlineStr">
        <is>
          <t>T0241</t>
        </is>
      </c>
      <c r="B56" s="9" t="inlineStr">
        <is>
          <t>Summit Indemnity</t>
        </is>
      </c>
      <c r="C56" s="9" t="inlineStr">
        <is>
          <t>Financial Lines</t>
        </is>
      </c>
      <c r="D56" s="9" t="inlineStr">
        <is>
          <t>Asia Pacific</t>
        </is>
      </c>
      <c r="E56" s="9" t="inlineStr">
        <is>
          <t>James Whitfield</t>
        </is>
      </c>
      <c r="F56" s="9" t="inlineStr">
        <is>
          <t>Facultative</t>
        </is>
      </c>
      <c r="G56" s="9" t="n">
        <v>2023</v>
      </c>
      <c r="H56" s="12" t="n">
        <v>15200000</v>
      </c>
      <c r="I56" s="12" t="n">
        <v>1327287.72</v>
      </c>
      <c r="J56" s="12" t="n">
        <v>153085.68</v>
      </c>
      <c r="K56" s="12" t="n">
        <v>1327287.72</v>
      </c>
      <c r="L56" s="12" t="n">
        <v>203200.2</v>
      </c>
      <c r="M56" s="9" t="n">
        <v>10</v>
      </c>
      <c r="N56" s="12" t="n">
        <v>828656.58</v>
      </c>
      <c r="O56" s="12" t="n">
        <v>828656.58</v>
      </c>
      <c r="P56" s="12" t="n">
        <v>15200000</v>
      </c>
      <c r="Q56" s="9" t="inlineStr">
        <is>
          <t>Low</t>
        </is>
      </c>
      <c r="R56" s="11">
        <f>IFERROR(O56/K56,0)</f>
        <v/>
      </c>
    </row>
    <row r="57">
      <c r="A57" s="9" t="inlineStr">
        <is>
          <t>T0254</t>
        </is>
      </c>
      <c r="B57" s="9" t="inlineStr">
        <is>
          <t>Granite General</t>
        </is>
      </c>
      <c r="C57" s="9" t="inlineStr">
        <is>
          <t>Professional</t>
        </is>
      </c>
      <c r="D57" s="9" t="inlineStr">
        <is>
          <t>Asia Pacific</t>
        </is>
      </c>
      <c r="E57" s="9" t="inlineStr">
        <is>
          <t>Kenji Sato</t>
        </is>
      </c>
      <c r="F57" s="9" t="inlineStr">
        <is>
          <t>Proportional</t>
        </is>
      </c>
      <c r="G57" s="9" t="n">
        <v>2023</v>
      </c>
      <c r="H57" s="12" t="n">
        <v>15500000</v>
      </c>
      <c r="I57" s="12" t="n">
        <v>1315235.04</v>
      </c>
      <c r="J57" s="12" t="n">
        <v>106198.44</v>
      </c>
      <c r="K57" s="12" t="n">
        <v>1315235.04</v>
      </c>
      <c r="L57" s="12" t="n">
        <v>393652.5599999999</v>
      </c>
      <c r="M57" s="9" t="n">
        <v>9</v>
      </c>
      <c r="N57" s="12" t="n">
        <v>856794.14</v>
      </c>
      <c r="O57" s="12" t="n">
        <v>856794.14</v>
      </c>
      <c r="P57" s="12" t="n">
        <v>6200000</v>
      </c>
      <c r="Q57" s="9" t="inlineStr">
        <is>
          <t>Low</t>
        </is>
      </c>
      <c r="R57" s="11">
        <f>IFERROR(O57/K57,0)</f>
        <v/>
      </c>
    </row>
    <row r="58">
      <c r="A58" s="9" t="inlineStr">
        <is>
          <t>T0255</t>
        </is>
      </c>
      <c r="B58" s="9" t="inlineStr">
        <is>
          <t>Northwind General</t>
        </is>
      </c>
      <c r="C58" s="9" t="inlineStr">
        <is>
          <t>Specialty</t>
        </is>
      </c>
      <c r="D58" s="9" t="inlineStr">
        <is>
          <t>Asia Pacific</t>
        </is>
      </c>
      <c r="E58" s="9" t="inlineStr">
        <is>
          <t>James Whitfield</t>
        </is>
      </c>
      <c r="F58" s="9" t="inlineStr">
        <is>
          <t>Excess of Loss</t>
        </is>
      </c>
      <c r="G58" s="9" t="n">
        <v>2023</v>
      </c>
      <c r="H58" s="12" t="n">
        <v>8100000</v>
      </c>
      <c r="I58" s="12" t="n">
        <v>649322.8948799999</v>
      </c>
      <c r="J58" s="12" t="n">
        <v>70570.13327999999</v>
      </c>
      <c r="K58" s="12" t="n">
        <v>649322.8948799999</v>
      </c>
      <c r="L58" s="12" t="n">
        <v>58114.87632000001</v>
      </c>
      <c r="M58" s="9" t="n">
        <v>11</v>
      </c>
      <c r="N58" s="12" t="n">
        <v>372386.02668</v>
      </c>
      <c r="O58" s="12" t="n">
        <v>372386.02668</v>
      </c>
      <c r="P58" s="12" t="n">
        <v>8100000</v>
      </c>
      <c r="Q58" s="9" t="inlineStr">
        <is>
          <t>Low</t>
        </is>
      </c>
      <c r="R58" s="11">
        <f>IFERROR(O58/K58,0)</f>
        <v/>
      </c>
    </row>
    <row r="59">
      <c r="A59" s="9" t="inlineStr">
        <is>
          <t>T0257</t>
        </is>
      </c>
      <c r="B59" s="9" t="inlineStr">
        <is>
          <t>Crown Indemnity</t>
        </is>
      </c>
      <c r="C59" s="9" t="inlineStr">
        <is>
          <t>Professional</t>
        </is>
      </c>
      <c r="D59" s="9" t="inlineStr">
        <is>
          <t>Asia Pacific</t>
        </is>
      </c>
      <c r="E59" s="9" t="inlineStr">
        <is>
          <t>Aarav Mehta</t>
        </is>
      </c>
      <c r="F59" s="9" t="inlineStr">
        <is>
          <t>Excess of Loss</t>
        </is>
      </c>
      <c r="G59" s="9" t="n">
        <v>2025</v>
      </c>
      <c r="H59" s="12" t="n">
        <v>13500000</v>
      </c>
      <c r="I59" s="12" t="n">
        <v>1543934.28</v>
      </c>
      <c r="J59" s="12" t="n">
        <v>130862.52</v>
      </c>
      <c r="K59" s="12" t="n">
        <v>1543934.28</v>
      </c>
      <c r="L59" s="12" t="n">
        <v>146891.64</v>
      </c>
      <c r="M59" s="9" t="n">
        <v>7</v>
      </c>
      <c r="N59" s="12" t="n">
        <v>305037.47</v>
      </c>
      <c r="O59" s="12" t="n">
        <v>313710.19</v>
      </c>
      <c r="P59" s="12" t="n">
        <v>13500000</v>
      </c>
      <c r="Q59" s="9" t="inlineStr">
        <is>
          <t>Low</t>
        </is>
      </c>
      <c r="R59" s="11">
        <f>IFERROR(O59/K59,0)</f>
        <v/>
      </c>
    </row>
    <row r="60">
      <c r="A60" s="9" t="inlineStr">
        <is>
          <t>T0260</t>
        </is>
      </c>
      <c r="B60" s="9" t="inlineStr">
        <is>
          <t>Granite General</t>
        </is>
      </c>
      <c r="C60" s="9" t="inlineStr">
        <is>
          <t>Casualty</t>
        </is>
      </c>
      <c r="D60" s="9" t="inlineStr">
        <is>
          <t>Asia Pacific</t>
        </is>
      </c>
      <c r="E60" s="9" t="inlineStr">
        <is>
          <t>Carlos Ibarra</t>
        </is>
      </c>
      <c r="F60" s="9" t="inlineStr">
        <is>
          <t>Proportional</t>
        </is>
      </c>
      <c r="G60" s="9" t="n">
        <v>2022</v>
      </c>
      <c r="H60" s="12" t="n">
        <v>26700000</v>
      </c>
      <c r="I60" s="12" t="n">
        <v>2584452.84</v>
      </c>
      <c r="J60" s="12" t="n">
        <v>169972.56</v>
      </c>
      <c r="K60" s="12" t="n">
        <v>2584452.84</v>
      </c>
      <c r="L60" s="12" t="n">
        <v>608495.16</v>
      </c>
      <c r="M60" s="9" t="n">
        <v>8</v>
      </c>
      <c r="N60" s="12" t="n">
        <v>1828306.97</v>
      </c>
      <c r="O60" s="12" t="n">
        <v>1902927</v>
      </c>
      <c r="P60" s="12" t="n">
        <v>8010000</v>
      </c>
      <c r="Q60" s="9" t="inlineStr">
        <is>
          <t>Low</t>
        </is>
      </c>
      <c r="R60" s="11">
        <f>IFERROR(O60/K60,0)</f>
        <v/>
      </c>
    </row>
    <row r="61">
      <c r="A61" s="9" t="inlineStr">
        <is>
          <t>T0288</t>
        </is>
      </c>
      <c r="B61" s="9" t="inlineStr">
        <is>
          <t>Granite General</t>
        </is>
      </c>
      <c r="C61" s="9" t="inlineStr">
        <is>
          <t>Casualty</t>
        </is>
      </c>
      <c r="D61" s="9" t="inlineStr">
        <is>
          <t>Asia Pacific</t>
        </is>
      </c>
      <c r="E61" s="9" t="inlineStr">
        <is>
          <t>Kenji Sato</t>
        </is>
      </c>
      <c r="F61" s="9" t="inlineStr">
        <is>
          <t>Excess of Loss</t>
        </is>
      </c>
      <c r="G61" s="9" t="n">
        <v>2025</v>
      </c>
      <c r="H61" s="12" t="n">
        <v>9300000</v>
      </c>
      <c r="I61" s="12" t="n">
        <v>1018062.6</v>
      </c>
      <c r="J61" s="12" t="n">
        <v>69059.28</v>
      </c>
      <c r="K61" s="12" t="n">
        <v>1018062.6</v>
      </c>
      <c r="L61" s="12" t="n">
        <v>121233.36</v>
      </c>
      <c r="M61" s="9" t="n">
        <v>7</v>
      </c>
      <c r="N61" s="12" t="n">
        <v>678280.29</v>
      </c>
      <c r="O61" s="12" t="n">
        <v>761574.4</v>
      </c>
      <c r="P61" s="12" t="n">
        <v>9300000</v>
      </c>
      <c r="Q61" s="9" t="inlineStr">
        <is>
          <t>Low</t>
        </is>
      </c>
      <c r="R61" s="11">
        <f>IFERROR(O61/K61,0)</f>
        <v/>
      </c>
    </row>
    <row r="62">
      <c r="A62" s="9" t="inlineStr">
        <is>
          <t>T0289</t>
        </is>
      </c>
      <c r="B62" s="9" t="inlineStr">
        <is>
          <t>Granite Assurance</t>
        </is>
      </c>
      <c r="C62" s="9" t="inlineStr">
        <is>
          <t>Specialty</t>
        </is>
      </c>
      <c r="D62" s="9" t="inlineStr">
        <is>
          <t>Asia Pacific</t>
        </is>
      </c>
      <c r="E62" s="9" t="inlineStr">
        <is>
          <t>Priya Nair</t>
        </is>
      </c>
      <c r="F62" s="9" t="inlineStr">
        <is>
          <t>Facultative</t>
        </is>
      </c>
      <c r="G62" s="9" t="n">
        <v>2024</v>
      </c>
      <c r="H62" s="12" t="n">
        <v>19100000</v>
      </c>
      <c r="I62" s="12" t="n">
        <v>1808356.56</v>
      </c>
      <c r="J62" s="12" t="n">
        <v>192988.56</v>
      </c>
      <c r="K62" s="12" t="n">
        <v>1808356.56</v>
      </c>
      <c r="L62" s="12" t="n">
        <v>307426.68</v>
      </c>
      <c r="M62" s="9" t="n">
        <v>9</v>
      </c>
      <c r="N62" s="12" t="n">
        <v>893153.12</v>
      </c>
      <c r="O62" s="12" t="n">
        <v>964467.05</v>
      </c>
      <c r="P62" s="12" t="n">
        <v>19100000</v>
      </c>
      <c r="Q62" s="9" t="inlineStr">
        <is>
          <t>Low</t>
        </is>
      </c>
      <c r="R62" s="11">
        <f>IFERROR(O62/K62,0)</f>
        <v/>
      </c>
    </row>
    <row r="63">
      <c r="A63" s="9" t="inlineStr">
        <is>
          <t>T0299</t>
        </is>
      </c>
      <c r="B63" s="9" t="inlineStr">
        <is>
          <t>Northwind Mutual</t>
        </is>
      </c>
      <c r="C63" s="9" t="inlineStr">
        <is>
          <t>Specialty</t>
        </is>
      </c>
      <c r="D63" s="9" t="inlineStr">
        <is>
          <t>Asia Pacific</t>
        </is>
      </c>
      <c r="E63" s="9" t="inlineStr">
        <is>
          <t>Priya Nair</t>
        </is>
      </c>
      <c r="F63" s="9" t="inlineStr">
        <is>
          <t>Excess of Loss</t>
        </is>
      </c>
      <c r="G63" s="9" t="n">
        <v>2024</v>
      </c>
      <c r="H63" s="12" t="n">
        <v>8199999.999960001</v>
      </c>
      <c r="I63" s="12" t="n">
        <v>1414970.85312</v>
      </c>
      <c r="J63" s="12" t="n">
        <v>149636.93904</v>
      </c>
      <c r="K63" s="12" t="n">
        <v>1414970.85312</v>
      </c>
      <c r="L63" s="12" t="n">
        <v>89902.96848000001</v>
      </c>
      <c r="M63" s="9" t="n">
        <v>12</v>
      </c>
      <c r="N63" s="12" t="n">
        <v>1415590.45728</v>
      </c>
      <c r="O63" s="12" t="n">
        <v>1593865.91364</v>
      </c>
      <c r="P63" s="12" t="n">
        <v>8199999.999960001</v>
      </c>
      <c r="Q63" s="9" t="inlineStr">
        <is>
          <t>Low</t>
        </is>
      </c>
      <c r="R63" s="11">
        <f>IFERROR(O63/K63,0)</f>
        <v/>
      </c>
    </row>
    <row r="64">
      <c r="A64" s="9" t="inlineStr">
        <is>
          <t>T0307</t>
        </is>
      </c>
      <c r="B64" s="9" t="inlineStr">
        <is>
          <t>Crown Insurance</t>
        </is>
      </c>
      <c r="C64" s="9" t="inlineStr">
        <is>
          <t>Casualty</t>
        </is>
      </c>
      <c r="D64" s="9" t="inlineStr">
        <is>
          <t>Asia Pacific</t>
        </is>
      </c>
      <c r="E64" s="9" t="inlineStr">
        <is>
          <t>Kenji Sato</t>
        </is>
      </c>
      <c r="F64" s="9" t="inlineStr">
        <is>
          <t>Excess of Loss</t>
        </is>
      </c>
      <c r="G64" s="9" t="n">
        <v>2025</v>
      </c>
      <c r="H64" s="12" t="n">
        <v>10400000</v>
      </c>
      <c r="I64" s="12" t="n">
        <v>1289003.32</v>
      </c>
      <c r="J64" s="12" t="n">
        <v>150263.19</v>
      </c>
      <c r="K64" s="12" t="n">
        <v>1206975.84</v>
      </c>
      <c r="L64" s="12" t="n">
        <v>87214.73528903557</v>
      </c>
      <c r="M64" s="9" t="n">
        <v>9</v>
      </c>
      <c r="N64" s="12" t="n">
        <v>593080.61</v>
      </c>
      <c r="O64" s="12" t="n">
        <v>1548955.96</v>
      </c>
      <c r="P64" s="12" t="n">
        <v>10400000</v>
      </c>
      <c r="Q64" s="9" t="inlineStr">
        <is>
          <t>Low</t>
        </is>
      </c>
      <c r="R64" s="11">
        <f>IFERROR(O64/K64,0)</f>
        <v/>
      </c>
    </row>
    <row r="65">
      <c r="A65" s="9" t="inlineStr">
        <is>
          <t>T0311</t>
        </is>
      </c>
      <c r="B65" s="9" t="inlineStr">
        <is>
          <t>Northwind General</t>
        </is>
      </c>
      <c r="C65" s="9" t="inlineStr">
        <is>
          <t>Property</t>
        </is>
      </c>
      <c r="D65" s="9" t="inlineStr">
        <is>
          <t>Asia Pacific</t>
        </is>
      </c>
      <c r="E65" s="9" t="inlineStr">
        <is>
          <t>Priya Nair</t>
        </is>
      </c>
      <c r="F65" s="9" t="inlineStr">
        <is>
          <t>Excess of Loss</t>
        </is>
      </c>
      <c r="G65" s="9" t="n">
        <v>2024</v>
      </c>
      <c r="H65" s="12" t="n">
        <v>17100000</v>
      </c>
      <c r="I65" s="12" t="n">
        <v>1992639.16368</v>
      </c>
      <c r="J65" s="12" t="n">
        <v>163731.77424</v>
      </c>
      <c r="K65" s="12" t="n">
        <v>1992639.16368</v>
      </c>
      <c r="L65" s="12" t="n">
        <v>102338.82</v>
      </c>
      <c r="M65" s="9" t="n">
        <v>8</v>
      </c>
      <c r="N65" s="12" t="n">
        <v>922412.60028</v>
      </c>
      <c r="O65" s="12" t="n">
        <v>1093883.33748</v>
      </c>
      <c r="P65" s="12" t="n">
        <v>17100000</v>
      </c>
      <c r="Q65" s="9" t="inlineStr">
        <is>
          <t>Low</t>
        </is>
      </c>
      <c r="R65" s="11">
        <f>IFERROR(O65/K65,0)</f>
        <v/>
      </c>
    </row>
    <row r="66">
      <c r="A66" s="9" t="inlineStr">
        <is>
          <t>T0319</t>
        </is>
      </c>
      <c r="B66" s="9" t="inlineStr">
        <is>
          <t>Summit Indemnity</t>
        </is>
      </c>
      <c r="C66" s="9" t="inlineStr">
        <is>
          <t>Casualty</t>
        </is>
      </c>
      <c r="D66" s="9" t="inlineStr">
        <is>
          <t>Asia Pacific</t>
        </is>
      </c>
      <c r="E66" s="9" t="inlineStr">
        <is>
          <t>James Whitfield</t>
        </is>
      </c>
      <c r="F66" s="9" t="inlineStr">
        <is>
          <t>Excess of Loss</t>
        </is>
      </c>
      <c r="G66" s="9" t="n">
        <v>2026</v>
      </c>
      <c r="H66" s="12" t="n">
        <v>3400000</v>
      </c>
      <c r="I66" s="12" t="n">
        <v>74352.52</v>
      </c>
      <c r="J66" s="12" t="n">
        <v>7962.06</v>
      </c>
      <c r="K66" s="12" t="n">
        <v>57003.60000000001</v>
      </c>
      <c r="L66" s="12" t="n">
        <v>4892.483447770162</v>
      </c>
      <c r="M66" s="9" t="n">
        <v>0</v>
      </c>
      <c r="N66" s="12" t="n">
        <v>0</v>
      </c>
      <c r="O66" s="12" t="n">
        <v>0</v>
      </c>
      <c r="P66" s="12" t="n">
        <v>3400000</v>
      </c>
      <c r="Q66" s="9" t="inlineStr">
        <is>
          <t>Low</t>
        </is>
      </c>
      <c r="R66" s="11">
        <f>IFERROR(O66/K66,0)</f>
        <v/>
      </c>
    </row>
    <row r="67">
      <c r="A67" s="9" t="inlineStr">
        <is>
          <t>T0321</t>
        </is>
      </c>
      <c r="B67" s="9" t="inlineStr">
        <is>
          <t>Granite General</t>
        </is>
      </c>
      <c r="C67" s="9" t="inlineStr">
        <is>
          <t>Casualty</t>
        </is>
      </c>
      <c r="D67" s="9" t="inlineStr">
        <is>
          <t>Asia Pacific</t>
        </is>
      </c>
      <c r="E67" s="9" t="inlineStr">
        <is>
          <t>James Whitfield</t>
        </is>
      </c>
      <c r="F67" s="9" t="inlineStr">
        <is>
          <t>Proportional</t>
        </is>
      </c>
      <c r="G67" s="9" t="n">
        <v>2024</v>
      </c>
      <c r="H67" s="12" t="n">
        <v>25600000</v>
      </c>
      <c r="I67" s="12" t="n">
        <v>1940908.32</v>
      </c>
      <c r="J67" s="12" t="n">
        <v>107224.56</v>
      </c>
      <c r="K67" s="12" t="n">
        <v>1940908.32</v>
      </c>
      <c r="L67" s="12" t="n">
        <v>468999</v>
      </c>
      <c r="M67" s="9" t="n">
        <v>6</v>
      </c>
      <c r="N67" s="12" t="n">
        <v>1326517.74</v>
      </c>
      <c r="O67" s="12" t="n">
        <v>1359479.56</v>
      </c>
      <c r="P67" s="12" t="n">
        <v>2560000</v>
      </c>
      <c r="Q67" s="9" t="inlineStr">
        <is>
          <t>Low</t>
        </is>
      </c>
      <c r="R67" s="11">
        <f>IFERROR(O67/K67,0)</f>
        <v/>
      </c>
    </row>
    <row r="68">
      <c r="A68" s="9" t="inlineStr">
        <is>
          <t>T0322</t>
        </is>
      </c>
      <c r="B68" s="9" t="inlineStr">
        <is>
          <t>Granite Insurance</t>
        </is>
      </c>
      <c r="C68" s="9" t="inlineStr">
        <is>
          <t>Professional</t>
        </is>
      </c>
      <c r="D68" s="9" t="inlineStr">
        <is>
          <t>Asia Pacific</t>
        </is>
      </c>
      <c r="E68" s="9" t="inlineStr">
        <is>
          <t>James Whitfield</t>
        </is>
      </c>
      <c r="F68" s="9" t="inlineStr">
        <is>
          <t>Excess of Loss</t>
        </is>
      </c>
      <c r="G68" s="9" t="n">
        <v>2023</v>
      </c>
      <c r="H68" s="12" t="n">
        <v>3400000</v>
      </c>
      <c r="I68" s="12" t="n">
        <v>347493.6</v>
      </c>
      <c r="J68" s="12" t="n">
        <v>17671.8</v>
      </c>
      <c r="K68" s="12" t="n">
        <v>347493.6</v>
      </c>
      <c r="L68" s="12" t="n">
        <v>34739.04</v>
      </c>
      <c r="M68" s="9" t="n">
        <v>12</v>
      </c>
      <c r="N68" s="12" t="n">
        <v>126380.85</v>
      </c>
      <c r="O68" s="12" t="n">
        <v>130405.05</v>
      </c>
      <c r="P68" s="12" t="n">
        <v>3400000</v>
      </c>
      <c r="Q68" s="9" t="inlineStr">
        <is>
          <t>Low</t>
        </is>
      </c>
      <c r="R68" s="11">
        <f>IFERROR(O68/K68,0)</f>
        <v/>
      </c>
    </row>
    <row r="69">
      <c r="A69" s="9" t="inlineStr">
        <is>
          <t>T0327</t>
        </is>
      </c>
      <c r="B69" s="9" t="inlineStr">
        <is>
          <t>Northwind Mutual</t>
        </is>
      </c>
      <c r="C69" s="9" t="inlineStr">
        <is>
          <t>Financial Lines</t>
        </is>
      </c>
      <c r="D69" s="9" t="inlineStr">
        <is>
          <t>Asia Pacific</t>
        </is>
      </c>
      <c r="E69" s="9" t="inlineStr">
        <is>
          <t>Priya Nair</t>
        </is>
      </c>
      <c r="F69" s="9" t="inlineStr">
        <is>
          <t>Proportional</t>
        </is>
      </c>
      <c r="G69" s="9" t="n">
        <v>2025</v>
      </c>
      <c r="H69" s="12" t="n">
        <v>8300000.000039999</v>
      </c>
      <c r="I69" s="12" t="n">
        <v>714993.3432</v>
      </c>
      <c r="J69" s="12" t="n">
        <v>73021.72031999999</v>
      </c>
      <c r="K69" s="12" t="n">
        <v>714993.3432</v>
      </c>
      <c r="L69" s="12" t="n">
        <v>174657.07152</v>
      </c>
      <c r="M69" s="9" t="n">
        <v>4</v>
      </c>
      <c r="N69" s="12" t="n">
        <v>468895.4828400001</v>
      </c>
      <c r="O69" s="12" t="n">
        <v>607131.201</v>
      </c>
      <c r="P69" s="12" t="n">
        <v>2490000</v>
      </c>
      <c r="Q69" s="9" t="inlineStr">
        <is>
          <t>Low</t>
        </is>
      </c>
      <c r="R69" s="11">
        <f>IFERROR(O69/K69,0)</f>
        <v/>
      </c>
    </row>
    <row r="70">
      <c r="A70" s="9" t="inlineStr">
        <is>
          <t>T0331</t>
        </is>
      </c>
      <c r="B70" s="9" t="inlineStr">
        <is>
          <t>Granite General</t>
        </is>
      </c>
      <c r="C70" s="9" t="inlineStr">
        <is>
          <t>Property</t>
        </is>
      </c>
      <c r="D70" s="9" t="inlineStr">
        <is>
          <t>Asia Pacific</t>
        </is>
      </c>
      <c r="E70" s="9" t="inlineStr">
        <is>
          <t>Sophie Laurent</t>
        </is>
      </c>
      <c r="F70" s="9" t="inlineStr">
        <is>
          <t>Proportional</t>
        </is>
      </c>
      <c r="G70" s="9" t="n">
        <v>2023</v>
      </c>
      <c r="H70" s="12" t="n">
        <v>10900000</v>
      </c>
      <c r="I70" s="12" t="n">
        <v>844470</v>
      </c>
      <c r="J70" s="12" t="n">
        <v>57416.64</v>
      </c>
      <c r="K70" s="12" t="n">
        <v>844470</v>
      </c>
      <c r="L70" s="12" t="n">
        <v>199584.48</v>
      </c>
      <c r="M70" s="9" t="n">
        <v>5</v>
      </c>
      <c r="N70" s="12" t="n">
        <v>796395</v>
      </c>
      <c r="O70" s="12" t="n">
        <v>796395</v>
      </c>
      <c r="P70" s="12" t="n">
        <v>3270000</v>
      </c>
      <c r="Q70" s="9" t="inlineStr">
        <is>
          <t>Low</t>
        </is>
      </c>
      <c r="R70" s="11">
        <f>IFERROR(O70/K70,0)</f>
        <v/>
      </c>
    </row>
    <row r="71">
      <c r="A71" s="9" t="inlineStr">
        <is>
          <t>T0333</t>
        </is>
      </c>
      <c r="B71" s="9" t="inlineStr">
        <is>
          <t>Granite Assurance</t>
        </is>
      </c>
      <c r="C71" s="9" t="inlineStr">
        <is>
          <t>Property</t>
        </is>
      </c>
      <c r="D71" s="9" t="inlineStr">
        <is>
          <t>Asia Pacific</t>
        </is>
      </c>
      <c r="E71" s="9" t="inlineStr">
        <is>
          <t>Priya Nair</t>
        </is>
      </c>
      <c r="F71" s="9" t="inlineStr">
        <is>
          <t>Facultative</t>
        </is>
      </c>
      <c r="G71" s="9" t="n">
        <v>2021</v>
      </c>
      <c r="H71" s="12" t="n">
        <v>42500000</v>
      </c>
      <c r="I71" s="12" t="n">
        <v>3743748.48</v>
      </c>
      <c r="J71" s="12" t="n">
        <v>264859.44</v>
      </c>
      <c r="K71" s="12" t="n">
        <v>3743748.48</v>
      </c>
      <c r="L71" s="12" t="n">
        <v>669351.12</v>
      </c>
      <c r="M71" s="9" t="n">
        <v>11</v>
      </c>
      <c r="N71" s="12" t="n">
        <v>2129791.73</v>
      </c>
      <c r="O71" s="12" t="n">
        <v>2129791.73</v>
      </c>
      <c r="P71" s="12" t="n">
        <v>42500000</v>
      </c>
      <c r="Q71" s="9" t="inlineStr">
        <is>
          <t>Low</t>
        </is>
      </c>
      <c r="R71" s="11">
        <f>IFERROR(O71/K71,0)</f>
        <v/>
      </c>
    </row>
    <row r="72">
      <c r="A72" s="9" t="inlineStr">
        <is>
          <t>T0340</t>
        </is>
      </c>
      <c r="B72" s="9" t="inlineStr">
        <is>
          <t>Orion Insurance</t>
        </is>
      </c>
      <c r="C72" s="9" t="inlineStr">
        <is>
          <t>Property</t>
        </is>
      </c>
      <c r="D72" s="9" t="inlineStr">
        <is>
          <t>Asia Pacific</t>
        </is>
      </c>
      <c r="E72" s="9" t="inlineStr">
        <is>
          <t>Omar Haddad</t>
        </is>
      </c>
      <c r="F72" s="9" t="inlineStr">
        <is>
          <t>Excess of Loss</t>
        </is>
      </c>
      <c r="G72" s="9" t="n">
        <v>2021</v>
      </c>
      <c r="H72" s="12" t="n">
        <v>9600000</v>
      </c>
      <c r="I72" s="12" t="n">
        <v>1248061.68</v>
      </c>
      <c r="J72" s="12" t="n">
        <v>136711.8</v>
      </c>
      <c r="K72" s="12" t="n">
        <v>1248061.68</v>
      </c>
      <c r="L72" s="12" t="n">
        <v>69809.39999999999</v>
      </c>
      <c r="M72" s="9" t="n">
        <v>8</v>
      </c>
      <c r="N72" s="12" t="n">
        <v>861987.4399999999</v>
      </c>
      <c r="O72" s="12" t="n">
        <v>891517.4299999999</v>
      </c>
      <c r="P72" s="12" t="n">
        <v>9600000</v>
      </c>
      <c r="Q72" s="9" t="inlineStr">
        <is>
          <t>Low</t>
        </is>
      </c>
      <c r="R72" s="11">
        <f>IFERROR(O72/K72,0)</f>
        <v/>
      </c>
    </row>
    <row r="73">
      <c r="A73" s="9" t="inlineStr">
        <is>
          <t>T0348</t>
        </is>
      </c>
      <c r="B73" s="9" t="inlineStr">
        <is>
          <t>Orion Insurance</t>
        </is>
      </c>
      <c r="C73" s="9" t="inlineStr">
        <is>
          <t>Property</t>
        </is>
      </c>
      <c r="D73" s="9" t="inlineStr">
        <is>
          <t>Asia Pacific</t>
        </is>
      </c>
      <c r="E73" s="9" t="inlineStr">
        <is>
          <t>James Whitfield</t>
        </is>
      </c>
      <c r="F73" s="9" t="inlineStr">
        <is>
          <t>Proportional</t>
        </is>
      </c>
      <c r="G73" s="9" t="n">
        <v>2024</v>
      </c>
      <c r="H73" s="12" t="n">
        <v>4000000</v>
      </c>
      <c r="I73" s="12" t="n">
        <v>642076.4400000001</v>
      </c>
      <c r="J73" s="12" t="n">
        <v>74289.95999999999</v>
      </c>
      <c r="K73" s="12" t="n">
        <v>642076.4400000001</v>
      </c>
      <c r="L73" s="12" t="n">
        <v>176527.2</v>
      </c>
      <c r="M73" s="9" t="n">
        <v>9</v>
      </c>
      <c r="N73" s="12" t="n">
        <v>229022.25</v>
      </c>
      <c r="O73" s="12" t="n">
        <v>229022.25</v>
      </c>
      <c r="P73" s="12" t="n">
        <v>1000000</v>
      </c>
      <c r="Q73" s="9" t="inlineStr">
        <is>
          <t>Low</t>
        </is>
      </c>
      <c r="R73" s="11">
        <f>IFERROR(O73/K73,0)</f>
        <v/>
      </c>
    </row>
    <row r="74">
      <c r="A74" s="9" t="inlineStr">
        <is>
          <t>T0350</t>
        </is>
      </c>
      <c r="B74" s="9" t="inlineStr">
        <is>
          <t>Northwind Mutual</t>
        </is>
      </c>
      <c r="C74" s="9" t="inlineStr">
        <is>
          <t>Casualty</t>
        </is>
      </c>
      <c r="D74" s="9" t="inlineStr">
        <is>
          <t>Asia Pacific</t>
        </is>
      </c>
      <c r="E74" s="9" t="inlineStr">
        <is>
          <t>Sophie Laurent</t>
        </is>
      </c>
      <c r="F74" s="9" t="inlineStr">
        <is>
          <t>Proportional</t>
        </is>
      </c>
      <c r="G74" s="9" t="n">
        <v>2024</v>
      </c>
      <c r="H74" s="12" t="n">
        <v>9000000</v>
      </c>
      <c r="I74" s="12" t="n">
        <v>1791557.87904</v>
      </c>
      <c r="J74" s="12" t="n">
        <v>204753.09168</v>
      </c>
      <c r="K74" s="12" t="n">
        <v>1791557.87904</v>
      </c>
      <c r="L74" s="12" t="n">
        <v>479020.9680000001</v>
      </c>
      <c r="M74" s="9" t="n">
        <v>8</v>
      </c>
      <c r="N74" s="12" t="n">
        <v>339885.3937200001</v>
      </c>
      <c r="O74" s="12" t="n">
        <v>361319.64084</v>
      </c>
      <c r="P74" s="12" t="n">
        <v>2250000</v>
      </c>
      <c r="Q74" s="9" t="inlineStr">
        <is>
          <t>Low</t>
        </is>
      </c>
      <c r="R74" s="11">
        <f>IFERROR(O74/K74,0)</f>
        <v/>
      </c>
    </row>
    <row r="75">
      <c r="A75" s="9" t="inlineStr">
        <is>
          <t>T0351</t>
        </is>
      </c>
      <c r="B75" s="9" t="inlineStr">
        <is>
          <t>Vantage Mutual</t>
        </is>
      </c>
      <c r="C75" s="9" t="inlineStr">
        <is>
          <t>Property</t>
        </is>
      </c>
      <c r="D75" s="9" t="inlineStr">
        <is>
          <t>Asia Pacific</t>
        </is>
      </c>
      <c r="E75" s="9" t="inlineStr">
        <is>
          <t>Omar Haddad</t>
        </is>
      </c>
      <c r="F75" s="9" t="inlineStr">
        <is>
          <t>Proportional</t>
        </is>
      </c>
      <c r="G75" s="9" t="n">
        <v>2023</v>
      </c>
      <c r="H75" s="12" t="n">
        <v>13800000</v>
      </c>
      <c r="I75" s="12" t="n">
        <v>2262512.088</v>
      </c>
      <c r="J75" s="12" t="n">
        <v>137780.79552</v>
      </c>
      <c r="K75" s="12" t="n">
        <v>2262512.088</v>
      </c>
      <c r="L75" s="12" t="n">
        <v>592038.8352</v>
      </c>
      <c r="M75" s="9" t="n">
        <v>7</v>
      </c>
      <c r="N75" s="12" t="n">
        <v>1172593.79676</v>
      </c>
      <c r="O75" s="12" t="n">
        <v>1246466.76564</v>
      </c>
      <c r="P75" s="12" t="n">
        <v>5520000</v>
      </c>
      <c r="Q75" s="9" t="inlineStr">
        <is>
          <t>Low</t>
        </is>
      </c>
      <c r="R75" s="11">
        <f>IFERROR(O75/K75,0)</f>
        <v/>
      </c>
    </row>
    <row r="76">
      <c r="A76" s="9" t="inlineStr">
        <is>
          <t>T0353</t>
        </is>
      </c>
      <c r="B76" s="9" t="inlineStr">
        <is>
          <t>Summit Indemnity</t>
        </is>
      </c>
      <c r="C76" s="9" t="inlineStr">
        <is>
          <t>Property</t>
        </is>
      </c>
      <c r="D76" s="9" t="inlineStr">
        <is>
          <t>Asia Pacific</t>
        </is>
      </c>
      <c r="E76" s="9" t="inlineStr">
        <is>
          <t>Sophie Laurent</t>
        </is>
      </c>
      <c r="F76" s="9" t="inlineStr">
        <is>
          <t>Proportional</t>
        </is>
      </c>
      <c r="G76" s="9" t="n">
        <v>2024</v>
      </c>
      <c r="H76" s="12" t="n">
        <v>8800000</v>
      </c>
      <c r="I76" s="12" t="n">
        <v>1547839.68</v>
      </c>
      <c r="J76" s="12" t="n">
        <v>157261.44</v>
      </c>
      <c r="K76" s="12" t="n">
        <v>1547839.68</v>
      </c>
      <c r="L76" s="12" t="n">
        <v>475904.28</v>
      </c>
      <c r="M76" s="9" t="n">
        <v>7</v>
      </c>
      <c r="N76" s="12" t="n">
        <v>1435741.89</v>
      </c>
      <c r="O76" s="12" t="n">
        <v>1435741.89</v>
      </c>
      <c r="P76" s="12" t="n">
        <v>1760000</v>
      </c>
      <c r="Q76" s="9" t="inlineStr">
        <is>
          <t>Low</t>
        </is>
      </c>
      <c r="R76" s="11">
        <f>IFERROR(O76/K76,0)</f>
        <v/>
      </c>
    </row>
    <row r="77">
      <c r="A77" s="9" t="inlineStr">
        <is>
          <t>T0357</t>
        </is>
      </c>
      <c r="B77" s="9" t="inlineStr">
        <is>
          <t>Northwind General</t>
        </is>
      </c>
      <c r="C77" s="9" t="inlineStr">
        <is>
          <t>Specialty</t>
        </is>
      </c>
      <c r="D77" s="9" t="inlineStr">
        <is>
          <t>Asia Pacific</t>
        </is>
      </c>
      <c r="E77" s="9" t="inlineStr">
        <is>
          <t>Priya Nair</t>
        </is>
      </c>
      <c r="F77" s="9" t="inlineStr">
        <is>
          <t>Proportional</t>
        </is>
      </c>
      <c r="G77" s="9" t="n">
        <v>2022</v>
      </c>
      <c r="H77" s="12" t="n">
        <v>51600000</v>
      </c>
      <c r="I77" s="12" t="n">
        <v>4216354.33824</v>
      </c>
      <c r="J77" s="12" t="n">
        <v>312129.6292800001</v>
      </c>
      <c r="K77" s="12" t="n">
        <v>4216354.33824</v>
      </c>
      <c r="L77" s="12" t="n">
        <v>1036921.61376</v>
      </c>
      <c r="M77" s="9" t="n">
        <v>9</v>
      </c>
      <c r="N77" s="12" t="n">
        <v>3057718.65552</v>
      </c>
      <c r="O77" s="12" t="n">
        <v>3310595.445</v>
      </c>
      <c r="P77" s="12" t="n">
        <v>15480000</v>
      </c>
      <c r="Q77" s="9" t="inlineStr">
        <is>
          <t>Low</t>
        </is>
      </c>
      <c r="R77" s="11">
        <f>IFERROR(O77/K77,0)</f>
        <v/>
      </c>
    </row>
    <row r="78">
      <c r="A78" s="9" t="inlineStr">
        <is>
          <t>T0359</t>
        </is>
      </c>
      <c r="B78" s="9" t="inlineStr">
        <is>
          <t>Summit Indemnity</t>
        </is>
      </c>
      <c r="C78" s="9" t="inlineStr">
        <is>
          <t>Casualty</t>
        </is>
      </c>
      <c r="D78" s="9" t="inlineStr">
        <is>
          <t>Asia Pacific</t>
        </is>
      </c>
      <c r="E78" s="9" t="inlineStr">
        <is>
          <t>Priya Nair</t>
        </is>
      </c>
      <c r="F78" s="9" t="inlineStr">
        <is>
          <t>Proportional</t>
        </is>
      </c>
      <c r="G78" s="9" t="n">
        <v>2024</v>
      </c>
      <c r="H78" s="12" t="n">
        <v>6400000</v>
      </c>
      <c r="I78" s="12" t="n">
        <v>653439</v>
      </c>
      <c r="J78" s="12" t="n">
        <v>77929.68000000001</v>
      </c>
      <c r="K78" s="12" t="n">
        <v>653439</v>
      </c>
      <c r="L78" s="12" t="n">
        <v>167548.8</v>
      </c>
      <c r="M78" s="9" t="n">
        <v>6</v>
      </c>
      <c r="N78" s="12" t="n">
        <v>210068.47</v>
      </c>
      <c r="O78" s="12" t="n">
        <v>542813.1900000001</v>
      </c>
      <c r="P78" s="12" t="n">
        <v>3200000</v>
      </c>
      <c r="Q78" s="9" t="inlineStr">
        <is>
          <t>Low</t>
        </is>
      </c>
      <c r="R78" s="11">
        <f>IFERROR(O78/K78,0)</f>
        <v/>
      </c>
    </row>
    <row r="79">
      <c r="A79" s="9" t="inlineStr">
        <is>
          <t>T0375</t>
        </is>
      </c>
      <c r="B79" s="9" t="inlineStr">
        <is>
          <t>Lumen Indemnity</t>
        </is>
      </c>
      <c r="C79" s="9" t="inlineStr">
        <is>
          <t>Specialty</t>
        </is>
      </c>
      <c r="D79" s="9" t="inlineStr">
        <is>
          <t>Asia Pacific</t>
        </is>
      </c>
      <c r="E79" s="9" t="inlineStr">
        <is>
          <t>James Whitfield</t>
        </is>
      </c>
      <c r="F79" s="9" t="inlineStr">
        <is>
          <t>Excess of Loss</t>
        </is>
      </c>
      <c r="G79" s="9" t="n">
        <v>2026</v>
      </c>
      <c r="H79" s="12" t="n">
        <v>8800000</v>
      </c>
      <c r="I79" s="12" t="n">
        <v>567261.76</v>
      </c>
      <c r="J79" s="12" t="n">
        <v>37810.08</v>
      </c>
      <c r="K79" s="12" t="n">
        <v>531807.9</v>
      </c>
      <c r="L79" s="12" t="n">
        <v>52318.875</v>
      </c>
      <c r="M79" s="9" t="n">
        <v>6</v>
      </c>
      <c r="N79" s="12" t="n">
        <v>111308.4</v>
      </c>
      <c r="O79" s="12" t="n">
        <v>267008.23</v>
      </c>
      <c r="P79" s="12" t="n">
        <v>8800000</v>
      </c>
      <c r="Q79" s="9" t="inlineStr">
        <is>
          <t>Low</t>
        </is>
      </c>
      <c r="R79" s="11">
        <f>IFERROR(O79/K79,0)</f>
        <v/>
      </c>
    </row>
    <row r="80">
      <c r="A80" s="9" t="inlineStr">
        <is>
          <t>T0377</t>
        </is>
      </c>
      <c r="B80" s="9" t="inlineStr">
        <is>
          <t>Granite General</t>
        </is>
      </c>
      <c r="C80" s="9" t="inlineStr">
        <is>
          <t>Casualty</t>
        </is>
      </c>
      <c r="D80" s="9" t="inlineStr">
        <is>
          <t>Asia Pacific</t>
        </is>
      </c>
      <c r="E80" s="9" t="inlineStr">
        <is>
          <t>Aarav Mehta</t>
        </is>
      </c>
      <c r="F80" s="9" t="inlineStr">
        <is>
          <t>Excess of Loss</t>
        </is>
      </c>
      <c r="G80" s="9" t="n">
        <v>2023</v>
      </c>
      <c r="H80" s="12" t="n">
        <v>4200000</v>
      </c>
      <c r="I80" s="12" t="n">
        <v>747926.04</v>
      </c>
      <c r="J80" s="12" t="n">
        <v>61746.60000000001</v>
      </c>
      <c r="K80" s="12" t="n">
        <v>747926.04</v>
      </c>
      <c r="L80" s="12" t="n">
        <v>67875.60000000001</v>
      </c>
      <c r="M80" s="9" t="n">
        <v>8</v>
      </c>
      <c r="N80" s="12" t="n">
        <v>432886.97</v>
      </c>
      <c r="O80" s="12" t="n">
        <v>432886.97</v>
      </c>
      <c r="P80" s="12" t="n">
        <v>4200000</v>
      </c>
      <c r="Q80" s="9" t="inlineStr">
        <is>
          <t>Low</t>
        </is>
      </c>
      <c r="R80" s="11">
        <f>IFERROR(O80/K80,0)</f>
        <v/>
      </c>
    </row>
    <row r="81">
      <c r="A81" s="9" t="inlineStr">
        <is>
          <t>T0378</t>
        </is>
      </c>
      <c r="B81" s="9" t="inlineStr">
        <is>
          <t>Vantage Mutual</t>
        </is>
      </c>
      <c r="C81" s="9" t="inlineStr">
        <is>
          <t>Professional</t>
        </is>
      </c>
      <c r="D81" s="9" t="inlineStr">
        <is>
          <t>Asia Pacific</t>
        </is>
      </c>
      <c r="E81" s="9" t="inlineStr">
        <is>
          <t>Sophie Laurent</t>
        </is>
      </c>
      <c r="F81" s="9" t="inlineStr">
        <is>
          <t>Proportional</t>
        </is>
      </c>
      <c r="G81" s="9" t="n">
        <v>2026</v>
      </c>
      <c r="H81" s="12" t="n">
        <v>2300000.00004</v>
      </c>
      <c r="I81" s="12" t="n">
        <v>270421.50132</v>
      </c>
      <c r="J81" s="12" t="n">
        <v>15472.69668</v>
      </c>
      <c r="K81" s="12" t="n">
        <v>243379.3512</v>
      </c>
      <c r="L81" s="12" t="n">
        <v>61020.09839100865</v>
      </c>
      <c r="M81" s="9" t="n">
        <v>9</v>
      </c>
      <c r="N81" s="12" t="n">
        <v>722464.11216</v>
      </c>
      <c r="O81" s="12" t="n">
        <v>3044036.4996</v>
      </c>
      <c r="P81" s="12" t="n">
        <v>1149999.99996</v>
      </c>
      <c r="Q81" s="9" t="inlineStr">
        <is>
          <t>Critical</t>
        </is>
      </c>
      <c r="R81" s="11">
        <f>IFERROR(O81/K81,0)</f>
        <v/>
      </c>
    </row>
    <row r="82">
      <c r="A82" s="9" t="inlineStr">
        <is>
          <t>T0379</t>
        </is>
      </c>
      <c r="B82" s="9" t="inlineStr">
        <is>
          <t>Granite General</t>
        </is>
      </c>
      <c r="C82" s="9" t="inlineStr">
        <is>
          <t>Financial Lines</t>
        </is>
      </c>
      <c r="D82" s="9" t="inlineStr">
        <is>
          <t>Asia Pacific</t>
        </is>
      </c>
      <c r="E82" s="9" t="inlineStr">
        <is>
          <t>James Whitfield</t>
        </is>
      </c>
      <c r="F82" s="9" t="inlineStr">
        <is>
          <t>Excess of Loss</t>
        </is>
      </c>
      <c r="G82" s="9" t="n">
        <v>2025</v>
      </c>
      <c r="H82" s="12" t="n">
        <v>3100000</v>
      </c>
      <c r="I82" s="12" t="n">
        <v>369769.3</v>
      </c>
      <c r="J82" s="12" t="n">
        <v>35647.60000000001</v>
      </c>
      <c r="K82" s="12" t="n">
        <v>368536.74</v>
      </c>
      <c r="L82" s="12" t="n">
        <v>27538.1993238</v>
      </c>
      <c r="M82" s="9" t="n">
        <v>12</v>
      </c>
      <c r="N82" s="12" t="n">
        <v>83204.05</v>
      </c>
      <c r="O82" s="12" t="n">
        <v>244400.42</v>
      </c>
      <c r="P82" s="12" t="n">
        <v>3100000</v>
      </c>
      <c r="Q82" s="9" t="inlineStr">
        <is>
          <t>Low</t>
        </is>
      </c>
      <c r="R82" s="11">
        <f>IFERROR(O82/K82,0)</f>
        <v/>
      </c>
    </row>
    <row r="83">
      <c r="A83" s="9" t="inlineStr">
        <is>
          <t>T0390</t>
        </is>
      </c>
      <c r="B83" s="9" t="inlineStr">
        <is>
          <t>Northwind Mutual</t>
        </is>
      </c>
      <c r="C83" s="9" t="inlineStr">
        <is>
          <t>Casualty</t>
        </is>
      </c>
      <c r="D83" s="9" t="inlineStr">
        <is>
          <t>Asia Pacific</t>
        </is>
      </c>
      <c r="E83" s="9" t="inlineStr">
        <is>
          <t>Omar Haddad</t>
        </is>
      </c>
      <c r="F83" s="9" t="inlineStr">
        <is>
          <t>Facultative</t>
        </is>
      </c>
      <c r="G83" s="9" t="n">
        <v>2022</v>
      </c>
      <c r="H83" s="12" t="n">
        <v>15500000.00004</v>
      </c>
      <c r="I83" s="12" t="n">
        <v>2008632.25872</v>
      </c>
      <c r="J83" s="12" t="n">
        <v>108219.97296</v>
      </c>
      <c r="K83" s="12" t="n">
        <v>2008632.25872</v>
      </c>
      <c r="L83" s="12" t="n">
        <v>323339.99472</v>
      </c>
      <c r="M83" s="9" t="n">
        <v>12</v>
      </c>
      <c r="N83" s="12" t="n">
        <v>1058392.37748</v>
      </c>
      <c r="O83" s="12" t="n">
        <v>1096588.44252</v>
      </c>
      <c r="P83" s="12" t="n">
        <v>15500000.00004</v>
      </c>
      <c r="Q83" s="9" t="inlineStr">
        <is>
          <t>Low</t>
        </is>
      </c>
      <c r="R83" s="11">
        <f>IFERROR(O83/K83,0)</f>
        <v/>
      </c>
    </row>
    <row r="84">
      <c r="A84" s="9" t="inlineStr">
        <is>
          <t>T0391</t>
        </is>
      </c>
      <c r="B84" s="9" t="inlineStr">
        <is>
          <t>Northwind Mutual</t>
        </is>
      </c>
      <c r="C84" s="9" t="inlineStr">
        <is>
          <t>Property</t>
        </is>
      </c>
      <c r="D84" s="9" t="inlineStr">
        <is>
          <t>Asia Pacific</t>
        </is>
      </c>
      <c r="E84" s="9" t="inlineStr">
        <is>
          <t>Kenji Sato</t>
        </is>
      </c>
      <c r="F84" s="9" t="inlineStr">
        <is>
          <t>Excess of Loss</t>
        </is>
      </c>
      <c r="G84" s="9" t="n">
        <v>2025</v>
      </c>
      <c r="H84" s="12" t="n">
        <v>3999999.99996</v>
      </c>
      <c r="I84" s="12" t="n">
        <v>508894.65504</v>
      </c>
      <c r="J84" s="12" t="n">
        <v>57301.66512</v>
      </c>
      <c r="K84" s="12" t="n">
        <v>508894.65504</v>
      </c>
      <c r="L84" s="12" t="n">
        <v>55187.64576</v>
      </c>
      <c r="M84" s="9" t="n">
        <v>11</v>
      </c>
      <c r="N84" s="12" t="n">
        <v>291696.0876</v>
      </c>
      <c r="O84" s="12" t="n">
        <v>498680.8278</v>
      </c>
      <c r="P84" s="12" t="n">
        <v>3999999.99996</v>
      </c>
      <c r="Q84" s="9" t="inlineStr">
        <is>
          <t>Low</t>
        </is>
      </c>
      <c r="R84" s="11">
        <f>IFERROR(O84/K84,0)</f>
        <v/>
      </c>
    </row>
    <row r="85">
      <c r="A85" s="9" t="inlineStr">
        <is>
          <t>T0395</t>
        </is>
      </c>
      <c r="B85" s="9" t="inlineStr">
        <is>
          <t>Granite General</t>
        </is>
      </c>
      <c r="C85" s="9" t="inlineStr">
        <is>
          <t>Casualty</t>
        </is>
      </c>
      <c r="D85" s="9" t="inlineStr">
        <is>
          <t>Asia Pacific</t>
        </is>
      </c>
      <c r="E85" s="9" t="inlineStr">
        <is>
          <t>Hannah Weber</t>
        </is>
      </c>
      <c r="F85" s="9" t="inlineStr">
        <is>
          <t>Excess of Loss</t>
        </is>
      </c>
      <c r="G85" s="9" t="n">
        <v>2025</v>
      </c>
      <c r="H85" s="12" t="n">
        <v>2600000</v>
      </c>
      <c r="I85" s="12" t="n">
        <v>231132</v>
      </c>
      <c r="J85" s="12" t="n">
        <v>17130.48</v>
      </c>
      <c r="K85" s="12" t="n">
        <v>231132</v>
      </c>
      <c r="L85" s="12" t="n">
        <v>25800.12</v>
      </c>
      <c r="M85" s="9" t="n">
        <v>14</v>
      </c>
      <c r="N85" s="12" t="n">
        <v>98875.10000000001</v>
      </c>
      <c r="O85" s="12" t="n">
        <v>112884.43</v>
      </c>
      <c r="P85" s="12" t="n">
        <v>2600000</v>
      </c>
      <c r="Q85" s="9" t="inlineStr">
        <is>
          <t>Low</t>
        </is>
      </c>
      <c r="R85" s="11">
        <f>IFERROR(O85/K85,0)</f>
        <v/>
      </c>
    </row>
    <row r="86">
      <c r="A86" s="9" t="inlineStr">
        <is>
          <t>T0402</t>
        </is>
      </c>
      <c r="B86" s="9" t="inlineStr">
        <is>
          <t>Sterling Insurance</t>
        </is>
      </c>
      <c r="C86" s="9" t="inlineStr">
        <is>
          <t>Financial Lines</t>
        </is>
      </c>
      <c r="D86" s="9" t="inlineStr">
        <is>
          <t>Asia Pacific</t>
        </is>
      </c>
      <c r="E86" s="9" t="inlineStr">
        <is>
          <t>Omar Haddad</t>
        </is>
      </c>
      <c r="F86" s="9" t="inlineStr">
        <is>
          <t>Excess of Loss</t>
        </is>
      </c>
      <c r="G86" s="9" t="n">
        <v>2023</v>
      </c>
      <c r="H86" s="12" t="n">
        <v>16700000.00004</v>
      </c>
      <c r="I86" s="12" t="n">
        <v>1456600.14576</v>
      </c>
      <c r="J86" s="12" t="n">
        <v>111409.98624</v>
      </c>
      <c r="K86" s="12" t="n">
        <v>1456600.14576</v>
      </c>
      <c r="L86" s="12" t="n">
        <v>170468.0568</v>
      </c>
      <c r="M86" s="9" t="n">
        <v>7</v>
      </c>
      <c r="N86" s="12" t="n">
        <v>450727.287</v>
      </c>
      <c r="O86" s="12" t="n">
        <v>491279.36412</v>
      </c>
      <c r="P86" s="12" t="n">
        <v>16700000.00004</v>
      </c>
      <c r="Q86" s="9" t="inlineStr">
        <is>
          <t>Low</t>
        </is>
      </c>
      <c r="R86" s="11">
        <f>IFERROR(O86/K86,0)</f>
        <v/>
      </c>
    </row>
    <row r="87">
      <c r="A87" s="9" t="inlineStr">
        <is>
          <t>T0415</t>
        </is>
      </c>
      <c r="B87" s="9" t="inlineStr">
        <is>
          <t>Northwind General</t>
        </is>
      </c>
      <c r="C87" s="9" t="inlineStr">
        <is>
          <t>Specialty</t>
        </is>
      </c>
      <c r="D87" s="9" t="inlineStr">
        <is>
          <t>Asia Pacific</t>
        </is>
      </c>
      <c r="E87" s="9" t="inlineStr">
        <is>
          <t>Hannah Weber</t>
        </is>
      </c>
      <c r="F87" s="9" t="inlineStr">
        <is>
          <t>Excess of Loss</t>
        </is>
      </c>
      <c r="G87" s="9" t="n">
        <v>2023</v>
      </c>
      <c r="H87" s="12" t="n">
        <v>17499999.99996</v>
      </c>
      <c r="I87" s="12" t="n">
        <v>2566597.58784</v>
      </c>
      <c r="J87" s="12" t="n">
        <v>275419.34928</v>
      </c>
      <c r="K87" s="12" t="n">
        <v>2566597.58784</v>
      </c>
      <c r="L87" s="12" t="n">
        <v>151535.75472</v>
      </c>
      <c r="M87" s="9" t="n">
        <v>15</v>
      </c>
      <c r="N87" s="12" t="n">
        <v>1656076.28844</v>
      </c>
      <c r="O87" s="12" t="n">
        <v>1829517.87936</v>
      </c>
      <c r="P87" s="12" t="n">
        <v>17499999.99996</v>
      </c>
      <c r="Q87" s="9" t="inlineStr">
        <is>
          <t>Low</t>
        </is>
      </c>
      <c r="R87" s="11">
        <f>IFERROR(O87/K87,0)</f>
        <v/>
      </c>
    </row>
    <row r="88">
      <c r="A88" s="9" t="inlineStr">
        <is>
          <t>T0418</t>
        </is>
      </c>
      <c r="B88" s="9" t="inlineStr">
        <is>
          <t>Granite Assurance</t>
        </is>
      </c>
      <c r="C88" s="9" t="inlineStr">
        <is>
          <t>Casualty</t>
        </is>
      </c>
      <c r="D88" s="9" t="inlineStr">
        <is>
          <t>Asia Pacific</t>
        </is>
      </c>
      <c r="E88" s="9" t="inlineStr">
        <is>
          <t>Hannah Weber</t>
        </is>
      </c>
      <c r="F88" s="9" t="inlineStr">
        <is>
          <t>Facultative</t>
        </is>
      </c>
      <c r="G88" s="9" t="n">
        <v>2021</v>
      </c>
      <c r="H88" s="12" t="n">
        <v>5400000</v>
      </c>
      <c r="I88" s="12" t="n">
        <v>793310.3999999999</v>
      </c>
      <c r="J88" s="12" t="n">
        <v>71490.48</v>
      </c>
      <c r="K88" s="12" t="n">
        <v>793310.3999999999</v>
      </c>
      <c r="L88" s="12" t="n">
        <v>124085.28</v>
      </c>
      <c r="M88" s="9" t="n">
        <v>6</v>
      </c>
      <c r="N88" s="12" t="n">
        <v>354771.35</v>
      </c>
      <c r="O88" s="12" t="n">
        <v>460654.67</v>
      </c>
      <c r="P88" s="12" t="n">
        <v>5400000</v>
      </c>
      <c r="Q88" s="9" t="inlineStr">
        <is>
          <t>Low</t>
        </is>
      </c>
      <c r="R88" s="11">
        <f>IFERROR(O88/K88,0)</f>
        <v/>
      </c>
    </row>
    <row r="89">
      <c r="A89" s="9" t="inlineStr">
        <is>
          <t>T0424</t>
        </is>
      </c>
      <c r="B89" s="9" t="inlineStr">
        <is>
          <t>Granite General</t>
        </is>
      </c>
      <c r="C89" s="9" t="inlineStr">
        <is>
          <t>Financial Lines</t>
        </is>
      </c>
      <c r="D89" s="9" t="inlineStr">
        <is>
          <t>Asia Pacific</t>
        </is>
      </c>
      <c r="E89" s="9" t="inlineStr">
        <is>
          <t>Carlos Ibarra</t>
        </is>
      </c>
      <c r="F89" s="9" t="inlineStr">
        <is>
          <t>Excess of Loss</t>
        </is>
      </c>
      <c r="G89" s="9" t="n">
        <v>2024</v>
      </c>
      <c r="H89" s="12" t="n">
        <v>31800000</v>
      </c>
      <c r="I89" s="12" t="n">
        <v>4181068.92</v>
      </c>
      <c r="J89" s="12" t="n">
        <v>293303.28</v>
      </c>
      <c r="K89" s="12" t="n">
        <v>4181068.92</v>
      </c>
      <c r="L89" s="12" t="n">
        <v>405415.2</v>
      </c>
      <c r="M89" s="9" t="n">
        <v>8</v>
      </c>
      <c r="N89" s="12" t="n">
        <v>2193928.2</v>
      </c>
      <c r="O89" s="12" t="n">
        <v>2193928.2</v>
      </c>
      <c r="P89" s="12" t="n">
        <v>31800000</v>
      </c>
      <c r="Q89" s="9" t="inlineStr">
        <is>
          <t>Low</t>
        </is>
      </c>
      <c r="R89" s="11">
        <f>IFERROR(O89/K89,0)</f>
        <v/>
      </c>
    </row>
    <row r="90">
      <c r="A90" s="9" t="inlineStr">
        <is>
          <t>T0432</t>
        </is>
      </c>
      <c r="B90" s="9" t="inlineStr">
        <is>
          <t>Northwind Mutual</t>
        </is>
      </c>
      <c r="C90" s="9" t="inlineStr">
        <is>
          <t>Specialty</t>
        </is>
      </c>
      <c r="D90" s="9" t="inlineStr">
        <is>
          <t>Asia Pacific</t>
        </is>
      </c>
      <c r="E90" s="9" t="inlineStr">
        <is>
          <t>Omar Haddad</t>
        </is>
      </c>
      <c r="F90" s="9" t="inlineStr">
        <is>
          <t>Excess of Loss</t>
        </is>
      </c>
      <c r="G90" s="9" t="n">
        <v>2023</v>
      </c>
      <c r="H90" s="12" t="n">
        <v>16800000</v>
      </c>
      <c r="I90" s="12" t="n">
        <v>2010391.82784</v>
      </c>
      <c r="J90" s="12" t="n">
        <v>126234.38736</v>
      </c>
      <c r="K90" s="12" t="n">
        <v>2010391.82784</v>
      </c>
      <c r="L90" s="12" t="n">
        <v>182198.75328</v>
      </c>
      <c r="M90" s="9" t="n">
        <v>9</v>
      </c>
      <c r="N90" s="12" t="n">
        <v>571762.19712</v>
      </c>
      <c r="O90" s="12" t="n">
        <v>867828.34392</v>
      </c>
      <c r="P90" s="12" t="n">
        <v>16800000</v>
      </c>
      <c r="Q90" s="9" t="inlineStr">
        <is>
          <t>Low</t>
        </is>
      </c>
      <c r="R90" s="11">
        <f>IFERROR(O90/K90,0)</f>
        <v/>
      </c>
    </row>
    <row r="91">
      <c r="A91" s="9" t="inlineStr">
        <is>
          <t>T0435</t>
        </is>
      </c>
      <c r="B91" s="9" t="inlineStr">
        <is>
          <t>Crown Insurance</t>
        </is>
      </c>
      <c r="C91" s="9" t="inlineStr">
        <is>
          <t>Financial Lines</t>
        </is>
      </c>
      <c r="D91" s="9" t="inlineStr">
        <is>
          <t>Asia Pacific</t>
        </is>
      </c>
      <c r="E91" s="9" t="inlineStr">
        <is>
          <t>Kenji Sato</t>
        </is>
      </c>
      <c r="F91" s="9" t="inlineStr">
        <is>
          <t>Proportional</t>
        </is>
      </c>
      <c r="G91" s="9" t="n">
        <v>2022</v>
      </c>
      <c r="H91" s="12" t="n">
        <v>17000000</v>
      </c>
      <c r="I91" s="12" t="n">
        <v>1324566</v>
      </c>
      <c r="J91" s="12" t="n">
        <v>72703.68000000001</v>
      </c>
      <c r="K91" s="12" t="n">
        <v>1324566</v>
      </c>
      <c r="L91" s="12" t="n">
        <v>340812.84</v>
      </c>
      <c r="M91" s="9" t="n">
        <v>8</v>
      </c>
      <c r="N91" s="12" t="n">
        <v>233052.65</v>
      </c>
      <c r="O91" s="12" t="n">
        <v>660083.91</v>
      </c>
      <c r="P91" s="12" t="n">
        <v>5100000</v>
      </c>
      <c r="Q91" s="9" t="inlineStr">
        <is>
          <t>Low</t>
        </is>
      </c>
      <c r="R91" s="11">
        <f>IFERROR(O91/K91,0)</f>
        <v/>
      </c>
    </row>
    <row r="92">
      <c r="A92" s="9" t="inlineStr">
        <is>
          <t>T0437</t>
        </is>
      </c>
      <c r="B92" s="9" t="inlineStr">
        <is>
          <t>Lumen Indemnity</t>
        </is>
      </c>
      <c r="C92" s="9" t="inlineStr">
        <is>
          <t>Professional</t>
        </is>
      </c>
      <c r="D92" s="9" t="inlineStr">
        <is>
          <t>Asia Pacific</t>
        </is>
      </c>
      <c r="E92" s="9" t="inlineStr">
        <is>
          <t>Aarav Mehta</t>
        </is>
      </c>
      <c r="F92" s="9" t="inlineStr">
        <is>
          <t>Excess of Loss</t>
        </is>
      </c>
      <c r="G92" s="9" t="n">
        <v>2021</v>
      </c>
      <c r="H92" s="12" t="n">
        <v>11000000</v>
      </c>
      <c r="I92" s="12" t="n">
        <v>1259593.92</v>
      </c>
      <c r="J92" s="12" t="n">
        <v>131071.68</v>
      </c>
      <c r="K92" s="12" t="n">
        <v>1259593.92</v>
      </c>
      <c r="L92" s="12" t="n">
        <v>68060.40000000001</v>
      </c>
      <c r="M92" s="9" t="n">
        <v>8</v>
      </c>
      <c r="N92" s="12" t="n">
        <v>353127.6</v>
      </c>
      <c r="O92" s="12" t="n">
        <v>406114.82</v>
      </c>
      <c r="P92" s="12" t="n">
        <v>11000000</v>
      </c>
      <c r="Q92" s="9" t="inlineStr">
        <is>
          <t>Low</t>
        </is>
      </c>
      <c r="R92" s="11">
        <f>IFERROR(O92/K92,0)</f>
        <v/>
      </c>
    </row>
    <row r="93">
      <c r="A93" s="9" t="inlineStr">
        <is>
          <t>T0443</t>
        </is>
      </c>
      <c r="B93" s="9" t="inlineStr">
        <is>
          <t>Orion Insurance</t>
        </is>
      </c>
      <c r="C93" s="9" t="inlineStr">
        <is>
          <t>Property</t>
        </is>
      </c>
      <c r="D93" s="9" t="inlineStr">
        <is>
          <t>Asia Pacific</t>
        </is>
      </c>
      <c r="E93" s="9" t="inlineStr">
        <is>
          <t>Sophie Laurent</t>
        </is>
      </c>
      <c r="F93" s="9" t="inlineStr">
        <is>
          <t>Excess of Loss</t>
        </is>
      </c>
      <c r="G93" s="9" t="n">
        <v>2024</v>
      </c>
      <c r="H93" s="12" t="n">
        <v>19000000</v>
      </c>
      <c r="I93" s="12" t="n">
        <v>2098213.68</v>
      </c>
      <c r="J93" s="12" t="n">
        <v>173207.52</v>
      </c>
      <c r="K93" s="12" t="n">
        <v>2098213.68</v>
      </c>
      <c r="L93" s="12" t="n">
        <v>251128.56</v>
      </c>
      <c r="M93" s="9" t="n">
        <v>12</v>
      </c>
      <c r="N93" s="12" t="n">
        <v>1735972.98</v>
      </c>
      <c r="O93" s="12" t="n">
        <v>1735972.98</v>
      </c>
      <c r="P93" s="12" t="n">
        <v>19000000</v>
      </c>
      <c r="Q93" s="9" t="inlineStr">
        <is>
          <t>Low</t>
        </is>
      </c>
      <c r="R93" s="11">
        <f>IFERROR(O93/K93,0)</f>
        <v/>
      </c>
    </row>
    <row r="94">
      <c r="A94" s="9" t="inlineStr">
        <is>
          <t>T0444</t>
        </is>
      </c>
      <c r="B94" s="9" t="inlineStr">
        <is>
          <t>Orion Insurance</t>
        </is>
      </c>
      <c r="C94" s="9" t="inlineStr">
        <is>
          <t>Property</t>
        </is>
      </c>
      <c r="D94" s="9" t="inlineStr">
        <is>
          <t>Asia Pacific</t>
        </is>
      </c>
      <c r="E94" s="9" t="inlineStr">
        <is>
          <t>Omar Haddad</t>
        </is>
      </c>
      <c r="F94" s="9" t="inlineStr">
        <is>
          <t>Excess of Loss</t>
        </is>
      </c>
      <c r="G94" s="9" t="n">
        <v>2025</v>
      </c>
      <c r="H94" s="12" t="n">
        <v>17900000</v>
      </c>
      <c r="I94" s="12" t="n">
        <v>1955949.36</v>
      </c>
      <c r="J94" s="12" t="n">
        <v>203486.28</v>
      </c>
      <c r="K94" s="12" t="n">
        <v>1830985.93</v>
      </c>
      <c r="L94" s="12" t="n">
        <v>108525.4580790288</v>
      </c>
      <c r="M94" s="9" t="n">
        <v>8</v>
      </c>
      <c r="N94" s="12" t="n">
        <v>415676.28</v>
      </c>
      <c r="O94" s="12" t="n">
        <v>1009655.16</v>
      </c>
      <c r="P94" s="12" t="n">
        <v>17900000</v>
      </c>
      <c r="Q94" s="9" t="inlineStr">
        <is>
          <t>Low</t>
        </is>
      </c>
      <c r="R94" s="11">
        <f>IFERROR(O94/K94,0)</f>
        <v/>
      </c>
    </row>
    <row r="95">
      <c r="A95" s="9" t="inlineStr">
        <is>
          <t>T0446</t>
        </is>
      </c>
      <c r="B95" s="9" t="inlineStr">
        <is>
          <t>Atlas Insurance</t>
        </is>
      </c>
      <c r="C95" s="9" t="inlineStr">
        <is>
          <t>Property</t>
        </is>
      </c>
      <c r="D95" s="9" t="inlineStr">
        <is>
          <t>Asia Pacific</t>
        </is>
      </c>
      <c r="E95" s="9" t="inlineStr">
        <is>
          <t>Carlos Ibarra</t>
        </is>
      </c>
      <c r="F95" s="9" t="inlineStr">
        <is>
          <t>Excess of Loss</t>
        </is>
      </c>
      <c r="G95" s="9" t="n">
        <v>2025</v>
      </c>
      <c r="H95" s="12" t="n">
        <v>12100000</v>
      </c>
      <c r="I95" s="12" t="n">
        <v>1059239.16</v>
      </c>
      <c r="J95" s="12" t="n">
        <v>78967.68000000001</v>
      </c>
      <c r="K95" s="12" t="n">
        <v>988623.22</v>
      </c>
      <c r="L95" s="12" t="n">
        <v>70209.44028406957</v>
      </c>
      <c r="M95" s="9" t="n">
        <v>9</v>
      </c>
      <c r="N95" s="12" t="n">
        <v>170646.13</v>
      </c>
      <c r="O95" s="12" t="n">
        <v>382396.5</v>
      </c>
      <c r="P95" s="12" t="n">
        <v>12100000</v>
      </c>
      <c r="Q95" s="9" t="inlineStr">
        <is>
          <t>Low</t>
        </is>
      </c>
      <c r="R95" s="11">
        <f>IFERROR(O95/K95,0)</f>
        <v/>
      </c>
    </row>
    <row r="96">
      <c r="A96" s="9" t="inlineStr">
        <is>
          <t>T0449</t>
        </is>
      </c>
      <c r="B96" s="9" t="inlineStr">
        <is>
          <t>Northwind General</t>
        </is>
      </c>
      <c r="C96" s="9" t="inlineStr">
        <is>
          <t>Financial Lines</t>
        </is>
      </c>
      <c r="D96" s="9" t="inlineStr">
        <is>
          <t>Asia Pacific</t>
        </is>
      </c>
      <c r="E96" s="9" t="inlineStr">
        <is>
          <t>Kenji Sato</t>
        </is>
      </c>
      <c r="F96" s="9" t="inlineStr">
        <is>
          <t>Proportional</t>
        </is>
      </c>
      <c r="G96" s="9" t="n">
        <v>2026</v>
      </c>
      <c r="H96" s="12" t="n">
        <v>40800000</v>
      </c>
      <c r="I96" s="12" t="n">
        <v>1706731.73916</v>
      </c>
      <c r="J96" s="12" t="n">
        <v>183396.10212</v>
      </c>
      <c r="K96" s="12" t="n">
        <v>1649840.68116</v>
      </c>
      <c r="L96" s="12" t="n">
        <v>505445.202323422</v>
      </c>
      <c r="M96" s="9" t="n">
        <v>5</v>
      </c>
      <c r="N96" s="12" t="n">
        <v>306266.67228</v>
      </c>
      <c r="O96" s="12" t="n">
        <v>823522.08528</v>
      </c>
      <c r="P96" s="12" t="n">
        <v>20400000</v>
      </c>
      <c r="Q96" s="9" t="inlineStr">
        <is>
          <t>Low</t>
        </is>
      </c>
      <c r="R96" s="11">
        <f>IFERROR(O96/K96,0)</f>
        <v/>
      </c>
    </row>
    <row r="97">
      <c r="A97" s="9" t="inlineStr">
        <is>
          <t>T0452</t>
        </is>
      </c>
      <c r="B97" s="9" t="inlineStr">
        <is>
          <t>Meridian Insurance</t>
        </is>
      </c>
      <c r="C97" s="9" t="inlineStr">
        <is>
          <t>Professional</t>
        </is>
      </c>
      <c r="D97" s="9" t="inlineStr">
        <is>
          <t>Asia Pacific</t>
        </is>
      </c>
      <c r="E97" s="9" t="inlineStr">
        <is>
          <t>James Whitfield</t>
        </is>
      </c>
      <c r="F97" s="9" t="inlineStr">
        <is>
          <t>Proportional</t>
        </is>
      </c>
      <c r="G97" s="9" t="n">
        <v>2026</v>
      </c>
      <c r="H97" s="12" t="n">
        <v>4800000</v>
      </c>
      <c r="I97" s="12" t="n">
        <v>436865.03</v>
      </c>
      <c r="J97" s="12" t="n">
        <v>47755.68</v>
      </c>
      <c r="K97" s="12" t="n">
        <v>378616.36</v>
      </c>
      <c r="L97" s="12" t="n">
        <v>115203.9375361841</v>
      </c>
      <c r="M97" s="9" t="n">
        <v>4</v>
      </c>
      <c r="N97" s="12" t="n">
        <v>67050.64</v>
      </c>
      <c r="O97" s="12" t="n">
        <v>313637.92</v>
      </c>
      <c r="P97" s="12" t="n">
        <v>1200000</v>
      </c>
      <c r="Q97" s="9" t="inlineStr">
        <is>
          <t>Low</t>
        </is>
      </c>
      <c r="R97" s="11">
        <f>IFERROR(O97/K97,0)</f>
        <v/>
      </c>
    </row>
    <row r="98">
      <c r="A98" s="9" t="inlineStr">
        <is>
          <t>T0453</t>
        </is>
      </c>
      <c r="B98" s="9" t="inlineStr">
        <is>
          <t>Summit Indemnity</t>
        </is>
      </c>
      <c r="C98" s="9" t="inlineStr">
        <is>
          <t>Unmapped</t>
        </is>
      </c>
      <c r="D98" s="9" t="inlineStr">
        <is>
          <t>Asia Pacific</t>
        </is>
      </c>
      <c r="E98" s="9" t="inlineStr">
        <is>
          <t>Kenji Sato</t>
        </is>
      </c>
      <c r="F98" s="9" t="inlineStr">
        <is>
          <t>Excess of Loss</t>
        </is>
      </c>
      <c r="G98" s="9" t="n">
        <v>2021</v>
      </c>
      <c r="H98" s="12" t="n">
        <v>60300000</v>
      </c>
      <c r="I98" s="12" t="n">
        <v>10870249.68</v>
      </c>
      <c r="J98" s="12" t="n">
        <v>1214176.56</v>
      </c>
      <c r="K98" s="12" t="n">
        <v>10870249.68</v>
      </c>
      <c r="L98" s="12" t="n">
        <v>648801.1200000001</v>
      </c>
      <c r="M98" s="9" t="n">
        <v>5</v>
      </c>
      <c r="N98" s="12" t="n">
        <v>6318327.81</v>
      </c>
      <c r="O98" s="12" t="n">
        <v>6318327.81</v>
      </c>
      <c r="P98" s="12" t="n">
        <v>60300000</v>
      </c>
      <c r="Q98" s="9" t="inlineStr">
        <is>
          <t>Low</t>
        </is>
      </c>
      <c r="R98" s="11">
        <f>IFERROR(O98/K98,0)</f>
        <v/>
      </c>
    </row>
    <row r="99">
      <c r="A99" s="9" t="inlineStr">
        <is>
          <t>T0455</t>
        </is>
      </c>
      <c r="B99" s="9" t="inlineStr">
        <is>
          <t>Orion Insurance</t>
        </is>
      </c>
      <c r="C99" s="9" t="inlineStr">
        <is>
          <t>Property</t>
        </is>
      </c>
      <c r="D99" s="9" t="inlineStr">
        <is>
          <t>Asia Pacific</t>
        </is>
      </c>
      <c r="E99" s="9" t="inlineStr">
        <is>
          <t>Hannah Weber</t>
        </is>
      </c>
      <c r="F99" s="9" t="inlineStr">
        <is>
          <t>Excess of Loss</t>
        </is>
      </c>
      <c r="G99" s="9" t="n">
        <v>2023</v>
      </c>
      <c r="H99" s="12" t="n">
        <v>10300000</v>
      </c>
      <c r="I99" s="12" t="n">
        <v>1334992.68</v>
      </c>
      <c r="J99" s="12" t="n">
        <v>71042.39999999999</v>
      </c>
      <c r="K99" s="12" t="n">
        <v>1334992.68</v>
      </c>
      <c r="L99" s="12" t="n">
        <v>143322.12</v>
      </c>
      <c r="M99" s="9" t="n">
        <v>13</v>
      </c>
      <c r="N99" s="12" t="n">
        <v>1297346.48</v>
      </c>
      <c r="O99" s="12" t="n">
        <v>1510564.44</v>
      </c>
      <c r="P99" s="12" t="n">
        <v>10300000</v>
      </c>
      <c r="Q99" s="9" t="inlineStr">
        <is>
          <t>Low</t>
        </is>
      </c>
      <c r="R99" s="11">
        <f>IFERROR(O99/K99,0)</f>
        <v/>
      </c>
    </row>
    <row r="100">
      <c r="A100" s="9" t="inlineStr">
        <is>
          <t>T0457</t>
        </is>
      </c>
      <c r="B100" s="9" t="inlineStr">
        <is>
          <t>Crown Indemnity</t>
        </is>
      </c>
      <c r="C100" s="9" t="inlineStr">
        <is>
          <t>Property</t>
        </is>
      </c>
      <c r="D100" s="9" t="inlineStr">
        <is>
          <t>Asia Pacific</t>
        </is>
      </c>
      <c r="E100" s="9" t="inlineStr">
        <is>
          <t>Kenji Sato</t>
        </is>
      </c>
      <c r="F100" s="9" t="inlineStr">
        <is>
          <t>Excess of Loss</t>
        </is>
      </c>
      <c r="G100" s="9" t="n">
        <v>2022</v>
      </c>
      <c r="H100" s="12" t="n">
        <v>7200000</v>
      </c>
      <c r="I100" s="12" t="n">
        <v>868019.64</v>
      </c>
      <c r="J100" s="12" t="n">
        <v>69542.16</v>
      </c>
      <c r="K100" s="12" t="n">
        <v>868019.64</v>
      </c>
      <c r="L100" s="12" t="n">
        <v>71092.44</v>
      </c>
      <c r="M100" s="9" t="n">
        <v>9</v>
      </c>
      <c r="N100" s="12" t="n">
        <v>501212.81</v>
      </c>
      <c r="O100" s="12" t="n">
        <v>512895.87</v>
      </c>
      <c r="P100" s="12" t="n">
        <v>7200000</v>
      </c>
      <c r="Q100" s="9" t="inlineStr">
        <is>
          <t>Low</t>
        </is>
      </c>
      <c r="R100" s="11">
        <f>IFERROR(O100/K100,0)</f>
        <v/>
      </c>
    </row>
    <row r="101">
      <c r="A101" s="9" t="inlineStr">
        <is>
          <t>T0465</t>
        </is>
      </c>
      <c r="B101" s="9" t="inlineStr">
        <is>
          <t>Northwind General</t>
        </is>
      </c>
      <c r="C101" s="9" t="inlineStr">
        <is>
          <t>Property</t>
        </is>
      </c>
      <c r="D101" s="9" t="inlineStr">
        <is>
          <t>Asia Pacific</t>
        </is>
      </c>
      <c r="E101" s="9" t="inlineStr">
        <is>
          <t>Aarav Mehta</t>
        </is>
      </c>
      <c r="F101" s="9" t="inlineStr">
        <is>
          <t>Proportional</t>
        </is>
      </c>
      <c r="G101" s="9" t="n">
        <v>2025</v>
      </c>
      <c r="H101" s="12" t="n">
        <v>9000000</v>
      </c>
      <c r="I101" s="12" t="n">
        <v>1219764.62016</v>
      </c>
      <c r="J101" s="12" t="n">
        <v>80220.21264000001</v>
      </c>
      <c r="K101" s="12" t="n">
        <v>1219764.62016</v>
      </c>
      <c r="L101" s="12" t="n">
        <v>329596.59744</v>
      </c>
      <c r="M101" s="9" t="n">
        <v>11</v>
      </c>
      <c r="N101" s="12" t="n">
        <v>272575.11492</v>
      </c>
      <c r="O101" s="12" t="n">
        <v>1092386.24784</v>
      </c>
      <c r="P101" s="12" t="n">
        <v>2700000</v>
      </c>
      <c r="Q101" s="9" t="inlineStr">
        <is>
          <t>Low</t>
        </is>
      </c>
      <c r="R101" s="11">
        <f>IFERROR(O101/K101,0)</f>
        <v/>
      </c>
    </row>
    <row r="102">
      <c r="A102" s="9" t="inlineStr">
        <is>
          <t>T0466</t>
        </is>
      </c>
      <c r="B102" s="9" t="inlineStr">
        <is>
          <t>Summit Indemnity</t>
        </is>
      </c>
      <c r="C102" s="9" t="inlineStr">
        <is>
          <t>Property</t>
        </is>
      </c>
      <c r="D102" s="9" t="inlineStr">
        <is>
          <t>Asia Pacific</t>
        </is>
      </c>
      <c r="E102" s="9" t="inlineStr">
        <is>
          <t>Carlos Ibarra</t>
        </is>
      </c>
      <c r="F102" s="9" t="inlineStr">
        <is>
          <t>Excess of Loss</t>
        </is>
      </c>
      <c r="G102" s="9" t="n">
        <v>2022</v>
      </c>
      <c r="H102" s="12" t="n">
        <v>19600000</v>
      </c>
      <c r="I102" s="12" t="n">
        <v>1828219.68</v>
      </c>
      <c r="J102" s="12" t="n">
        <v>202752.84</v>
      </c>
      <c r="K102" s="12" t="n">
        <v>1828219.68</v>
      </c>
      <c r="L102" s="12" t="n">
        <v>142782.6</v>
      </c>
      <c r="M102" s="9" t="n">
        <v>15</v>
      </c>
      <c r="N102" s="12" t="n">
        <v>1320312.09</v>
      </c>
      <c r="O102" s="12" t="n">
        <v>1354604.92</v>
      </c>
      <c r="P102" s="12" t="n">
        <v>19600000</v>
      </c>
      <c r="Q102" s="9" t="inlineStr">
        <is>
          <t>Low</t>
        </is>
      </c>
      <c r="R102" s="11">
        <f>IFERROR(O102/K102,0)</f>
        <v/>
      </c>
    </row>
    <row r="103">
      <c r="A103" s="9" t="inlineStr">
        <is>
          <t>T0475</t>
        </is>
      </c>
      <c r="B103" s="9" t="inlineStr">
        <is>
          <t>Atlas General</t>
        </is>
      </c>
      <c r="C103" s="9" t="inlineStr">
        <is>
          <t>Casualty</t>
        </is>
      </c>
      <c r="D103" s="9" t="inlineStr">
        <is>
          <t>Asia Pacific</t>
        </is>
      </c>
      <c r="E103" s="9" t="inlineStr">
        <is>
          <t>Carlos Ibarra</t>
        </is>
      </c>
      <c r="F103" s="9" t="inlineStr">
        <is>
          <t>Facultative</t>
        </is>
      </c>
      <c r="G103" s="9" t="n">
        <v>2023</v>
      </c>
      <c r="H103" s="12" t="n">
        <v>20800000</v>
      </c>
      <c r="I103" s="12" t="n">
        <v>2161945.61</v>
      </c>
      <c r="J103" s="12" t="n">
        <v>162454.93</v>
      </c>
      <c r="K103" s="12" t="n">
        <v>2161945.61</v>
      </c>
      <c r="L103" s="12" t="n">
        <v>370569.76</v>
      </c>
      <c r="M103" s="9" t="n">
        <v>9</v>
      </c>
      <c r="N103" s="12" t="n">
        <v>2083475.99</v>
      </c>
      <c r="O103" s="12" t="n">
        <v>2243736.81</v>
      </c>
      <c r="P103" s="12" t="n">
        <v>20800000</v>
      </c>
      <c r="Q103" s="9" t="inlineStr">
        <is>
          <t>Low</t>
        </is>
      </c>
      <c r="R103" s="11">
        <f>IFERROR(O103/K103,0)</f>
        <v/>
      </c>
    </row>
    <row r="104">
      <c r="A104" s="9" t="inlineStr">
        <is>
          <t>T0488</t>
        </is>
      </c>
      <c r="B104" s="9" t="inlineStr">
        <is>
          <t>Granite Insurance</t>
        </is>
      </c>
      <c r="C104" s="9" t="inlineStr">
        <is>
          <t>Property</t>
        </is>
      </c>
      <c r="D104" s="9" t="inlineStr">
        <is>
          <t>Asia Pacific</t>
        </is>
      </c>
      <c r="E104" s="9" t="inlineStr">
        <is>
          <t>Kenji Sato</t>
        </is>
      </c>
      <c r="F104" s="9" t="inlineStr">
        <is>
          <t>Excess of Loss</t>
        </is>
      </c>
      <c r="G104" s="9" t="n">
        <v>2025</v>
      </c>
      <c r="H104" s="12" t="n">
        <v>43500000</v>
      </c>
      <c r="I104" s="12" t="n">
        <v>5495322.029999999</v>
      </c>
      <c r="J104" s="12" t="n">
        <v>420575.1</v>
      </c>
      <c r="K104" s="12" t="n">
        <v>5312144.63</v>
      </c>
      <c r="L104" s="12" t="n">
        <v>454956.7367523113</v>
      </c>
      <c r="M104" s="9" t="n">
        <v>6</v>
      </c>
      <c r="N104" s="12" t="n">
        <v>891509.5</v>
      </c>
      <c r="O104" s="12" t="n">
        <v>4413576.78</v>
      </c>
      <c r="P104" s="12" t="n">
        <v>43500000</v>
      </c>
      <c r="Q104" s="9" t="inlineStr">
        <is>
          <t>Low</t>
        </is>
      </c>
      <c r="R104" s="11">
        <f>IFERROR(O104/K104,0)</f>
        <v/>
      </c>
    </row>
    <row r="105">
      <c r="A105" s="9" t="inlineStr">
        <is>
          <t>T0495</t>
        </is>
      </c>
      <c r="B105" s="9" t="inlineStr">
        <is>
          <t>Vantage Mutual</t>
        </is>
      </c>
      <c r="C105" s="9" t="inlineStr">
        <is>
          <t>Property</t>
        </is>
      </c>
      <c r="D105" s="9" t="inlineStr">
        <is>
          <t>Asia Pacific</t>
        </is>
      </c>
      <c r="E105" s="9" t="inlineStr">
        <is>
          <t>Priya Nair</t>
        </is>
      </c>
      <c r="F105" s="9" t="inlineStr">
        <is>
          <t>Excess of Loss</t>
        </is>
      </c>
      <c r="G105" s="9" t="n">
        <v>2025</v>
      </c>
      <c r="H105" s="12" t="n">
        <v>21200000.00004</v>
      </c>
      <c r="I105" s="12" t="n">
        <v>3295890.67968</v>
      </c>
      <c r="J105" s="12" t="n">
        <v>243522.54</v>
      </c>
      <c r="K105" s="12" t="n">
        <v>3295890.67968</v>
      </c>
      <c r="L105" s="12" t="n">
        <v>367366.72896</v>
      </c>
      <c r="M105" s="9" t="n">
        <v>17</v>
      </c>
      <c r="N105" s="12" t="n">
        <v>1446575.42916</v>
      </c>
      <c r="O105" s="12" t="n">
        <v>1923645.40476</v>
      </c>
      <c r="P105" s="12" t="n">
        <v>21200000.00004</v>
      </c>
      <c r="Q105" s="9" t="inlineStr">
        <is>
          <t>Low</t>
        </is>
      </c>
      <c r="R105" s="11">
        <f>IFERROR(O105/K105,0)</f>
        <v/>
      </c>
    </row>
    <row r="106">
      <c r="A106" s="9" t="inlineStr">
        <is>
          <t>T0496</t>
        </is>
      </c>
      <c r="B106" s="9" t="inlineStr">
        <is>
          <t>Crown Insurance</t>
        </is>
      </c>
      <c r="C106" s="9" t="inlineStr">
        <is>
          <t>Specialty</t>
        </is>
      </c>
      <c r="D106" s="9" t="inlineStr">
        <is>
          <t>Asia Pacific</t>
        </is>
      </c>
      <c r="E106" s="9" t="inlineStr">
        <is>
          <t>James Whitfield</t>
        </is>
      </c>
      <c r="F106" s="9" t="inlineStr">
        <is>
          <t>Proportional</t>
        </is>
      </c>
      <c r="G106" s="9" t="n">
        <v>2025</v>
      </c>
      <c r="H106" s="12" t="n">
        <v>12500000</v>
      </c>
      <c r="I106" s="12" t="n">
        <v>1462713.96</v>
      </c>
      <c r="J106" s="12" t="n">
        <v>166992.48</v>
      </c>
      <c r="K106" s="12" t="n">
        <v>1462713.96</v>
      </c>
      <c r="L106" s="12" t="n">
        <v>390062.88</v>
      </c>
      <c r="M106" s="9" t="n">
        <v>7</v>
      </c>
      <c r="N106" s="12" t="n">
        <v>198562.52</v>
      </c>
      <c r="O106" s="12" t="n">
        <v>387956.94</v>
      </c>
      <c r="P106" s="12" t="n">
        <v>1250000</v>
      </c>
      <c r="Q106" s="9" t="inlineStr">
        <is>
          <t>Low</t>
        </is>
      </c>
      <c r="R106" s="11">
        <f>IFERROR(O106/K106,0)</f>
        <v/>
      </c>
    </row>
    <row r="107">
      <c r="A107" s="9" t="inlineStr">
        <is>
          <t>T0497</t>
        </is>
      </c>
      <c r="B107" s="9" t="inlineStr">
        <is>
          <t>Atlas General</t>
        </is>
      </c>
      <c r="C107" s="9" t="inlineStr">
        <is>
          <t>Casualty</t>
        </is>
      </c>
      <c r="D107" s="9" t="inlineStr">
        <is>
          <t>Asia Pacific</t>
        </is>
      </c>
      <c r="E107" s="9" t="inlineStr">
        <is>
          <t>Kenji Sato</t>
        </is>
      </c>
      <c r="F107" s="9" t="inlineStr">
        <is>
          <t>Excess of Loss</t>
        </is>
      </c>
      <c r="G107" s="9" t="n">
        <v>2024</v>
      </c>
      <c r="H107" s="12" t="n">
        <v>26800000</v>
      </c>
      <c r="I107" s="12" t="n">
        <v>2634091.08</v>
      </c>
      <c r="J107" s="12" t="n">
        <v>159938.4</v>
      </c>
      <c r="K107" s="12" t="n">
        <v>2634091.08</v>
      </c>
      <c r="L107" s="12" t="n">
        <v>286216.56</v>
      </c>
      <c r="M107" s="9" t="n">
        <v>9</v>
      </c>
      <c r="N107" s="12" t="n">
        <v>1659916.6</v>
      </c>
      <c r="O107" s="12" t="n">
        <v>1659916.6</v>
      </c>
      <c r="P107" s="12" t="n">
        <v>26800000</v>
      </c>
      <c r="Q107" s="9" t="inlineStr">
        <is>
          <t>Low</t>
        </is>
      </c>
      <c r="R107" s="11">
        <f>IFERROR(O107/K107,0)</f>
        <v/>
      </c>
    </row>
    <row r="108">
      <c r="A108" s="9" t="inlineStr">
        <is>
          <t>T0502</t>
        </is>
      </c>
      <c r="B108" s="9" t="inlineStr">
        <is>
          <t>Northwind General</t>
        </is>
      </c>
      <c r="C108" s="9" t="inlineStr">
        <is>
          <t>Casualty</t>
        </is>
      </c>
      <c r="D108" s="9" t="inlineStr">
        <is>
          <t>Asia Pacific</t>
        </is>
      </c>
      <c r="E108" s="9" t="inlineStr">
        <is>
          <t>Omar Haddad</t>
        </is>
      </c>
      <c r="F108" s="9" t="inlineStr">
        <is>
          <t>Facultative</t>
        </is>
      </c>
      <c r="G108" s="9" t="n">
        <v>2023</v>
      </c>
      <c r="H108" s="12" t="n">
        <v>2300000.00004</v>
      </c>
      <c r="I108" s="12" t="n">
        <v>294089.34816</v>
      </c>
      <c r="J108" s="12" t="n">
        <v>15664.752</v>
      </c>
      <c r="K108" s="12" t="n">
        <v>294089.34816</v>
      </c>
      <c r="L108" s="12" t="n">
        <v>57016.02096000001</v>
      </c>
      <c r="M108" s="9" t="n">
        <v>11</v>
      </c>
      <c r="N108" s="12" t="n">
        <v>114417.2574</v>
      </c>
      <c r="O108" s="12" t="n">
        <v>116833.68792</v>
      </c>
      <c r="P108" s="12" t="n">
        <v>2300000.00004</v>
      </c>
      <c r="Q108" s="9" t="inlineStr">
        <is>
          <t>Low</t>
        </is>
      </c>
      <c r="R108" s="11">
        <f>IFERROR(O108/K108,0)</f>
        <v/>
      </c>
    </row>
    <row r="109">
      <c r="A109" s="9" t="inlineStr">
        <is>
          <t>T0503</t>
        </is>
      </c>
      <c r="B109" s="9" t="inlineStr">
        <is>
          <t>Granite Insurance</t>
        </is>
      </c>
      <c r="C109" s="9" t="inlineStr">
        <is>
          <t>Specialty</t>
        </is>
      </c>
      <c r="D109" s="9" t="inlineStr">
        <is>
          <t>Asia Pacific</t>
        </is>
      </c>
      <c r="E109" s="9" t="inlineStr">
        <is>
          <t>Kenji Sato</t>
        </is>
      </c>
      <c r="F109" s="9" t="inlineStr">
        <is>
          <t>Proportional</t>
        </is>
      </c>
      <c r="G109" s="9" t="n">
        <v>2025</v>
      </c>
      <c r="H109" s="12" t="n">
        <v>7300000</v>
      </c>
      <c r="I109" s="12" t="n">
        <v>955482</v>
      </c>
      <c r="J109" s="12" t="n">
        <v>68104.10000000001</v>
      </c>
      <c r="K109" s="12" t="n">
        <v>923632.6</v>
      </c>
      <c r="L109" s="12" t="n">
        <v>246558.6766666667</v>
      </c>
      <c r="M109" s="9" t="n">
        <v>11</v>
      </c>
      <c r="N109" s="12" t="n">
        <v>151581.92</v>
      </c>
      <c r="O109" s="12" t="n">
        <v>463957.21</v>
      </c>
      <c r="P109" s="12" t="n">
        <v>1095000</v>
      </c>
      <c r="Q109" s="9" t="inlineStr">
        <is>
          <t>Low</t>
        </is>
      </c>
      <c r="R109" s="11">
        <f>IFERROR(O109/K109,0)</f>
        <v/>
      </c>
    </row>
    <row r="110">
      <c r="A110" s="9" t="inlineStr">
        <is>
          <t>T0509</t>
        </is>
      </c>
      <c r="B110" s="9" t="inlineStr">
        <is>
          <t>Atlas General</t>
        </is>
      </c>
      <c r="C110" s="9" t="inlineStr">
        <is>
          <t>Professional</t>
        </is>
      </c>
      <c r="D110" s="9" t="inlineStr">
        <is>
          <t>Asia Pacific</t>
        </is>
      </c>
      <c r="E110" s="9" t="inlineStr">
        <is>
          <t>Priya Nair</t>
        </is>
      </c>
      <c r="F110" s="9" t="inlineStr">
        <is>
          <t>Proportional</t>
        </is>
      </c>
      <c r="G110" s="9" t="n">
        <v>2022</v>
      </c>
      <c r="H110" s="12" t="n">
        <v>17700000</v>
      </c>
      <c r="I110" s="12" t="n">
        <v>1291012.2</v>
      </c>
      <c r="J110" s="12" t="n">
        <v>137150.04</v>
      </c>
      <c r="K110" s="12" t="n">
        <v>1291012.2</v>
      </c>
      <c r="L110" s="12" t="n">
        <v>395546.64</v>
      </c>
      <c r="M110" s="9" t="n">
        <v>8</v>
      </c>
      <c r="N110" s="12" t="n">
        <v>515146.39</v>
      </c>
      <c r="O110" s="12" t="n">
        <v>535838.98</v>
      </c>
      <c r="P110" s="12" t="n">
        <v>4425000</v>
      </c>
      <c r="Q110" s="9" t="inlineStr">
        <is>
          <t>Low</t>
        </is>
      </c>
      <c r="R110" s="11">
        <f>IFERROR(O110/K110,0)</f>
        <v/>
      </c>
    </row>
    <row r="111">
      <c r="A111" s="9" t="inlineStr">
        <is>
          <t>T0511</t>
        </is>
      </c>
      <c r="B111" s="9" t="inlineStr">
        <is>
          <t>Orion Insurance</t>
        </is>
      </c>
      <c r="C111" s="9" t="inlineStr">
        <is>
          <t>Property</t>
        </is>
      </c>
      <c r="D111" s="9" t="inlineStr">
        <is>
          <t>Asia Pacific</t>
        </is>
      </c>
      <c r="E111" s="9" t="inlineStr">
        <is>
          <t>Sophie Laurent</t>
        </is>
      </c>
      <c r="F111" s="9" t="inlineStr">
        <is>
          <t>Proportional</t>
        </is>
      </c>
      <c r="G111" s="9" t="n">
        <v>2021</v>
      </c>
      <c r="H111" s="12" t="n">
        <v>38500000</v>
      </c>
      <c r="I111" s="12" t="n">
        <v>4013920.68</v>
      </c>
      <c r="J111" s="12" t="n">
        <v>269502.96</v>
      </c>
      <c r="K111" s="12" t="n">
        <v>4013920.68</v>
      </c>
      <c r="L111" s="12" t="n">
        <v>927864.36</v>
      </c>
      <c r="M111" s="9" t="n">
        <v>11</v>
      </c>
      <c r="N111" s="12" t="n">
        <v>2185988.29</v>
      </c>
      <c r="O111" s="12" t="n">
        <v>2226430.93</v>
      </c>
      <c r="P111" s="12" t="n">
        <v>3850000</v>
      </c>
      <c r="Q111" s="9" t="inlineStr">
        <is>
          <t>Low</t>
        </is>
      </c>
      <c r="R111" s="11">
        <f>IFERROR(O111/K111,0)</f>
        <v/>
      </c>
    </row>
    <row r="112">
      <c r="A112" s="9" t="inlineStr">
        <is>
          <t>T0521</t>
        </is>
      </c>
      <c r="B112" s="9" t="inlineStr">
        <is>
          <t>Granite Insurance</t>
        </is>
      </c>
      <c r="C112" s="9" t="inlineStr">
        <is>
          <t>Professional</t>
        </is>
      </c>
      <c r="D112" s="9" t="inlineStr">
        <is>
          <t>Asia Pacific</t>
        </is>
      </c>
      <c r="E112" s="9" t="inlineStr">
        <is>
          <t>James Whitfield</t>
        </is>
      </c>
      <c r="F112" s="9" t="inlineStr">
        <is>
          <t>Proportional</t>
        </is>
      </c>
      <c r="G112" s="9" t="n">
        <v>2024</v>
      </c>
      <c r="H112" s="12" t="n">
        <v>31900000</v>
      </c>
      <c r="I112" s="12" t="n">
        <v>2313745.68</v>
      </c>
      <c r="J112" s="12" t="n">
        <v>174337.44</v>
      </c>
      <c r="K112" s="12" t="n">
        <v>2313745.68</v>
      </c>
      <c r="L112" s="12" t="n">
        <v>512436.24</v>
      </c>
      <c r="M112" s="9" t="n">
        <v>5</v>
      </c>
      <c r="N112" s="12" t="n">
        <v>466791.16</v>
      </c>
      <c r="O112" s="12" t="n">
        <v>695919.61</v>
      </c>
      <c r="P112" s="12" t="n">
        <v>12760000</v>
      </c>
      <c r="Q112" s="9" t="inlineStr">
        <is>
          <t>Low</t>
        </is>
      </c>
      <c r="R112" s="11">
        <f>IFERROR(O112/K112,0)</f>
        <v/>
      </c>
    </row>
    <row r="113">
      <c r="A113" s="9" t="inlineStr">
        <is>
          <t>T0524</t>
        </is>
      </c>
      <c r="B113" s="9" t="inlineStr">
        <is>
          <t>Atlas Insurance</t>
        </is>
      </c>
      <c r="C113" s="9" t="inlineStr">
        <is>
          <t>Casualty</t>
        </is>
      </c>
      <c r="D113" s="9" t="inlineStr">
        <is>
          <t>Asia Pacific</t>
        </is>
      </c>
      <c r="E113" s="9" t="inlineStr">
        <is>
          <t>Carlos Ibarra</t>
        </is>
      </c>
      <c r="F113" s="9" t="inlineStr">
        <is>
          <t>Proportional</t>
        </is>
      </c>
      <c r="G113" s="9" t="n">
        <v>2025</v>
      </c>
      <c r="H113" s="12" t="n">
        <v>9900000</v>
      </c>
      <c r="I113" s="12" t="n">
        <v>1079659.92</v>
      </c>
      <c r="J113" s="12" t="n">
        <v>95394.24000000001</v>
      </c>
      <c r="K113" s="12" t="n">
        <v>1079659.92</v>
      </c>
      <c r="L113" s="12" t="n">
        <v>343019.9999999999</v>
      </c>
      <c r="M113" s="9" t="n">
        <v>8</v>
      </c>
      <c r="N113" s="12" t="n">
        <v>496196.92</v>
      </c>
      <c r="O113" s="12" t="n">
        <v>945198.73</v>
      </c>
      <c r="P113" s="12" t="n">
        <v>990000</v>
      </c>
      <c r="Q113" s="9" t="inlineStr">
        <is>
          <t>Low</t>
        </is>
      </c>
      <c r="R113" s="11">
        <f>IFERROR(O113/K113,0)</f>
        <v/>
      </c>
    </row>
    <row r="114">
      <c r="A114" s="9" t="inlineStr">
        <is>
          <t>T0529</t>
        </is>
      </c>
      <c r="B114" s="9" t="inlineStr">
        <is>
          <t>Orion Insurance</t>
        </is>
      </c>
      <c r="C114" s="9" t="inlineStr">
        <is>
          <t>Specialty</t>
        </is>
      </c>
      <c r="D114" s="9" t="inlineStr">
        <is>
          <t>Asia Pacific</t>
        </is>
      </c>
      <c r="E114" s="9" t="inlineStr">
        <is>
          <t>Sophie Laurent</t>
        </is>
      </c>
      <c r="F114" s="9" t="inlineStr">
        <is>
          <t>Excess of Loss</t>
        </is>
      </c>
      <c r="G114" s="9" t="n">
        <v>2025</v>
      </c>
      <c r="H114" s="12" t="n">
        <v>81800000</v>
      </c>
      <c r="I114" s="12" t="n">
        <v>11178111</v>
      </c>
      <c r="J114" s="12" t="n">
        <v>1328368.56</v>
      </c>
      <c r="K114" s="12" t="n">
        <v>11178111</v>
      </c>
      <c r="L114" s="12" t="n">
        <v>685920.84</v>
      </c>
      <c r="M114" s="9" t="n">
        <v>7</v>
      </c>
      <c r="N114" s="12" t="n">
        <v>2592135.63</v>
      </c>
      <c r="O114" s="12" t="n">
        <v>5486672.45</v>
      </c>
      <c r="P114" s="12" t="n">
        <v>81800000</v>
      </c>
      <c r="Q114" s="9" t="inlineStr">
        <is>
          <t>Low</t>
        </is>
      </c>
      <c r="R114" s="11">
        <f>IFERROR(O114/K114,0)</f>
        <v/>
      </c>
    </row>
    <row r="115">
      <c r="A115" s="9" t="inlineStr">
        <is>
          <t>T0535</t>
        </is>
      </c>
      <c r="B115" s="9" t="inlineStr">
        <is>
          <t>Crown Insurance</t>
        </is>
      </c>
      <c r="C115" s="9" t="inlineStr">
        <is>
          <t>Specialty</t>
        </is>
      </c>
      <c r="D115" s="9" t="inlineStr">
        <is>
          <t>Asia Pacific</t>
        </is>
      </c>
      <c r="E115" s="9" t="inlineStr">
        <is>
          <t>Sophie Laurent</t>
        </is>
      </c>
      <c r="F115" s="9" t="inlineStr">
        <is>
          <t>Excess of Loss</t>
        </is>
      </c>
      <c r="G115" s="9" t="n">
        <v>2023</v>
      </c>
      <c r="H115" s="12" t="n">
        <v>27200000</v>
      </c>
      <c r="I115" s="12" t="n">
        <v>2322996.48</v>
      </c>
      <c r="J115" s="12" t="n">
        <v>224546.28</v>
      </c>
      <c r="K115" s="12" t="n">
        <v>2322996.48</v>
      </c>
      <c r="L115" s="12" t="n">
        <v>176368.68</v>
      </c>
      <c r="M115" s="9" t="n">
        <v>11</v>
      </c>
      <c r="N115" s="12" t="n">
        <v>635826.36</v>
      </c>
      <c r="O115" s="12" t="n">
        <v>686692.62</v>
      </c>
      <c r="P115" s="12" t="n">
        <v>27200000</v>
      </c>
      <c r="Q115" s="9" t="inlineStr">
        <is>
          <t>Low</t>
        </is>
      </c>
      <c r="R115" s="11">
        <f>IFERROR(O115/K115,0)</f>
        <v/>
      </c>
    </row>
    <row r="116">
      <c r="A116" s="9" t="inlineStr">
        <is>
          <t>T0543</t>
        </is>
      </c>
      <c r="B116" s="9" t="inlineStr">
        <is>
          <t>Orion Insurance</t>
        </is>
      </c>
      <c r="C116" s="9" t="inlineStr">
        <is>
          <t>Professional</t>
        </is>
      </c>
      <c r="D116" s="9" t="inlineStr">
        <is>
          <t>Asia Pacific</t>
        </is>
      </c>
      <c r="E116" s="9" t="inlineStr">
        <is>
          <t>James Whitfield</t>
        </is>
      </c>
      <c r="F116" s="9" t="inlineStr">
        <is>
          <t>Excess of Loss</t>
        </is>
      </c>
      <c r="G116" s="9" t="n">
        <v>2025</v>
      </c>
      <c r="H116" s="12" t="n">
        <v>9700000</v>
      </c>
      <c r="I116" s="12" t="n">
        <v>997079.1599999999</v>
      </c>
      <c r="J116" s="12" t="n">
        <v>86726.39999999999</v>
      </c>
      <c r="K116" s="12" t="n">
        <v>997079.1599999999</v>
      </c>
      <c r="L116" s="12" t="n">
        <v>106497.96</v>
      </c>
      <c r="M116" s="9" t="n">
        <v>12</v>
      </c>
      <c r="N116" s="12" t="n">
        <v>76072.82000000001</v>
      </c>
      <c r="O116" s="12" t="n">
        <v>155747.51</v>
      </c>
      <c r="P116" s="12" t="n">
        <v>9700000</v>
      </c>
      <c r="Q116" s="9" t="inlineStr">
        <is>
          <t>Low</t>
        </is>
      </c>
      <c r="R116" s="11">
        <f>IFERROR(O116/K116,0)</f>
        <v/>
      </c>
    </row>
    <row r="117">
      <c r="A117" s="9" t="inlineStr">
        <is>
          <t>T0553</t>
        </is>
      </c>
      <c r="B117" s="9" t="inlineStr">
        <is>
          <t>Granite General</t>
        </is>
      </c>
      <c r="C117" s="9" t="inlineStr">
        <is>
          <t>Financial Lines</t>
        </is>
      </c>
      <c r="D117" s="9" t="inlineStr">
        <is>
          <t>Asia Pacific</t>
        </is>
      </c>
      <c r="E117" s="9" t="inlineStr">
        <is>
          <t>Omar Haddad</t>
        </is>
      </c>
      <c r="F117" s="9" t="inlineStr">
        <is>
          <t>Proportional</t>
        </is>
      </c>
      <c r="G117" s="9" t="n">
        <v>2025</v>
      </c>
      <c r="H117" s="12" t="n">
        <v>41400000</v>
      </c>
      <c r="I117" s="12" t="n">
        <v>4534046.4</v>
      </c>
      <c r="J117" s="12" t="n">
        <v>360749.28</v>
      </c>
      <c r="K117" s="12" t="n">
        <v>4534046.4</v>
      </c>
      <c r="L117" s="12" t="n">
        <v>1383455.04</v>
      </c>
      <c r="M117" s="9" t="n">
        <v>13</v>
      </c>
      <c r="N117" s="12" t="n">
        <v>771313.0700000001</v>
      </c>
      <c r="O117" s="12" t="n">
        <v>1381203.38</v>
      </c>
      <c r="P117" s="12" t="n">
        <v>8280000</v>
      </c>
      <c r="Q117" s="9" t="inlineStr">
        <is>
          <t>Low</t>
        </is>
      </c>
      <c r="R117" s="11">
        <f>IFERROR(O117/K117,0)</f>
        <v/>
      </c>
    </row>
    <row r="118">
      <c r="A118" s="9" t="inlineStr">
        <is>
          <t>T0560</t>
        </is>
      </c>
      <c r="B118" s="9" t="inlineStr">
        <is>
          <t>Northwind Mutual</t>
        </is>
      </c>
      <c r="C118" s="9" t="inlineStr">
        <is>
          <t>Property</t>
        </is>
      </c>
      <c r="D118" s="9" t="inlineStr">
        <is>
          <t>Asia Pacific</t>
        </is>
      </c>
      <c r="E118" s="9" t="inlineStr">
        <is>
          <t>Omar Haddad</t>
        </is>
      </c>
      <c r="F118" s="9" t="inlineStr">
        <is>
          <t>Excess of Loss</t>
        </is>
      </c>
      <c r="G118" s="9" t="n">
        <v>2024</v>
      </c>
      <c r="H118" s="12" t="n">
        <v>16400000.00004</v>
      </c>
      <c r="I118" s="12" t="n">
        <v>1496563.98336</v>
      </c>
      <c r="J118" s="12" t="n">
        <v>103654.18944</v>
      </c>
      <c r="K118" s="12" t="n">
        <v>1496563.98336</v>
      </c>
      <c r="L118" s="12" t="n">
        <v>81979.40592</v>
      </c>
      <c r="M118" s="9" t="n">
        <v>4</v>
      </c>
      <c r="N118" s="12" t="n">
        <v>1097193.16716</v>
      </c>
      <c r="O118" s="12" t="n">
        <v>1097193.16716</v>
      </c>
      <c r="P118" s="12" t="n">
        <v>16400000.00004</v>
      </c>
      <c r="Q118" s="9" t="inlineStr">
        <is>
          <t>Low</t>
        </is>
      </c>
      <c r="R118" s="11">
        <f>IFERROR(O118/K118,0)</f>
        <v/>
      </c>
    </row>
    <row r="119">
      <c r="A119" s="9" t="inlineStr">
        <is>
          <t>T0562</t>
        </is>
      </c>
      <c r="B119" s="9" t="inlineStr">
        <is>
          <t>Meridian Insurance</t>
        </is>
      </c>
      <c r="C119" s="9" t="inlineStr">
        <is>
          <t>Property</t>
        </is>
      </c>
      <c r="D119" s="9" t="inlineStr">
        <is>
          <t>Asia Pacific</t>
        </is>
      </c>
      <c r="E119" s="9" t="inlineStr">
        <is>
          <t>Priya Nair</t>
        </is>
      </c>
      <c r="F119" s="9" t="inlineStr">
        <is>
          <t>Proportional</t>
        </is>
      </c>
      <c r="G119" s="9" t="n">
        <v>2023</v>
      </c>
      <c r="H119" s="12" t="n">
        <v>9100000</v>
      </c>
      <c r="I119" s="12" t="n">
        <v>859228.5600000001</v>
      </c>
      <c r="J119" s="12" t="n">
        <v>92285.04000000001</v>
      </c>
      <c r="K119" s="12" t="n">
        <v>859228.5600000001</v>
      </c>
      <c r="L119" s="12" t="n">
        <v>230450.28</v>
      </c>
      <c r="M119" s="9" t="n">
        <v>4</v>
      </c>
      <c r="N119" s="12" t="n">
        <v>402556.25</v>
      </c>
      <c r="O119" s="12" t="n">
        <v>465996.06</v>
      </c>
      <c r="P119" s="12" t="n">
        <v>2730000</v>
      </c>
      <c r="Q119" s="9" t="inlineStr">
        <is>
          <t>Low</t>
        </is>
      </c>
      <c r="R119" s="11">
        <f>IFERROR(O119/K119,0)</f>
        <v/>
      </c>
    </row>
    <row r="120">
      <c r="A120" s="9" t="inlineStr">
        <is>
          <t>T0564</t>
        </is>
      </c>
      <c r="B120" s="9" t="inlineStr">
        <is>
          <t>Northwind General</t>
        </is>
      </c>
      <c r="C120" s="9" t="inlineStr">
        <is>
          <t>Financial Lines</t>
        </is>
      </c>
      <c r="D120" s="9" t="inlineStr">
        <is>
          <t>Asia Pacific</t>
        </is>
      </c>
      <c r="E120" s="9" t="inlineStr">
        <is>
          <t>Omar Haddad</t>
        </is>
      </c>
      <c r="F120" s="9" t="inlineStr">
        <is>
          <t>Excess of Loss</t>
        </is>
      </c>
      <c r="G120" s="9" t="n">
        <v>2025</v>
      </c>
      <c r="H120" s="12" t="n">
        <v>42099999.99996</v>
      </c>
      <c r="I120" s="12" t="n">
        <v>3386322.396</v>
      </c>
      <c r="J120" s="12" t="n">
        <v>318394.47024</v>
      </c>
      <c r="K120" s="12" t="n">
        <v>3386322.396</v>
      </c>
      <c r="L120" s="12" t="n">
        <v>302635.88064</v>
      </c>
      <c r="M120" s="9" t="n">
        <v>10</v>
      </c>
      <c r="N120" s="12" t="n">
        <v>2974670.6598</v>
      </c>
      <c r="O120" s="12" t="n">
        <v>3785521.8114</v>
      </c>
      <c r="P120" s="12" t="n">
        <v>42099999.99996</v>
      </c>
      <c r="Q120" s="9" t="inlineStr">
        <is>
          <t>Low</t>
        </is>
      </c>
      <c r="R120" s="11">
        <f>IFERROR(O120/K120,0)</f>
        <v/>
      </c>
    </row>
    <row r="121">
      <c r="A121" s="9" t="inlineStr">
        <is>
          <t>T0567</t>
        </is>
      </c>
      <c r="B121" s="9" t="inlineStr">
        <is>
          <t>Sterling Insurance</t>
        </is>
      </c>
      <c r="C121" s="9" t="inlineStr">
        <is>
          <t>Property</t>
        </is>
      </c>
      <c r="D121" s="9" t="inlineStr">
        <is>
          <t>Asia Pacific</t>
        </is>
      </c>
      <c r="E121" s="9" t="inlineStr">
        <is>
          <t>Omar Haddad</t>
        </is>
      </c>
      <c r="F121" s="9" t="inlineStr">
        <is>
          <t>Proportional</t>
        </is>
      </c>
      <c r="G121" s="9" t="n">
        <v>2024</v>
      </c>
      <c r="H121" s="12" t="n">
        <v>13599999.99996</v>
      </c>
      <c r="I121" s="12" t="n">
        <v>1030820.28912</v>
      </c>
      <c r="J121" s="12" t="n">
        <v>89879.80176</v>
      </c>
      <c r="K121" s="12" t="n">
        <v>1030820.28912</v>
      </c>
      <c r="L121" s="12" t="n">
        <v>293070.42144</v>
      </c>
      <c r="M121" s="9" t="n">
        <v>7</v>
      </c>
      <c r="N121" s="12" t="n">
        <v>721275.3746400001</v>
      </c>
      <c r="O121" s="12" t="n">
        <v>784523.0658000001</v>
      </c>
      <c r="P121" s="12" t="n">
        <v>6800000.000039999</v>
      </c>
      <c r="Q121" s="9" t="inlineStr">
        <is>
          <t>Low</t>
        </is>
      </c>
      <c r="R121" s="11">
        <f>IFERROR(O121/K121,0)</f>
        <v/>
      </c>
    </row>
    <row r="122">
      <c r="A122" s="9" t="inlineStr">
        <is>
          <t>T0568</t>
        </is>
      </c>
      <c r="B122" s="9" t="inlineStr">
        <is>
          <t>Northwind General</t>
        </is>
      </c>
      <c r="C122" s="9" t="inlineStr">
        <is>
          <t>Property</t>
        </is>
      </c>
      <c r="D122" s="9" t="inlineStr">
        <is>
          <t>Asia Pacific</t>
        </is>
      </c>
      <c r="E122" s="9" t="inlineStr">
        <is>
          <t>Priya Nair</t>
        </is>
      </c>
      <c r="F122" s="9" t="inlineStr">
        <is>
          <t>Proportional</t>
        </is>
      </c>
      <c r="G122" s="9" t="n">
        <v>2025</v>
      </c>
      <c r="H122" s="12" t="n">
        <v>10700000.00004</v>
      </c>
      <c r="I122" s="12" t="n">
        <v>1422582.0552</v>
      </c>
      <c r="J122" s="12" t="n">
        <v>157701.36672</v>
      </c>
      <c r="K122" s="12" t="n">
        <v>1422582.0552</v>
      </c>
      <c r="L122" s="12" t="n">
        <v>370227.99312</v>
      </c>
      <c r="M122" s="9" t="n">
        <v>4</v>
      </c>
      <c r="N122" s="12" t="n">
        <v>620070.59748</v>
      </c>
      <c r="O122" s="12" t="n">
        <v>955079.60208</v>
      </c>
      <c r="P122" s="12" t="n">
        <v>1605000</v>
      </c>
      <c r="Q122" s="9" t="inlineStr">
        <is>
          <t>Low</t>
        </is>
      </c>
      <c r="R122" s="11">
        <f>IFERROR(O122/K122,0)</f>
        <v/>
      </c>
    </row>
    <row r="123">
      <c r="A123" s="9" t="inlineStr">
        <is>
          <t>T0570</t>
        </is>
      </c>
      <c r="B123" s="9" t="inlineStr">
        <is>
          <t>Vantage Mutual</t>
        </is>
      </c>
      <c r="C123" s="9" t="inlineStr">
        <is>
          <t>Financial Lines</t>
        </is>
      </c>
      <c r="D123" s="9" t="inlineStr">
        <is>
          <t>Asia Pacific</t>
        </is>
      </c>
      <c r="E123" s="9" t="inlineStr">
        <is>
          <t>Omar Haddad</t>
        </is>
      </c>
      <c r="F123" s="9" t="inlineStr">
        <is>
          <t>Proportional</t>
        </is>
      </c>
      <c r="G123" s="9" t="n">
        <v>2023</v>
      </c>
      <c r="H123" s="12" t="n">
        <v>31100000.00004</v>
      </c>
      <c r="I123" s="12" t="n">
        <v>2884600.33776</v>
      </c>
      <c r="J123" s="12" t="n">
        <v>201788.49024</v>
      </c>
      <c r="K123" s="12" t="n">
        <v>2884600.33776</v>
      </c>
      <c r="L123" s="12" t="n">
        <v>775453.23072</v>
      </c>
      <c r="M123" s="9" t="n">
        <v>9</v>
      </c>
      <c r="N123" s="12" t="n">
        <v>1152305.75208</v>
      </c>
      <c r="O123" s="12" t="n">
        <v>1175079.9804</v>
      </c>
      <c r="P123" s="12" t="n">
        <v>15549999.99996</v>
      </c>
      <c r="Q123" s="9" t="inlineStr">
        <is>
          <t>Low</t>
        </is>
      </c>
      <c r="R123" s="11">
        <f>IFERROR(O123/K123,0)</f>
        <v/>
      </c>
    </row>
    <row r="124">
      <c r="A124" s="9" t="inlineStr">
        <is>
          <t>T0571</t>
        </is>
      </c>
      <c r="B124" s="9" t="inlineStr">
        <is>
          <t>Orion Insurance</t>
        </is>
      </c>
      <c r="C124" s="9" t="inlineStr">
        <is>
          <t>Property</t>
        </is>
      </c>
      <c r="D124" s="9" t="inlineStr">
        <is>
          <t>Asia Pacific</t>
        </is>
      </c>
      <c r="E124" s="9" t="inlineStr">
        <is>
          <t>Carlos Ibarra</t>
        </is>
      </c>
      <c r="F124" s="9" t="inlineStr">
        <is>
          <t>Excess of Loss</t>
        </is>
      </c>
      <c r="G124" s="9" t="n">
        <v>2023</v>
      </c>
      <c r="H124" s="12" t="n">
        <v>3200000</v>
      </c>
      <c r="I124" s="12" t="n">
        <v>437946.36</v>
      </c>
      <c r="J124" s="12" t="n">
        <v>39537</v>
      </c>
      <c r="K124" s="12" t="n">
        <v>437946.36</v>
      </c>
      <c r="L124" s="12" t="n">
        <v>26730.12</v>
      </c>
      <c r="M124" s="9" t="n">
        <v>5</v>
      </c>
      <c r="N124" s="12" t="n">
        <v>88414.12</v>
      </c>
      <c r="O124" s="12" t="n">
        <v>89958.96000000001</v>
      </c>
      <c r="P124" s="12" t="n">
        <v>3200000</v>
      </c>
      <c r="Q124" s="9" t="inlineStr">
        <is>
          <t>Low</t>
        </is>
      </c>
      <c r="R124" s="11">
        <f>IFERROR(O124/K124,0)</f>
        <v/>
      </c>
    </row>
    <row r="125">
      <c r="A125" s="9" t="inlineStr">
        <is>
          <t>T0575</t>
        </is>
      </c>
      <c r="B125" s="9" t="inlineStr">
        <is>
          <t>Granite General</t>
        </is>
      </c>
      <c r="C125" s="9" t="inlineStr">
        <is>
          <t>Property</t>
        </is>
      </c>
      <c r="D125" s="9" t="inlineStr">
        <is>
          <t>Asia Pacific</t>
        </is>
      </c>
      <c r="E125" s="9" t="inlineStr">
        <is>
          <t>James Whitfield</t>
        </is>
      </c>
      <c r="F125" s="9" t="inlineStr">
        <is>
          <t>Excess of Loss</t>
        </is>
      </c>
      <c r="G125" s="9" t="n">
        <v>2025</v>
      </c>
      <c r="H125" s="12" t="n">
        <v>3200000</v>
      </c>
      <c r="I125" s="12" t="n">
        <v>370552.32</v>
      </c>
      <c r="J125" s="12" t="n">
        <v>26861.88</v>
      </c>
      <c r="K125" s="12" t="n">
        <v>370552.32</v>
      </c>
      <c r="L125" s="12" t="n">
        <v>38483.28</v>
      </c>
      <c r="M125" s="9" t="n">
        <v>15</v>
      </c>
      <c r="N125" s="12" t="n">
        <v>191867.91</v>
      </c>
      <c r="O125" s="12" t="n">
        <v>249493.23</v>
      </c>
      <c r="P125" s="12" t="n">
        <v>3200000</v>
      </c>
      <c r="Q125" s="9" t="inlineStr">
        <is>
          <t>Low</t>
        </is>
      </c>
      <c r="R125" s="11">
        <f>IFERROR(O125/K125,0)</f>
        <v/>
      </c>
    </row>
    <row r="126">
      <c r="A126" s="9" t="inlineStr">
        <is>
          <t>T0576</t>
        </is>
      </c>
      <c r="B126" s="9" t="inlineStr">
        <is>
          <t>Crown Insurance</t>
        </is>
      </c>
      <c r="C126" s="9" t="inlineStr">
        <is>
          <t>Specialty</t>
        </is>
      </c>
      <c r="D126" s="9" t="inlineStr">
        <is>
          <t>Asia Pacific</t>
        </is>
      </c>
      <c r="E126" s="9" t="inlineStr">
        <is>
          <t>Sophie Laurent</t>
        </is>
      </c>
      <c r="F126" s="9" t="inlineStr">
        <is>
          <t>Excess of Loss</t>
        </is>
      </c>
      <c r="G126" s="9" t="n">
        <v>2021</v>
      </c>
      <c r="H126" s="12" t="n">
        <v>4900000</v>
      </c>
      <c r="I126" s="12" t="n">
        <v>478642.5599999999</v>
      </c>
      <c r="J126" s="12" t="n">
        <v>45984.84</v>
      </c>
      <c r="K126" s="12" t="n">
        <v>478642.5599999999</v>
      </c>
      <c r="L126" s="12" t="n">
        <v>48634.2</v>
      </c>
      <c r="M126" s="9" t="n">
        <v>10</v>
      </c>
      <c r="N126" s="12" t="n">
        <v>196224.42</v>
      </c>
      <c r="O126" s="12" t="n">
        <v>196224.42</v>
      </c>
      <c r="P126" s="12" t="n">
        <v>4900000</v>
      </c>
      <c r="Q126" s="9" t="inlineStr">
        <is>
          <t>Low</t>
        </is>
      </c>
      <c r="R126" s="11">
        <f>IFERROR(O126/K126,0)</f>
        <v/>
      </c>
    </row>
    <row r="127">
      <c r="A127" s="9" t="inlineStr">
        <is>
          <t>T0592</t>
        </is>
      </c>
      <c r="B127" s="9" t="inlineStr">
        <is>
          <t>Atlas General</t>
        </is>
      </c>
      <c r="C127" s="9" t="inlineStr">
        <is>
          <t>Financial Lines</t>
        </is>
      </c>
      <c r="D127" s="9" t="inlineStr">
        <is>
          <t>Asia Pacific</t>
        </is>
      </c>
      <c r="E127" s="9" t="inlineStr">
        <is>
          <t>Carlos Ibarra</t>
        </is>
      </c>
      <c r="F127" s="9" t="inlineStr">
        <is>
          <t>Excess of Loss</t>
        </is>
      </c>
      <c r="G127" s="9" t="n">
        <v>2026</v>
      </c>
      <c r="H127" s="12" t="n">
        <v>10200000</v>
      </c>
      <c r="I127" s="12" t="n">
        <v>553942.4400000001</v>
      </c>
      <c r="J127" s="12" t="n">
        <v>57490.74</v>
      </c>
      <c r="K127" s="12" t="n">
        <v>535477.6900000001</v>
      </c>
      <c r="L127" s="12" t="n">
        <v>38867.51085483051</v>
      </c>
      <c r="M127" s="9" t="n">
        <v>4</v>
      </c>
      <c r="N127" s="12" t="n">
        <v>51106.35</v>
      </c>
      <c r="O127" s="12" t="n">
        <v>154411.74</v>
      </c>
      <c r="P127" s="12" t="n">
        <v>10200000</v>
      </c>
      <c r="Q127" s="9" t="inlineStr">
        <is>
          <t>Low</t>
        </is>
      </c>
      <c r="R127" s="11">
        <f>IFERROR(O127/K127,0)</f>
        <v/>
      </c>
    </row>
    <row r="128">
      <c r="A128" s="9" t="inlineStr">
        <is>
          <t>T0599</t>
        </is>
      </c>
      <c r="B128" s="9" t="inlineStr">
        <is>
          <t>Atlas Insurance</t>
        </is>
      </c>
      <c r="C128" s="9" t="inlineStr">
        <is>
          <t>Casualty</t>
        </is>
      </c>
      <c r="D128" s="9" t="inlineStr">
        <is>
          <t>Asia Pacific</t>
        </is>
      </c>
      <c r="E128" s="9" t="inlineStr">
        <is>
          <t>Aarav Mehta</t>
        </is>
      </c>
      <c r="F128" s="9" t="inlineStr">
        <is>
          <t>Proportional</t>
        </is>
      </c>
      <c r="G128" s="9" t="n">
        <v>2024</v>
      </c>
      <c r="H128" s="12" t="n">
        <v>1900000</v>
      </c>
      <c r="I128" s="12" t="n">
        <v>220932.96</v>
      </c>
      <c r="J128" s="12" t="n">
        <v>15961.08</v>
      </c>
      <c r="K128" s="12" t="n">
        <v>220932.96</v>
      </c>
      <c r="L128" s="12" t="n">
        <v>57627.12</v>
      </c>
      <c r="M128" s="9" t="n">
        <v>15</v>
      </c>
      <c r="N128" s="12" t="n">
        <v>92261.91</v>
      </c>
      <c r="O128" s="12" t="n">
        <v>99783.68000000001</v>
      </c>
      <c r="P128" s="12" t="n">
        <v>190000</v>
      </c>
      <c r="Q128" s="9" t="inlineStr">
        <is>
          <t>Low</t>
        </is>
      </c>
      <c r="R128" s="11">
        <f>IFERROR(O128/K128,0)</f>
        <v/>
      </c>
    </row>
    <row r="129">
      <c r="A129" s="9" t="inlineStr">
        <is>
          <t>T0600</t>
        </is>
      </c>
      <c r="B129" s="9" t="inlineStr">
        <is>
          <t>Atlas Insurance</t>
        </is>
      </c>
      <c r="C129" s="9" t="inlineStr">
        <is>
          <t>Property</t>
        </is>
      </c>
      <c r="D129" s="9" t="inlineStr">
        <is>
          <t>Asia Pacific</t>
        </is>
      </c>
      <c r="E129" s="9" t="inlineStr">
        <is>
          <t>Sophie Laurent</t>
        </is>
      </c>
      <c r="F129" s="9" t="inlineStr">
        <is>
          <t>Excess of Loss</t>
        </is>
      </c>
      <c r="G129" s="9" t="n">
        <v>2024</v>
      </c>
      <c r="H129" s="12" t="n">
        <v>17300000</v>
      </c>
      <c r="I129" s="12" t="n">
        <v>1601634.6</v>
      </c>
      <c r="J129" s="12" t="n">
        <v>121903.8</v>
      </c>
      <c r="K129" s="12" t="n">
        <v>1601634.6</v>
      </c>
      <c r="L129" s="12" t="n">
        <v>100369.08</v>
      </c>
      <c r="M129" s="9" t="n">
        <v>9</v>
      </c>
      <c r="N129" s="12" t="n">
        <v>1431820.87</v>
      </c>
      <c r="O129" s="12" t="n">
        <v>1474721.34</v>
      </c>
      <c r="P129" s="12" t="n">
        <v>17300000</v>
      </c>
      <c r="Q129" s="9" t="inlineStr">
        <is>
          <t>Low</t>
        </is>
      </c>
      <c r="R129" s="11">
        <f>IFERROR(O129/K129,0)</f>
        <v/>
      </c>
    </row>
    <row r="130">
      <c r="A130" s="9" t="inlineStr">
        <is>
          <t>T0602</t>
        </is>
      </c>
      <c r="B130" s="9" t="inlineStr">
        <is>
          <t>Lumen Indemnity</t>
        </is>
      </c>
      <c r="C130" s="9" t="inlineStr">
        <is>
          <t>Casualty</t>
        </is>
      </c>
      <c r="D130" s="9" t="inlineStr">
        <is>
          <t>Asia Pacific</t>
        </is>
      </c>
      <c r="E130" s="9" t="inlineStr">
        <is>
          <t>James Whitfield</t>
        </is>
      </c>
      <c r="F130" s="9" t="inlineStr">
        <is>
          <t>Proportional</t>
        </is>
      </c>
      <c r="G130" s="9" t="n">
        <v>2025</v>
      </c>
      <c r="H130" s="12" t="n">
        <v>19200000</v>
      </c>
      <c r="I130" s="12" t="n">
        <v>1845518.52</v>
      </c>
      <c r="J130" s="12" t="n">
        <v>123400.2</v>
      </c>
      <c r="K130" s="12" t="n">
        <v>1845518.52</v>
      </c>
      <c r="L130" s="12" t="n">
        <v>434072.64</v>
      </c>
      <c r="M130" s="9" t="n">
        <v>2</v>
      </c>
      <c r="N130" s="12" t="n">
        <v>764364.58</v>
      </c>
      <c r="O130" s="12" t="n">
        <v>852914.5699999999</v>
      </c>
      <c r="P130" s="12" t="n">
        <v>3840000</v>
      </c>
      <c r="Q130" s="9" t="inlineStr">
        <is>
          <t>Low</t>
        </is>
      </c>
      <c r="R130" s="11">
        <f>IFERROR(O130/K130,0)</f>
        <v/>
      </c>
    </row>
    <row r="131">
      <c r="A131" s="9" t="inlineStr">
        <is>
          <t>T0603</t>
        </is>
      </c>
      <c r="B131" s="9" t="inlineStr">
        <is>
          <t>Sterling Insurance</t>
        </is>
      </c>
      <c r="C131" s="9" t="inlineStr">
        <is>
          <t>Casualty</t>
        </is>
      </c>
      <c r="D131" s="9" t="inlineStr">
        <is>
          <t>Asia Pacific</t>
        </is>
      </c>
      <c r="E131" s="9" t="inlineStr">
        <is>
          <t>Priya Nair</t>
        </is>
      </c>
      <c r="F131" s="9" t="inlineStr">
        <is>
          <t>Excess of Loss</t>
        </is>
      </c>
      <c r="G131" s="9" t="n">
        <v>2025</v>
      </c>
      <c r="H131" s="12" t="n">
        <v>16899999.99996</v>
      </c>
      <c r="I131" s="12" t="n">
        <v>1622223.89472</v>
      </c>
      <c r="J131" s="12" t="n">
        <v>147289.38576</v>
      </c>
      <c r="K131" s="12" t="n">
        <v>1622223.89472</v>
      </c>
      <c r="L131" s="12" t="n">
        <v>184543.53192</v>
      </c>
      <c r="M131" s="9" t="n">
        <v>7</v>
      </c>
      <c r="N131" s="12" t="n">
        <v>1666426.38888</v>
      </c>
      <c r="O131" s="12" t="n">
        <v>1770190.22256</v>
      </c>
      <c r="P131" s="12" t="n">
        <v>16899999.99996</v>
      </c>
      <c r="Q131" s="9" t="inlineStr">
        <is>
          <t>Low</t>
        </is>
      </c>
      <c r="R131" s="11">
        <f>IFERROR(O131/K131,0)</f>
        <v/>
      </c>
    </row>
    <row r="132">
      <c r="A132" s="9" t="inlineStr">
        <is>
          <t>T0610</t>
        </is>
      </c>
      <c r="B132" s="9" t="inlineStr">
        <is>
          <t>Granite Insurance</t>
        </is>
      </c>
      <c r="C132" s="9" t="inlineStr">
        <is>
          <t>Property</t>
        </is>
      </c>
      <c r="D132" s="9" t="inlineStr">
        <is>
          <t>Asia Pacific</t>
        </is>
      </c>
      <c r="E132" s="9" t="inlineStr">
        <is>
          <t>Kenji Sato</t>
        </is>
      </c>
      <c r="F132" s="9" t="inlineStr">
        <is>
          <t>Proportional</t>
        </is>
      </c>
      <c r="G132" s="9" t="n">
        <v>2022</v>
      </c>
      <c r="H132" s="12" t="n">
        <v>40700000</v>
      </c>
      <c r="I132" s="12" t="n">
        <v>6444020.76</v>
      </c>
      <c r="J132" s="12" t="n">
        <v>362851.68</v>
      </c>
      <c r="K132" s="12" t="n">
        <v>6444020.76</v>
      </c>
      <c r="L132" s="12" t="n">
        <v>1936010.16</v>
      </c>
      <c r="M132" s="9" t="n">
        <v>14</v>
      </c>
      <c r="N132" s="12" t="n">
        <v>3560954</v>
      </c>
      <c r="O132" s="12" t="n">
        <v>4237902.98</v>
      </c>
      <c r="P132" s="12" t="n">
        <v>20350000</v>
      </c>
      <c r="Q132" s="9" t="inlineStr">
        <is>
          <t>Low</t>
        </is>
      </c>
      <c r="R132" s="11">
        <f>IFERROR(O132/K132,0)</f>
        <v/>
      </c>
    </row>
    <row r="133">
      <c r="A133" s="9" t="inlineStr">
        <is>
          <t>T0614</t>
        </is>
      </c>
      <c r="B133" s="9" t="inlineStr">
        <is>
          <t>Summit Indemnity</t>
        </is>
      </c>
      <c r="C133" s="9" t="inlineStr">
        <is>
          <t>Property</t>
        </is>
      </c>
      <c r="D133" s="9" t="inlineStr">
        <is>
          <t>Asia Pacific</t>
        </is>
      </c>
      <c r="E133" s="9" t="inlineStr">
        <is>
          <t>Sophie Laurent</t>
        </is>
      </c>
      <c r="F133" s="9" t="inlineStr">
        <is>
          <t>Excess of Loss</t>
        </is>
      </c>
      <c r="G133" s="9" t="n">
        <v>2022</v>
      </c>
      <c r="H133" s="12" t="n">
        <v>1800000</v>
      </c>
      <c r="I133" s="12" t="n">
        <v>287008.08</v>
      </c>
      <c r="J133" s="12" t="n">
        <v>14941.2</v>
      </c>
      <c r="K133" s="12" t="n">
        <v>287008.08</v>
      </c>
      <c r="L133" s="12" t="n">
        <v>33848.64</v>
      </c>
      <c r="M133" s="9" t="n">
        <v>7</v>
      </c>
      <c r="N133" s="12" t="n">
        <v>113783.04</v>
      </c>
      <c r="O133" s="12" t="n">
        <v>147168.46</v>
      </c>
      <c r="P133" s="12" t="n">
        <v>1800000</v>
      </c>
      <c r="Q133" s="9" t="inlineStr">
        <is>
          <t>Low</t>
        </is>
      </c>
      <c r="R133" s="11">
        <f>IFERROR(O133/K133,0)</f>
        <v/>
      </c>
    </row>
    <row r="134">
      <c r="A134" s="9" t="inlineStr">
        <is>
          <t>T0617</t>
        </is>
      </c>
      <c r="B134" s="9" t="inlineStr">
        <is>
          <t>Sterling Insurance</t>
        </is>
      </c>
      <c r="C134" s="9" t="inlineStr">
        <is>
          <t>Casualty</t>
        </is>
      </c>
      <c r="D134" s="9" t="inlineStr">
        <is>
          <t>Asia Pacific</t>
        </is>
      </c>
      <c r="E134" s="9" t="inlineStr">
        <is>
          <t>Priya Nair</t>
        </is>
      </c>
      <c r="F134" s="9" t="inlineStr">
        <is>
          <t>Proportional</t>
        </is>
      </c>
      <c r="G134" s="9" t="n">
        <v>2023</v>
      </c>
      <c r="H134" s="12" t="n">
        <v>5900000.00004</v>
      </c>
      <c r="I134" s="12" t="n">
        <v>461076.6672</v>
      </c>
      <c r="J134" s="12" t="n">
        <v>53062.38864</v>
      </c>
      <c r="K134" s="12" t="n">
        <v>461076.6672</v>
      </c>
      <c r="L134" s="12" t="n">
        <v>142955.93232</v>
      </c>
      <c r="M134" s="9" t="n">
        <v>7</v>
      </c>
      <c r="N134" s="12" t="n">
        <v>272524.51284</v>
      </c>
      <c r="O134" s="12" t="n">
        <v>307821.43332</v>
      </c>
      <c r="P134" s="12" t="n">
        <v>1770000</v>
      </c>
      <c r="Q134" s="9" t="inlineStr">
        <is>
          <t>Low</t>
        </is>
      </c>
      <c r="R134" s="11">
        <f>IFERROR(O134/K134,0)</f>
        <v/>
      </c>
    </row>
    <row r="135">
      <c r="A135" s="9" t="inlineStr">
        <is>
          <t>T0620</t>
        </is>
      </c>
      <c r="B135" s="9" t="inlineStr">
        <is>
          <t>Granite Insurance</t>
        </is>
      </c>
      <c r="C135" s="9" t="inlineStr">
        <is>
          <t>Property</t>
        </is>
      </c>
      <c r="D135" s="9" t="inlineStr">
        <is>
          <t>Asia Pacific</t>
        </is>
      </c>
      <c r="E135" s="9" t="inlineStr">
        <is>
          <t>Omar Haddad</t>
        </is>
      </c>
      <c r="F135" s="9" t="inlineStr">
        <is>
          <t>Proportional</t>
        </is>
      </c>
      <c r="G135" s="9" t="n">
        <v>2026</v>
      </c>
      <c r="H135" s="12" t="n">
        <v>12000000</v>
      </c>
      <c r="I135" s="12" t="n">
        <v>366879.56</v>
      </c>
      <c r="J135" s="12" t="n">
        <v>35752.6</v>
      </c>
      <c r="K135" s="12" t="n">
        <v>314904.96</v>
      </c>
      <c r="L135" s="12" t="n">
        <v>88612.54921937651</v>
      </c>
      <c r="M135" s="9" t="n">
        <v>0</v>
      </c>
      <c r="N135" s="12" t="n">
        <v>0</v>
      </c>
      <c r="O135" s="12" t="n">
        <v>0</v>
      </c>
      <c r="P135" s="12" t="n">
        <v>3000000</v>
      </c>
      <c r="Q135" s="9" t="inlineStr">
        <is>
          <t>Low</t>
        </is>
      </c>
      <c r="R135" s="11">
        <f>IFERROR(O135/K135,0)</f>
        <v/>
      </c>
    </row>
    <row r="136">
      <c r="A136" s="9" t="inlineStr">
        <is>
          <t>T0622</t>
        </is>
      </c>
      <c r="B136" s="9" t="inlineStr">
        <is>
          <t>Northwind Mutual</t>
        </is>
      </c>
      <c r="C136" s="9" t="inlineStr">
        <is>
          <t>Specialty</t>
        </is>
      </c>
      <c r="D136" s="9" t="inlineStr">
        <is>
          <t>Asia Pacific</t>
        </is>
      </c>
      <c r="E136" s="9" t="inlineStr">
        <is>
          <t>Kenji Sato</t>
        </is>
      </c>
      <c r="F136" s="9" t="inlineStr">
        <is>
          <t>Proportional</t>
        </is>
      </c>
      <c r="G136" s="9" t="n">
        <v>2022</v>
      </c>
      <c r="H136" s="12" t="n">
        <v>23000000.00004</v>
      </c>
      <c r="I136" s="12" t="n">
        <v>1757596.2696</v>
      </c>
      <c r="J136" s="12" t="n">
        <v>136889.28576</v>
      </c>
      <c r="K136" s="12" t="n">
        <v>1757596.2696</v>
      </c>
      <c r="L136" s="12" t="n">
        <v>534112.90128</v>
      </c>
      <c r="M136" s="9" t="n">
        <v>16</v>
      </c>
      <c r="N136" s="12" t="n">
        <v>399414.03168</v>
      </c>
      <c r="O136" s="12" t="n">
        <v>400962.39504</v>
      </c>
      <c r="P136" s="12" t="n">
        <v>3450000</v>
      </c>
      <c r="Q136" s="9" t="inlineStr">
        <is>
          <t>Low</t>
        </is>
      </c>
      <c r="R136" s="11">
        <f>IFERROR(O136/K136,0)</f>
        <v/>
      </c>
    </row>
    <row r="137">
      <c r="A137" s="9" t="inlineStr">
        <is>
          <t>T0624</t>
        </is>
      </c>
      <c r="B137" s="9" t="inlineStr">
        <is>
          <t>Orion Insurance</t>
        </is>
      </c>
      <c r="C137" s="9" t="inlineStr">
        <is>
          <t>Property</t>
        </is>
      </c>
      <c r="D137" s="9" t="inlineStr">
        <is>
          <t>Asia Pacific</t>
        </is>
      </c>
      <c r="E137" s="9" t="inlineStr">
        <is>
          <t>Kenji Sato</t>
        </is>
      </c>
      <c r="F137" s="9" t="inlineStr">
        <is>
          <t>Proportional</t>
        </is>
      </c>
      <c r="G137" s="9" t="n">
        <v>2023</v>
      </c>
      <c r="H137" s="12" t="n">
        <v>5900000</v>
      </c>
      <c r="I137" s="12" t="n">
        <v>434388</v>
      </c>
      <c r="J137" s="12" t="n">
        <v>43076.76</v>
      </c>
      <c r="K137" s="12" t="n">
        <v>434388</v>
      </c>
      <c r="L137" s="12" t="n">
        <v>119861.64</v>
      </c>
      <c r="M137" s="9" t="n">
        <v>10</v>
      </c>
      <c r="N137" s="12" t="n">
        <v>283924.92</v>
      </c>
      <c r="O137" s="12" t="n">
        <v>297230.38</v>
      </c>
      <c r="P137" s="12" t="n">
        <v>590000</v>
      </c>
      <c r="Q137" s="9" t="inlineStr">
        <is>
          <t>Low</t>
        </is>
      </c>
      <c r="R137" s="11">
        <f>IFERROR(O137/K137,0)</f>
        <v/>
      </c>
    </row>
    <row r="138">
      <c r="A138" s="9" t="inlineStr">
        <is>
          <t>T0627</t>
        </is>
      </c>
      <c r="B138" s="9" t="inlineStr">
        <is>
          <t>Granite Insurance</t>
        </is>
      </c>
      <c r="C138" s="9" t="inlineStr">
        <is>
          <t>Casualty</t>
        </is>
      </c>
      <c r="D138" s="9" t="inlineStr">
        <is>
          <t>Asia Pacific</t>
        </is>
      </c>
      <c r="E138" s="9" t="inlineStr">
        <is>
          <t>Kenji Sato</t>
        </is>
      </c>
      <c r="F138" s="9" t="inlineStr">
        <is>
          <t>Proportional</t>
        </is>
      </c>
      <c r="G138" s="9" t="n">
        <v>2024</v>
      </c>
      <c r="H138" s="12" t="n">
        <v>10200000</v>
      </c>
      <c r="I138" s="12" t="n">
        <v>1154818.08</v>
      </c>
      <c r="J138" s="12" t="n">
        <v>90934.44</v>
      </c>
      <c r="K138" s="12" t="n">
        <v>1154818.08</v>
      </c>
      <c r="L138" s="12" t="n">
        <v>310887.24</v>
      </c>
      <c r="M138" s="9" t="n">
        <v>7</v>
      </c>
      <c r="N138" s="12" t="n">
        <v>367492.59</v>
      </c>
      <c r="O138" s="12" t="n">
        <v>796983.45</v>
      </c>
      <c r="P138" s="12" t="n">
        <v>3060000</v>
      </c>
      <c r="Q138" s="9" t="inlineStr">
        <is>
          <t>Low</t>
        </is>
      </c>
      <c r="R138" s="11">
        <f>IFERROR(O138/K138,0)</f>
        <v/>
      </c>
    </row>
    <row r="139">
      <c r="A139" s="9" t="inlineStr">
        <is>
          <t>T0637</t>
        </is>
      </c>
      <c r="B139" s="9" t="inlineStr">
        <is>
          <t>Crown Insurance</t>
        </is>
      </c>
      <c r="C139" s="9" t="inlineStr">
        <is>
          <t>Specialty</t>
        </is>
      </c>
      <c r="D139" s="9" t="inlineStr">
        <is>
          <t>Asia Pacific</t>
        </is>
      </c>
      <c r="E139" s="9" t="inlineStr">
        <is>
          <t>Carlos Ibarra</t>
        </is>
      </c>
      <c r="F139" s="9" t="inlineStr">
        <is>
          <t>Facultative</t>
        </is>
      </c>
      <c r="G139" s="9" t="n">
        <v>2025</v>
      </c>
      <c r="H139" s="12" t="n">
        <v>2800000</v>
      </c>
      <c r="I139" s="12" t="n">
        <v>217145.76</v>
      </c>
      <c r="J139" s="12" t="n">
        <v>14391.48</v>
      </c>
      <c r="K139" s="12" t="n">
        <v>217145.76</v>
      </c>
      <c r="L139" s="12" t="n">
        <v>35190.48</v>
      </c>
      <c r="M139" s="9" t="n">
        <v>7</v>
      </c>
      <c r="N139" s="12" t="n">
        <v>122885.11</v>
      </c>
      <c r="O139" s="12" t="n">
        <v>131703.33</v>
      </c>
      <c r="P139" s="12" t="n">
        <v>2800000</v>
      </c>
      <c r="Q139" s="9" t="inlineStr">
        <is>
          <t>Low</t>
        </is>
      </c>
      <c r="R139" s="11">
        <f>IFERROR(O139/K139,0)</f>
        <v/>
      </c>
    </row>
    <row r="140">
      <c r="A140" s="9" t="inlineStr">
        <is>
          <t>T0638</t>
        </is>
      </c>
      <c r="B140" s="9" t="inlineStr">
        <is>
          <t>Meridian Insurance</t>
        </is>
      </c>
      <c r="C140" s="9" t="inlineStr">
        <is>
          <t>Casualty</t>
        </is>
      </c>
      <c r="D140" s="9" t="inlineStr">
        <is>
          <t>Asia Pacific</t>
        </is>
      </c>
      <c r="E140" s="9" t="inlineStr">
        <is>
          <t>Sophie Laurent</t>
        </is>
      </c>
      <c r="F140" s="9" t="inlineStr">
        <is>
          <t>Facultative</t>
        </is>
      </c>
      <c r="G140" s="9" t="n">
        <v>2024</v>
      </c>
      <c r="H140" s="12" t="n">
        <v>7600000</v>
      </c>
      <c r="I140" s="12" t="n">
        <v>1115169.36</v>
      </c>
      <c r="J140" s="12" t="n">
        <v>61653</v>
      </c>
      <c r="K140" s="12" t="n">
        <v>1115169.36</v>
      </c>
      <c r="L140" s="12" t="n">
        <v>221064.36</v>
      </c>
      <c r="M140" s="9" t="n">
        <v>10</v>
      </c>
      <c r="N140" s="12" t="n">
        <v>767287.12</v>
      </c>
      <c r="O140" s="12" t="n">
        <v>803701.67</v>
      </c>
      <c r="P140" s="12" t="n">
        <v>7600000</v>
      </c>
      <c r="Q140" s="9" t="inlineStr">
        <is>
          <t>Low</t>
        </is>
      </c>
      <c r="R140" s="11">
        <f>IFERROR(O140/K140,0)</f>
        <v/>
      </c>
    </row>
    <row r="141">
      <c r="A141" s="9" t="inlineStr">
        <is>
          <t>T0641</t>
        </is>
      </c>
      <c r="B141" s="9" t="inlineStr">
        <is>
          <t>Granite General</t>
        </is>
      </c>
      <c r="C141" s="9" t="inlineStr">
        <is>
          <t>Financial Lines</t>
        </is>
      </c>
      <c r="D141" s="9" t="inlineStr">
        <is>
          <t>Asia Pacific</t>
        </is>
      </c>
      <c r="E141" s="9" t="inlineStr">
        <is>
          <t>James Whitfield</t>
        </is>
      </c>
      <c r="F141" s="9" t="inlineStr">
        <is>
          <t>Proportional</t>
        </is>
      </c>
      <c r="G141" s="9" t="n">
        <v>2022</v>
      </c>
      <c r="H141" s="12" t="n">
        <v>6100000</v>
      </c>
      <c r="I141" s="12" t="n">
        <v>712896.72</v>
      </c>
      <c r="J141" s="12" t="n">
        <v>84216.48</v>
      </c>
      <c r="K141" s="12" t="n">
        <v>712896.72</v>
      </c>
      <c r="L141" s="12" t="n">
        <v>180722.64</v>
      </c>
      <c r="M141" s="9" t="n">
        <v>6</v>
      </c>
      <c r="N141" s="12" t="n">
        <v>308160.14</v>
      </c>
      <c r="O141" s="12" t="n">
        <v>329619.49</v>
      </c>
      <c r="P141" s="12" t="n">
        <v>3050000</v>
      </c>
      <c r="Q141" s="9" t="inlineStr">
        <is>
          <t>Low</t>
        </is>
      </c>
      <c r="R141" s="11">
        <f>IFERROR(O141/K141,0)</f>
        <v/>
      </c>
    </row>
    <row r="142">
      <c r="A142" s="9" t="inlineStr">
        <is>
          <t>T0652</t>
        </is>
      </c>
      <c r="B142" s="9" t="inlineStr">
        <is>
          <t>Vantage Mutual</t>
        </is>
      </c>
      <c r="C142" s="9" t="inlineStr">
        <is>
          <t>Specialty</t>
        </is>
      </c>
      <c r="D142" s="9" t="inlineStr">
        <is>
          <t>Asia Pacific</t>
        </is>
      </c>
      <c r="E142" s="9" t="inlineStr">
        <is>
          <t>Carlos Ibarra</t>
        </is>
      </c>
      <c r="F142" s="9" t="inlineStr">
        <is>
          <t>Excess of Loss</t>
        </is>
      </c>
      <c r="G142" s="9" t="n">
        <v>2025</v>
      </c>
      <c r="H142" s="12" t="n">
        <v>28899999.99996</v>
      </c>
      <c r="I142" s="12" t="n">
        <v>2487245.52096</v>
      </c>
      <c r="J142" s="12" t="n">
        <v>213271.53552</v>
      </c>
      <c r="K142" s="12" t="n">
        <v>2487245.52096</v>
      </c>
      <c r="L142" s="12" t="n">
        <v>241334.27136</v>
      </c>
      <c r="M142" s="9" t="n">
        <v>9</v>
      </c>
      <c r="N142" s="12" t="n">
        <v>547517.15088</v>
      </c>
      <c r="O142" s="12" t="n">
        <v>715948.70436</v>
      </c>
      <c r="P142" s="12" t="n">
        <v>28899999.99996</v>
      </c>
      <c r="Q142" s="9" t="inlineStr">
        <is>
          <t>Low</t>
        </is>
      </c>
      <c r="R142" s="11">
        <f>IFERROR(O142/K142,0)</f>
        <v/>
      </c>
    </row>
    <row r="143">
      <c r="A143" s="9" t="inlineStr">
        <is>
          <t>T0660</t>
        </is>
      </c>
      <c r="B143" s="9" t="inlineStr">
        <is>
          <t>Granite General</t>
        </is>
      </c>
      <c r="C143" s="9" t="inlineStr">
        <is>
          <t>Property</t>
        </is>
      </c>
      <c r="D143" s="9" t="inlineStr">
        <is>
          <t>Asia Pacific</t>
        </is>
      </c>
      <c r="E143" s="9" t="inlineStr">
        <is>
          <t>Hannah Weber</t>
        </is>
      </c>
      <c r="F143" s="9" t="inlineStr">
        <is>
          <t>Excess of Loss</t>
        </is>
      </c>
      <c r="G143" s="9" t="n">
        <v>2025</v>
      </c>
      <c r="H143" s="12" t="n">
        <v>20800000</v>
      </c>
      <c r="I143" s="12" t="n">
        <v>1440459.5</v>
      </c>
      <c r="J143" s="12" t="n">
        <v>103058.3</v>
      </c>
      <c r="K143" s="12" t="n">
        <v>1358833.46</v>
      </c>
      <c r="L143" s="12" t="n">
        <v>157118.2038072879</v>
      </c>
      <c r="M143" s="9" t="n">
        <v>5</v>
      </c>
      <c r="N143" s="12" t="n">
        <v>41247.79</v>
      </c>
      <c r="O143" s="12" t="n">
        <v>1133423.95</v>
      </c>
      <c r="P143" s="12" t="n">
        <v>20800000</v>
      </c>
      <c r="Q143" s="9" t="inlineStr">
        <is>
          <t>Low</t>
        </is>
      </c>
      <c r="R143" s="11">
        <f>IFERROR(O143/K143,0)</f>
        <v/>
      </c>
    </row>
    <row r="144">
      <c r="A144" s="9" t="inlineStr">
        <is>
          <t>T0668</t>
        </is>
      </c>
      <c r="B144" s="9" t="inlineStr">
        <is>
          <t>Sterling Insurance</t>
        </is>
      </c>
      <c r="C144" s="9" t="inlineStr">
        <is>
          <t>Specialty</t>
        </is>
      </c>
      <c r="D144" s="9" t="inlineStr">
        <is>
          <t>Asia Pacific</t>
        </is>
      </c>
      <c r="E144" s="9" t="inlineStr">
        <is>
          <t>Kenji Sato</t>
        </is>
      </c>
      <c r="F144" s="9" t="inlineStr">
        <is>
          <t>Excess of Loss</t>
        </is>
      </c>
      <c r="G144" s="9" t="n">
        <v>2025</v>
      </c>
      <c r="H144" s="12" t="n">
        <v>6099999.99996</v>
      </c>
      <c r="I144" s="12" t="n">
        <v>1145247.45696</v>
      </c>
      <c r="J144" s="12" t="n">
        <v>133334.70336</v>
      </c>
      <c r="K144" s="12" t="n">
        <v>1145247.45696</v>
      </c>
      <c r="L144" s="12" t="n">
        <v>116524.8864</v>
      </c>
      <c r="M144" s="9" t="n">
        <v>4</v>
      </c>
      <c r="N144" s="12" t="n">
        <v>405760.79652</v>
      </c>
      <c r="O144" s="12" t="n">
        <v>805831.5</v>
      </c>
      <c r="P144" s="12" t="n">
        <v>6099999.99996</v>
      </c>
      <c r="Q144" s="9" t="inlineStr">
        <is>
          <t>Low</t>
        </is>
      </c>
      <c r="R144" s="11">
        <f>IFERROR(O144/K144,0)</f>
        <v/>
      </c>
    </row>
    <row r="145">
      <c r="A145" s="9" t="inlineStr">
        <is>
          <t>T0672</t>
        </is>
      </c>
      <c r="B145" s="9" t="inlineStr">
        <is>
          <t>Crown Insurance</t>
        </is>
      </c>
      <c r="C145" s="9" t="inlineStr">
        <is>
          <t>Property</t>
        </is>
      </c>
      <c r="D145" s="9" t="inlineStr">
        <is>
          <t>Asia Pacific</t>
        </is>
      </c>
      <c r="E145" s="9" t="inlineStr">
        <is>
          <t>Carlos Ibarra</t>
        </is>
      </c>
      <c r="F145" s="9" t="inlineStr">
        <is>
          <t>Proportional</t>
        </is>
      </c>
      <c r="G145" s="9" t="n">
        <v>2022</v>
      </c>
      <c r="H145" s="12" t="n">
        <v>37500000</v>
      </c>
      <c r="I145" s="12" t="n">
        <v>4539606.84</v>
      </c>
      <c r="J145" s="12" t="n">
        <v>271518.84</v>
      </c>
      <c r="K145" s="12" t="n">
        <v>4539606.84</v>
      </c>
      <c r="L145" s="12" t="n">
        <v>1241303.52</v>
      </c>
      <c r="M145" s="9" t="n">
        <v>16</v>
      </c>
      <c r="N145" s="12" t="n">
        <v>2437398.12</v>
      </c>
      <c r="O145" s="12" t="n">
        <v>2578505.49</v>
      </c>
      <c r="P145" s="12" t="n">
        <v>9375000</v>
      </c>
      <c r="Q145" s="9" t="inlineStr">
        <is>
          <t>Low</t>
        </is>
      </c>
      <c r="R145" s="11">
        <f>IFERROR(O145/K145,0)</f>
        <v/>
      </c>
    </row>
    <row r="146">
      <c r="A146" s="9" t="inlineStr">
        <is>
          <t>T0675</t>
        </is>
      </c>
      <c r="B146" s="9" t="inlineStr">
        <is>
          <t>Sterling General</t>
        </is>
      </c>
      <c r="C146" s="9" t="inlineStr">
        <is>
          <t>Specialty</t>
        </is>
      </c>
      <c r="D146" s="9" t="inlineStr">
        <is>
          <t>Asia Pacific</t>
        </is>
      </c>
      <c r="E146" s="9" t="inlineStr">
        <is>
          <t>Aarav Mehta</t>
        </is>
      </c>
      <c r="F146" s="9" t="inlineStr">
        <is>
          <t>Excess of Loss</t>
        </is>
      </c>
      <c r="G146" s="9" t="n">
        <v>2021</v>
      </c>
      <c r="H146" s="12" t="n">
        <v>14500000</v>
      </c>
      <c r="I146" s="12" t="n">
        <v>1299450.84</v>
      </c>
      <c r="J146" s="12" t="n">
        <v>82812.84</v>
      </c>
      <c r="K146" s="12" t="n">
        <v>1299450.84</v>
      </c>
      <c r="L146" s="12" t="n">
        <v>150121.32</v>
      </c>
      <c r="M146" s="9" t="n">
        <v>11</v>
      </c>
      <c r="N146" s="12" t="n">
        <v>708835.63</v>
      </c>
      <c r="O146" s="12" t="n">
        <v>812744.23</v>
      </c>
      <c r="P146" s="12" t="n">
        <v>14500000</v>
      </c>
      <c r="Q146" s="9" t="inlineStr">
        <is>
          <t>Low</t>
        </is>
      </c>
      <c r="R146" s="11">
        <f>IFERROR(O146/K146,0)</f>
        <v/>
      </c>
    </row>
    <row r="147">
      <c r="A147" s="9" t="inlineStr">
        <is>
          <t>T0678</t>
        </is>
      </c>
      <c r="B147" s="9" t="inlineStr">
        <is>
          <t>Northwind General</t>
        </is>
      </c>
      <c r="C147" s="9" t="inlineStr">
        <is>
          <t>Specialty</t>
        </is>
      </c>
      <c r="D147" s="9" t="inlineStr">
        <is>
          <t>Asia Pacific</t>
        </is>
      </c>
      <c r="E147" s="9" t="inlineStr">
        <is>
          <t>Aarav Mehta</t>
        </is>
      </c>
      <c r="F147" s="9" t="inlineStr">
        <is>
          <t>Facultative</t>
        </is>
      </c>
      <c r="G147" s="9" t="n">
        <v>2023</v>
      </c>
      <c r="H147" s="12" t="n">
        <v>16299999.99996</v>
      </c>
      <c r="I147" s="12" t="n">
        <v>2688017.85216</v>
      </c>
      <c r="J147" s="12" t="n">
        <v>214492.11264</v>
      </c>
      <c r="K147" s="12" t="n">
        <v>2688017.85216</v>
      </c>
      <c r="L147" s="12" t="n">
        <v>431154.3096</v>
      </c>
      <c r="M147" s="9" t="n">
        <v>9</v>
      </c>
      <c r="N147" s="12" t="n">
        <v>946592.2404</v>
      </c>
      <c r="O147" s="12" t="n">
        <v>946592.2404</v>
      </c>
      <c r="P147" s="12" t="n">
        <v>16299999.99996</v>
      </c>
      <c r="Q147" s="9" t="inlineStr">
        <is>
          <t>Low</t>
        </is>
      </c>
      <c r="R147" s="11">
        <f>IFERROR(O147/K147,0)</f>
        <v/>
      </c>
    </row>
    <row r="148">
      <c r="A148" s="9" t="inlineStr">
        <is>
          <t>T0683</t>
        </is>
      </c>
      <c r="B148" s="9" t="inlineStr">
        <is>
          <t>Summit Indemnity</t>
        </is>
      </c>
      <c r="C148" s="9" t="inlineStr">
        <is>
          <t>Casualty</t>
        </is>
      </c>
      <c r="D148" s="9" t="inlineStr">
        <is>
          <t>Asia Pacific</t>
        </is>
      </c>
      <c r="E148" s="9" t="inlineStr">
        <is>
          <t>Sophie Laurent</t>
        </is>
      </c>
      <c r="F148" s="9" t="inlineStr">
        <is>
          <t>Excess of Loss</t>
        </is>
      </c>
      <c r="G148" s="9" t="n">
        <v>2025</v>
      </c>
      <c r="H148" s="12" t="n">
        <v>5500000</v>
      </c>
      <c r="I148" s="12" t="n">
        <v>1092292.68</v>
      </c>
      <c r="J148" s="12" t="n">
        <v>57644.52</v>
      </c>
      <c r="K148" s="12" t="n">
        <v>1092292.68</v>
      </c>
      <c r="L148" s="12" t="n">
        <v>58905.72</v>
      </c>
      <c r="M148" s="9" t="n">
        <v>14</v>
      </c>
      <c r="N148" s="12" t="n">
        <v>504137.92</v>
      </c>
      <c r="O148" s="12" t="n">
        <v>700879.52</v>
      </c>
      <c r="P148" s="12" t="n">
        <v>5500000</v>
      </c>
      <c r="Q148" s="9" t="inlineStr">
        <is>
          <t>Low</t>
        </is>
      </c>
      <c r="R148" s="11">
        <f>IFERROR(O148/K148,0)</f>
        <v/>
      </c>
    </row>
    <row r="149">
      <c r="A149" s="9" t="inlineStr">
        <is>
          <t>T0691</t>
        </is>
      </c>
      <c r="B149" s="9" t="inlineStr">
        <is>
          <t>Granite General</t>
        </is>
      </c>
      <c r="C149" s="9" t="inlineStr">
        <is>
          <t>Professional</t>
        </is>
      </c>
      <c r="D149" s="9" t="inlineStr">
        <is>
          <t>Asia Pacific</t>
        </is>
      </c>
      <c r="E149" s="9" t="inlineStr">
        <is>
          <t>Carlos Ibarra</t>
        </is>
      </c>
      <c r="F149" s="9" t="inlineStr">
        <is>
          <t>Excess of Loss</t>
        </is>
      </c>
      <c r="G149" s="9" t="n">
        <v>2026</v>
      </c>
      <c r="H149" s="12" t="n">
        <v>18500000</v>
      </c>
      <c r="I149" s="12" t="n">
        <v>332766.42</v>
      </c>
      <c r="J149" s="12" t="n">
        <v>35097.89999999999</v>
      </c>
      <c r="K149" s="12" t="n">
        <v>295792.37</v>
      </c>
      <c r="L149" s="12" t="n">
        <v>34435.89294526953</v>
      </c>
      <c r="M149" s="9" t="n">
        <v>1</v>
      </c>
      <c r="N149" s="12" t="n">
        <v>33389.3</v>
      </c>
      <c r="O149" s="12" t="n">
        <v>146455.4</v>
      </c>
      <c r="P149" s="12" t="n">
        <v>18500000</v>
      </c>
      <c r="Q149" s="9" t="inlineStr">
        <is>
          <t>Low</t>
        </is>
      </c>
      <c r="R149" s="11">
        <f>IFERROR(O149/K149,0)</f>
        <v/>
      </c>
    </row>
  </sheetData>
  <autoFilter ref="A1:R1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4" t="inlineStr">
        <is>
          <t>year_month</t>
        </is>
      </c>
      <c r="B1" s="4" t="inlineStr">
        <is>
          <t>gwp</t>
        </is>
      </c>
      <c r="C1" s="4" t="inlineStr">
        <is>
          <t>earned</t>
        </is>
      </c>
      <c r="D1" s="4" t="inlineStr">
        <is>
          <t>claims</t>
        </is>
      </c>
      <c r="E1" s="4" t="inlineStr">
        <is>
          <t>incurred</t>
        </is>
      </c>
      <c r="F1" s="4" t="inlineStr">
        <is>
          <t>gwp_mom_growth</t>
        </is>
      </c>
      <c r="G1" s="4" t="inlineStr">
        <is>
          <t>incurred_rolling_3m</t>
        </is>
      </c>
    </row>
    <row r="2">
      <c r="A2" s="9" t="inlineStr">
        <is>
          <t>2021-01</t>
        </is>
      </c>
      <c r="B2" s="12" t="n">
        <v>773201.3099999999</v>
      </c>
      <c r="C2" s="12" t="n">
        <v>773201.3099999999</v>
      </c>
      <c r="D2" s="9" t="n">
        <v>1</v>
      </c>
      <c r="E2" s="12" t="n">
        <v>396720.85</v>
      </c>
      <c r="F2" s="13" t="n"/>
      <c r="G2" s="14">
        <f>AVERAGE(E2:E2)</f>
        <v/>
      </c>
    </row>
    <row r="3">
      <c r="A3" s="9" t="inlineStr">
        <is>
          <t>2021-02</t>
        </is>
      </c>
      <c r="B3" s="12" t="n">
        <v>802617.48</v>
      </c>
      <c r="C3" s="12" t="n">
        <v>802617.48</v>
      </c>
      <c r="D3" s="9" t="n">
        <v>2</v>
      </c>
      <c r="E3" s="12" t="n">
        <v>383244.08</v>
      </c>
      <c r="F3" s="13">
        <f>IFERROR(B3/B2-1,"")</f>
        <v/>
      </c>
      <c r="G3" s="14">
        <f>AVERAGE(E2:E3)</f>
        <v/>
      </c>
    </row>
    <row r="4">
      <c r="A4" s="9" t="inlineStr">
        <is>
          <t>2021-03</t>
        </is>
      </c>
      <c r="B4" s="12" t="n">
        <v>802617.48</v>
      </c>
      <c r="C4" s="12" t="n">
        <v>802617.48</v>
      </c>
      <c r="D4" s="9" t="n">
        <v>3</v>
      </c>
      <c r="E4" s="12" t="n">
        <v>208116.44</v>
      </c>
      <c r="F4" s="13">
        <f>IFERROR(B4/B3-1,"")</f>
        <v/>
      </c>
      <c r="G4" s="14">
        <f>AVERAGE(E2:E4)</f>
        <v/>
      </c>
    </row>
    <row r="5">
      <c r="A5" s="9" t="inlineStr">
        <is>
          <t>2021-04</t>
        </is>
      </c>
      <c r="B5" s="12" t="n">
        <v>1176997.75</v>
      </c>
      <c r="C5" s="12" t="n">
        <v>1176997.75</v>
      </c>
      <c r="D5" s="9" t="n">
        <v>6</v>
      </c>
      <c r="E5" s="12" t="n">
        <v>1083196.38</v>
      </c>
      <c r="F5" s="13">
        <f>IFERROR(B5/B4-1,"")</f>
        <v/>
      </c>
      <c r="G5" s="14">
        <f>AVERAGE(E3:E5)</f>
        <v/>
      </c>
    </row>
    <row r="6">
      <c r="A6" s="9" t="inlineStr">
        <is>
          <t>2021-05</t>
        </is>
      </c>
      <c r="B6" s="12" t="n">
        <v>1555085.99</v>
      </c>
      <c r="C6" s="12" t="n">
        <v>1555085.99</v>
      </c>
      <c r="D6" s="9" t="n">
        <v>9</v>
      </c>
      <c r="E6" s="12" t="n">
        <v>2012774.13</v>
      </c>
      <c r="F6" s="13">
        <f>IFERROR(B6/B5-1,"")</f>
        <v/>
      </c>
      <c r="G6" s="14">
        <f>AVERAGE(E4:E6)</f>
        <v/>
      </c>
    </row>
    <row r="7">
      <c r="A7" s="9" t="inlineStr">
        <is>
          <t>2021-06</t>
        </is>
      </c>
      <c r="B7" s="12" t="n">
        <v>1555085.99</v>
      </c>
      <c r="C7" s="12" t="n">
        <v>1555085.99</v>
      </c>
      <c r="D7" s="9" t="n">
        <v>4</v>
      </c>
      <c r="E7" s="12" t="n">
        <v>327739.03</v>
      </c>
      <c r="F7" s="13">
        <f>IFERROR(B7/B6-1,"")</f>
        <v/>
      </c>
      <c r="G7" s="14">
        <f>AVERAGE(E5:E7)</f>
        <v/>
      </c>
    </row>
    <row r="8">
      <c r="A8" s="9" t="inlineStr">
        <is>
          <t>2021-07</t>
        </is>
      </c>
      <c r="B8" s="12" t="n">
        <v>2460940.13</v>
      </c>
      <c r="C8" s="12" t="n">
        <v>2460940.13</v>
      </c>
      <c r="D8" s="9" t="n">
        <v>6</v>
      </c>
      <c r="E8" s="12" t="n">
        <v>809781.3199999999</v>
      </c>
      <c r="F8" s="13">
        <f>IFERROR(B8/B7-1,"")</f>
        <v/>
      </c>
      <c r="G8" s="14">
        <f>AVERAGE(E6:E8)</f>
        <v/>
      </c>
    </row>
    <row r="9">
      <c r="A9" s="9" t="inlineStr">
        <is>
          <t>2021-08</t>
        </is>
      </c>
      <c r="B9" s="12" t="n">
        <v>2673232.84</v>
      </c>
      <c r="C9" s="12" t="n">
        <v>2673232.84</v>
      </c>
      <c r="D9" s="9" t="n">
        <v>6</v>
      </c>
      <c r="E9" s="12" t="n">
        <v>569265.1</v>
      </c>
      <c r="F9" s="13">
        <f>IFERROR(B9/B8-1,"")</f>
        <v/>
      </c>
      <c r="G9" s="14">
        <f>AVERAGE(E7:E9)</f>
        <v/>
      </c>
    </row>
    <row r="10">
      <c r="A10" s="9" t="inlineStr">
        <is>
          <t>2021-09</t>
        </is>
      </c>
      <c r="B10" s="12" t="n">
        <v>2673232.84</v>
      </c>
      <c r="C10" s="12" t="n">
        <v>2673232.84</v>
      </c>
      <c r="D10" s="9" t="n">
        <v>10</v>
      </c>
      <c r="E10" s="12" t="n">
        <v>1324834.62</v>
      </c>
      <c r="F10" s="13">
        <f>IFERROR(B10/B9-1,"")</f>
        <v/>
      </c>
      <c r="G10" s="14">
        <f>AVERAGE(E8:E10)</f>
        <v/>
      </c>
    </row>
    <row r="11">
      <c r="A11" s="9" t="inlineStr">
        <is>
          <t>2021-10</t>
        </is>
      </c>
      <c r="B11" s="12" t="n">
        <v>2778199</v>
      </c>
      <c r="C11" s="12" t="n">
        <v>2778199</v>
      </c>
      <c r="D11" s="9" t="n">
        <v>7</v>
      </c>
      <c r="E11" s="12" t="n">
        <v>798310.95</v>
      </c>
      <c r="F11" s="13">
        <f>IFERROR(B11/B10-1,"")</f>
        <v/>
      </c>
      <c r="G11" s="14">
        <f>AVERAGE(E9:E11)</f>
        <v/>
      </c>
    </row>
    <row r="12">
      <c r="A12" s="9" t="inlineStr">
        <is>
          <t>2021-11</t>
        </is>
      </c>
      <c r="B12" s="12" t="n">
        <v>2778199</v>
      </c>
      <c r="C12" s="12" t="n">
        <v>2778199</v>
      </c>
      <c r="D12" s="9" t="n">
        <v>11</v>
      </c>
      <c r="E12" s="12" t="n">
        <v>3156319.52</v>
      </c>
      <c r="F12" s="13">
        <f>IFERROR(B12/B11-1,"")</f>
        <v/>
      </c>
      <c r="G12" s="14">
        <f>AVERAGE(E10:E12)</f>
        <v/>
      </c>
    </row>
    <row r="13">
      <c r="A13" s="9" t="inlineStr">
        <is>
          <t>2021-12</t>
        </is>
      </c>
      <c r="B13" s="12" t="n">
        <v>2778199</v>
      </c>
      <c r="C13" s="12" t="n">
        <v>2778199</v>
      </c>
      <c r="D13" s="9" t="n">
        <v>8</v>
      </c>
      <c r="E13" s="12" t="n">
        <v>1205332.52</v>
      </c>
      <c r="F13" s="13">
        <f>IFERROR(B13/B12-1,"")</f>
        <v/>
      </c>
      <c r="G13" s="14">
        <f>AVERAGE(E11:E13)</f>
        <v/>
      </c>
    </row>
    <row r="14">
      <c r="A14" s="9" t="inlineStr">
        <is>
          <t>2022-01</t>
        </is>
      </c>
      <c r="B14" s="12" t="n">
        <v>2076878.62324</v>
      </c>
      <c r="C14" s="12" t="n">
        <v>2076878.62324</v>
      </c>
      <c r="D14" s="9" t="n">
        <v>6</v>
      </c>
      <c r="E14" s="12" t="n">
        <v>2330573.42</v>
      </c>
      <c r="F14" s="13">
        <f>IFERROR(B14/B13-1,"")</f>
        <v/>
      </c>
      <c r="G14" s="14">
        <f>AVERAGE(E12:E14)</f>
        <v/>
      </c>
    </row>
    <row r="15">
      <c r="A15" s="9" t="inlineStr">
        <is>
          <t>2022-02</t>
        </is>
      </c>
      <c r="B15" s="12" t="n">
        <v>2047462.45324</v>
      </c>
      <c r="C15" s="12" t="n">
        <v>2047462.45324</v>
      </c>
      <c r="D15" s="9" t="n">
        <v>3</v>
      </c>
      <c r="E15" s="12" t="n">
        <v>236746.17</v>
      </c>
      <c r="F15" s="13">
        <f>IFERROR(B15/B14-1,"")</f>
        <v/>
      </c>
      <c r="G15" s="14">
        <f>AVERAGE(E13:E15)</f>
        <v/>
      </c>
    </row>
    <row r="16">
      <c r="A16" s="9" t="inlineStr">
        <is>
          <t>2022-03</t>
        </is>
      </c>
      <c r="B16" s="12" t="n">
        <v>2387674.29324</v>
      </c>
      <c r="C16" s="12" t="n">
        <v>2387674.29324</v>
      </c>
      <c r="D16" s="9" t="n">
        <v>3</v>
      </c>
      <c r="E16" s="12" t="n">
        <v>2369396.33</v>
      </c>
      <c r="F16" s="13">
        <f>IFERROR(B16/B15-1,"")</f>
        <v/>
      </c>
      <c r="G16" s="14">
        <f>AVERAGE(E14:E16)</f>
        <v/>
      </c>
    </row>
    <row r="17">
      <c r="A17" s="9" t="inlineStr">
        <is>
          <t>2022-04</t>
        </is>
      </c>
      <c r="B17" s="12" t="n">
        <v>2092442.09324</v>
      </c>
      <c r="C17" s="12" t="n">
        <v>2092442.09324</v>
      </c>
      <c r="D17" s="9" t="n">
        <v>6</v>
      </c>
      <c r="E17" s="12" t="n">
        <v>383646.72804</v>
      </c>
      <c r="F17" s="13">
        <f>IFERROR(B17/B16-1,"")</f>
        <v/>
      </c>
      <c r="G17" s="14">
        <f>AVERAGE(E15:E17)</f>
        <v/>
      </c>
    </row>
    <row r="18">
      <c r="A18" s="9" t="inlineStr">
        <is>
          <t>2022-05</t>
        </is>
      </c>
      <c r="B18" s="12" t="n">
        <v>2465095.48324</v>
      </c>
      <c r="C18" s="12" t="n">
        <v>2465095.48324</v>
      </c>
      <c r="D18" s="9" t="n">
        <v>9</v>
      </c>
      <c r="E18" s="12" t="n">
        <v>410079.03</v>
      </c>
      <c r="F18" s="13">
        <f>IFERROR(B18/B17-1,"")</f>
        <v/>
      </c>
      <c r="G18" s="14">
        <f>AVERAGE(E16:E18)</f>
        <v/>
      </c>
    </row>
    <row r="19">
      <c r="A19" s="9" t="inlineStr">
        <is>
          <t>2022-06</t>
        </is>
      </c>
      <c r="B19" s="12" t="n">
        <v>3280718.61812</v>
      </c>
      <c r="C19" s="12" t="n">
        <v>3280718.61812</v>
      </c>
      <c r="D19" s="9" t="n">
        <v>7</v>
      </c>
      <c r="E19" s="12" t="n">
        <v>1137250.22744</v>
      </c>
      <c r="F19" s="13">
        <f>IFERROR(B19/B18-1,"")</f>
        <v/>
      </c>
      <c r="G19" s="14">
        <f>AVERAGE(E17:E19)</f>
        <v/>
      </c>
    </row>
    <row r="20">
      <c r="A20" s="9" t="inlineStr">
        <is>
          <t>2022-07</t>
        </is>
      </c>
      <c r="B20" s="12" t="n">
        <v>2616484.70228</v>
      </c>
      <c r="C20" s="12" t="n">
        <v>2616484.70228</v>
      </c>
      <c r="D20" s="9" t="n">
        <v>20</v>
      </c>
      <c r="E20" s="12" t="n">
        <v>2525883.767</v>
      </c>
      <c r="F20" s="13">
        <f>IFERROR(B20/B19-1,"")</f>
        <v/>
      </c>
      <c r="G20" s="14">
        <f>AVERAGE(E18:E20)</f>
        <v/>
      </c>
    </row>
    <row r="21">
      <c r="A21" s="9" t="inlineStr">
        <is>
          <t>2022-08</t>
        </is>
      </c>
      <c r="B21" s="12" t="n">
        <v>2868167.01228</v>
      </c>
      <c r="C21" s="12" t="n">
        <v>2868167.01228</v>
      </c>
      <c r="D21" s="9" t="n">
        <v>15</v>
      </c>
      <c r="E21" s="12" t="n">
        <v>2026878.50772</v>
      </c>
      <c r="F21" s="13">
        <f>IFERROR(B21/B20-1,"")</f>
        <v/>
      </c>
      <c r="G21" s="14">
        <f>AVERAGE(E19:E21)</f>
        <v/>
      </c>
    </row>
    <row r="22">
      <c r="A22" s="9" t="inlineStr">
        <is>
          <t>2022-09</t>
        </is>
      </c>
      <c r="B22" s="12" t="n">
        <v>2868167.01228</v>
      </c>
      <c r="C22" s="12" t="n">
        <v>2868167.01228</v>
      </c>
      <c r="D22" s="9" t="n">
        <v>12</v>
      </c>
      <c r="E22" s="12" t="n">
        <v>838427.83484</v>
      </c>
      <c r="F22" s="13">
        <f>IFERROR(B22/B21-1,"")</f>
        <v/>
      </c>
      <c r="G22" s="14">
        <f>AVERAGE(E20:E22)</f>
        <v/>
      </c>
    </row>
    <row r="23">
      <c r="A23" s="9" t="inlineStr">
        <is>
          <t>2022-10</t>
        </is>
      </c>
      <c r="B23" s="12" t="n">
        <v>2763200.85228</v>
      </c>
      <c r="C23" s="12" t="n">
        <v>2763200.85228</v>
      </c>
      <c r="D23" s="9" t="n">
        <v>13</v>
      </c>
      <c r="E23" s="12" t="n">
        <v>1851076.4936</v>
      </c>
      <c r="F23" s="13">
        <f>IFERROR(B23/B22-1,"")</f>
        <v/>
      </c>
      <c r="G23" s="14">
        <f>AVERAGE(E21:E23)</f>
        <v/>
      </c>
    </row>
    <row r="24">
      <c r="A24" s="9" t="inlineStr">
        <is>
          <t>2022-11</t>
        </is>
      </c>
      <c r="B24" s="12" t="n">
        <v>3030257.29808</v>
      </c>
      <c r="C24" s="12" t="n">
        <v>3030257.29808</v>
      </c>
      <c r="D24" s="9" t="n">
        <v>14</v>
      </c>
      <c r="E24" s="12" t="n">
        <v>1691834.09512</v>
      </c>
      <c r="F24" s="13">
        <f>IFERROR(B24/B23-1,"")</f>
        <v/>
      </c>
      <c r="G24" s="14">
        <f>AVERAGE(E22:E24)</f>
        <v/>
      </c>
    </row>
    <row r="25">
      <c r="A25" s="9" t="inlineStr">
        <is>
          <t>2022-12</t>
        </is>
      </c>
      <c r="B25" s="12" t="n">
        <v>3659457.88016</v>
      </c>
      <c r="C25" s="12" t="n">
        <v>3659457.88016</v>
      </c>
      <c r="D25" s="9" t="n">
        <v>32</v>
      </c>
      <c r="E25" s="12" t="n">
        <v>3973028.62144</v>
      </c>
      <c r="F25" s="13">
        <f>IFERROR(B25/B24-1,"")</f>
        <v/>
      </c>
      <c r="G25" s="14">
        <f>AVERAGE(E23:E25)</f>
        <v/>
      </c>
    </row>
    <row r="26">
      <c r="A26" s="9" t="inlineStr">
        <is>
          <t>2023-01</t>
        </is>
      </c>
      <c r="B26" s="12" t="n">
        <v>4015764.09692</v>
      </c>
      <c r="C26" s="12" t="n">
        <v>4015764.09692</v>
      </c>
      <c r="D26" s="9" t="n">
        <v>18</v>
      </c>
      <c r="E26" s="12" t="n">
        <v>2576088.66044</v>
      </c>
      <c r="F26" s="13">
        <f>IFERROR(B26/B25-1,"")</f>
        <v/>
      </c>
      <c r="G26" s="14">
        <f>AVERAGE(E24:E26)</f>
        <v/>
      </c>
    </row>
    <row r="27">
      <c r="A27" s="9" t="inlineStr">
        <is>
          <t>2023-02</t>
        </is>
      </c>
      <c r="B27" s="12" t="n">
        <v>4015764.09692</v>
      </c>
      <c r="C27" s="12" t="n">
        <v>4015764.09692</v>
      </c>
      <c r="D27" s="9" t="n">
        <v>14</v>
      </c>
      <c r="E27" s="12" t="n">
        <v>880624.91524</v>
      </c>
      <c r="F27" s="13">
        <f>IFERROR(B27/B26-1,"")</f>
        <v/>
      </c>
      <c r="G27" s="14">
        <f>AVERAGE(E25:E27)</f>
        <v/>
      </c>
    </row>
    <row r="28">
      <c r="A28" s="9" t="inlineStr">
        <is>
          <t>2023-03</t>
        </is>
      </c>
      <c r="B28" s="12" t="n">
        <v>4178704.57624</v>
      </c>
      <c r="C28" s="12" t="n">
        <v>4178704.57624</v>
      </c>
      <c r="D28" s="9" t="n">
        <v>26</v>
      </c>
      <c r="E28" s="12" t="n">
        <v>3211532.52644</v>
      </c>
      <c r="F28" s="13">
        <f>IFERROR(B28/B27-1,"")</f>
        <v/>
      </c>
      <c r="G28" s="14">
        <f>AVERAGE(E26:E28)</f>
        <v/>
      </c>
    </row>
    <row r="29">
      <c r="A29" s="9" t="inlineStr">
        <is>
          <t>2023-04</t>
        </is>
      </c>
      <c r="B29" s="12" t="n">
        <v>4507472.52004</v>
      </c>
      <c r="C29" s="12" t="n">
        <v>4507472.52004</v>
      </c>
      <c r="D29" s="9" t="n">
        <v>25</v>
      </c>
      <c r="E29" s="12" t="n">
        <v>2099990.02284</v>
      </c>
      <c r="F29" s="13">
        <f>IFERROR(B29/B28-1,"")</f>
        <v/>
      </c>
      <c r="G29" s="14">
        <f>AVERAGE(E27:E29)</f>
        <v/>
      </c>
    </row>
    <row r="30">
      <c r="A30" s="9" t="inlineStr">
        <is>
          <t>2023-05</t>
        </is>
      </c>
      <c r="B30" s="12" t="n">
        <v>4067381.54236</v>
      </c>
      <c r="C30" s="12" t="n">
        <v>4067381.54236</v>
      </c>
      <c r="D30" s="9" t="n">
        <v>23</v>
      </c>
      <c r="E30" s="12" t="n">
        <v>1661753.59424</v>
      </c>
      <c r="F30" s="13">
        <f>IFERROR(B30/B29-1,"")</f>
        <v/>
      </c>
      <c r="G30" s="14">
        <f>AVERAGE(E28:E30)</f>
        <v/>
      </c>
    </row>
    <row r="31">
      <c r="A31" s="9" t="inlineStr">
        <is>
          <t>2023-06</t>
        </is>
      </c>
      <c r="B31" s="12" t="n">
        <v>3471968.63748</v>
      </c>
      <c r="C31" s="12" t="n">
        <v>3471968.63748</v>
      </c>
      <c r="D31" s="9" t="n">
        <v>21</v>
      </c>
      <c r="E31" s="12" t="n">
        <v>2130116.99816</v>
      </c>
      <c r="F31" s="13">
        <f>IFERROR(B31/B30-1,"")</f>
        <v/>
      </c>
      <c r="G31" s="14">
        <f>AVERAGE(E29:E31)</f>
        <v/>
      </c>
    </row>
    <row r="32">
      <c r="A32" s="9" t="inlineStr">
        <is>
          <t>2023-07</t>
        </is>
      </c>
      <c r="B32" s="12" t="n">
        <v>3615163.72332</v>
      </c>
      <c r="C32" s="12" t="n">
        <v>3615163.72332</v>
      </c>
      <c r="D32" s="9" t="n">
        <v>19</v>
      </c>
      <c r="E32" s="12" t="n">
        <v>2264136.85436</v>
      </c>
      <c r="F32" s="13">
        <f>IFERROR(B32/B31-1,"")</f>
        <v/>
      </c>
      <c r="G32" s="14">
        <f>AVERAGE(E30:E32)</f>
        <v/>
      </c>
    </row>
    <row r="33">
      <c r="A33" s="9" t="inlineStr">
        <is>
          <t>2023-08</t>
        </is>
      </c>
      <c r="B33" s="12" t="n">
        <v>3073440.23332</v>
      </c>
      <c r="C33" s="12" t="n">
        <v>3073440.23332</v>
      </c>
      <c r="D33" s="9" t="n">
        <v>25</v>
      </c>
      <c r="E33" s="12" t="n">
        <v>2739933.23876</v>
      </c>
      <c r="F33" s="13">
        <f>IFERROR(B33/B32-1,"")</f>
        <v/>
      </c>
      <c r="G33" s="14">
        <f>AVERAGE(E31:E33)</f>
        <v/>
      </c>
    </row>
    <row r="34">
      <c r="A34" s="9" t="inlineStr">
        <is>
          <t>2023-09</t>
        </is>
      </c>
      <c r="B34" s="12" t="n">
        <v>3566531.661</v>
      </c>
      <c r="C34" s="12" t="n">
        <v>3566531.661</v>
      </c>
      <c r="D34" s="9" t="n">
        <v>23</v>
      </c>
      <c r="E34" s="12" t="n">
        <v>2026643.1364</v>
      </c>
      <c r="F34" s="13">
        <f>IFERROR(B34/B33-1,"")</f>
        <v/>
      </c>
      <c r="G34" s="14">
        <f>AVERAGE(E32:E34)</f>
        <v/>
      </c>
    </row>
    <row r="35">
      <c r="A35" s="9" t="inlineStr">
        <is>
          <t>2023-10</t>
        </is>
      </c>
      <c r="B35" s="12" t="n">
        <v>4098183.35628</v>
      </c>
      <c r="C35" s="12" t="n">
        <v>4098183.35628</v>
      </c>
      <c r="D35" s="9" t="n">
        <v>20</v>
      </c>
      <c r="E35" s="12" t="n">
        <v>2015783.37584</v>
      </c>
      <c r="F35" s="13">
        <f>IFERROR(B35/B34-1,"")</f>
        <v/>
      </c>
      <c r="G35" s="14">
        <f>AVERAGE(E33:E35)</f>
        <v/>
      </c>
    </row>
    <row r="36">
      <c r="A36" s="9" t="inlineStr">
        <is>
          <t>2023-11</t>
        </is>
      </c>
      <c r="B36" s="12" t="n">
        <v>3926006.85616</v>
      </c>
      <c r="C36" s="12" t="n">
        <v>3926006.85616</v>
      </c>
      <c r="D36" s="9" t="n">
        <v>18</v>
      </c>
      <c r="E36" s="12" t="n">
        <v>2274920.24812</v>
      </c>
      <c r="F36" s="13">
        <f>IFERROR(B36/B35-1,"")</f>
        <v/>
      </c>
      <c r="G36" s="14">
        <f>AVERAGE(E34:E36)</f>
        <v/>
      </c>
    </row>
    <row r="37">
      <c r="A37" s="9" t="inlineStr">
        <is>
          <t>2023-12</t>
        </is>
      </c>
      <c r="B37" s="12" t="n">
        <v>3910855.32704</v>
      </c>
      <c r="C37" s="12" t="n">
        <v>3910855.32704</v>
      </c>
      <c r="D37" s="9" t="n">
        <v>26</v>
      </c>
      <c r="E37" s="12" t="n">
        <v>2251649.64928</v>
      </c>
      <c r="F37" s="13">
        <f>IFERROR(B37/B36-1,"")</f>
        <v/>
      </c>
      <c r="G37" s="14">
        <f>AVERAGE(E35:E37)</f>
        <v/>
      </c>
    </row>
    <row r="38">
      <c r="A38" s="9" t="inlineStr">
        <is>
          <t>2024-01</t>
        </is>
      </c>
      <c r="B38" s="12" t="n">
        <v>3831090.58704</v>
      </c>
      <c r="C38" s="12" t="n">
        <v>3831090.58704</v>
      </c>
      <c r="D38" s="9" t="n">
        <v>21</v>
      </c>
      <c r="E38" s="12" t="n">
        <v>1404181.40172</v>
      </c>
      <c r="F38" s="13">
        <f>IFERROR(B38/B37-1,"")</f>
        <v/>
      </c>
      <c r="G38" s="14">
        <f>AVERAGE(E36:E38)</f>
        <v/>
      </c>
    </row>
    <row r="39">
      <c r="A39" s="9" t="inlineStr">
        <is>
          <t>2024-02</t>
        </is>
      </c>
      <c r="B39" s="12" t="n">
        <v>4663933.28964</v>
      </c>
      <c r="C39" s="12" t="n">
        <v>4663933.28964</v>
      </c>
      <c r="D39" s="9" t="n">
        <v>22</v>
      </c>
      <c r="E39" s="12" t="n">
        <v>1286597.35012</v>
      </c>
      <c r="F39" s="13">
        <f>IFERROR(B39/B38-1,"")</f>
        <v/>
      </c>
      <c r="G39" s="14">
        <f>AVERAGE(E37:E39)</f>
        <v/>
      </c>
    </row>
    <row r="40">
      <c r="A40" s="9" t="inlineStr">
        <is>
          <t>2024-03</t>
        </is>
      </c>
      <c r="B40" s="12" t="n">
        <v>4278695.20808</v>
      </c>
      <c r="C40" s="12" t="n">
        <v>4278695.20808</v>
      </c>
      <c r="D40" s="9" t="n">
        <v>25</v>
      </c>
      <c r="E40" s="12" t="n">
        <v>2822700.88828</v>
      </c>
      <c r="F40" s="13">
        <f>IFERROR(B40/B39-1,"")</f>
        <v/>
      </c>
      <c r="G40" s="14">
        <f>AVERAGE(E38:E40)</f>
        <v/>
      </c>
    </row>
    <row r="41">
      <c r="A41" s="9" t="inlineStr">
        <is>
          <t>2024-04</t>
        </is>
      </c>
      <c r="B41" s="12" t="n">
        <v>4374697.40328</v>
      </c>
      <c r="C41" s="12" t="n">
        <v>4374697.40328</v>
      </c>
      <c r="D41" s="9" t="n">
        <v>35</v>
      </c>
      <c r="E41" s="12" t="n">
        <v>3759682.58068</v>
      </c>
      <c r="F41" s="13">
        <f>IFERROR(B41/B40-1,"")</f>
        <v/>
      </c>
      <c r="G41" s="14">
        <f>AVERAGE(E39:E41)</f>
        <v/>
      </c>
    </row>
    <row r="42">
      <c r="A42" s="9" t="inlineStr">
        <is>
          <t>2024-05</t>
        </is>
      </c>
      <c r="B42" s="12" t="n">
        <v>4601990.94624</v>
      </c>
      <c r="C42" s="12" t="n">
        <v>4601990.94624</v>
      </c>
      <c r="D42" s="9" t="n">
        <v>17</v>
      </c>
      <c r="E42" s="12" t="n">
        <v>1271787.01188</v>
      </c>
      <c r="F42" s="13">
        <f>IFERROR(B42/B41-1,"")</f>
        <v/>
      </c>
      <c r="G42" s="14">
        <f>AVERAGE(E40:E42)</f>
        <v/>
      </c>
    </row>
    <row r="43">
      <c r="A43" s="9" t="inlineStr">
        <is>
          <t>2024-06</t>
        </is>
      </c>
      <c r="B43" s="12" t="n">
        <v>4627532.30624</v>
      </c>
      <c r="C43" s="12" t="n">
        <v>4627532.30624</v>
      </c>
      <c r="D43" s="9" t="n">
        <v>26</v>
      </c>
      <c r="E43" s="12" t="n">
        <v>4344499.10076</v>
      </c>
      <c r="F43" s="13">
        <f>IFERROR(B43/B42-1,"")</f>
        <v/>
      </c>
      <c r="G43" s="14">
        <f>AVERAGE(E41:E43)</f>
        <v/>
      </c>
    </row>
    <row r="44">
      <c r="A44" s="9" t="inlineStr">
        <is>
          <t>2024-07</t>
        </is>
      </c>
      <c r="B44" s="12" t="n">
        <v>4335647.77624</v>
      </c>
      <c r="C44" s="12" t="n">
        <v>4335647.77624</v>
      </c>
      <c r="D44" s="9" t="n">
        <v>23</v>
      </c>
      <c r="E44" s="12" t="n">
        <v>5183915.75544</v>
      </c>
      <c r="F44" s="13">
        <f>IFERROR(B44/B43-1,"")</f>
        <v/>
      </c>
      <c r="G44" s="14">
        <f>AVERAGE(E42:E44)</f>
        <v/>
      </c>
    </row>
    <row r="45">
      <c r="A45" s="9" t="inlineStr">
        <is>
          <t>2024-08</t>
        </is>
      </c>
      <c r="B45" s="12" t="n">
        <v>4266703.527</v>
      </c>
      <c r="C45" s="12" t="n">
        <v>4266703.527</v>
      </c>
      <c r="D45" s="9" t="n">
        <v>26</v>
      </c>
      <c r="E45" s="12" t="n">
        <v>3557548.05476</v>
      </c>
      <c r="F45" s="13">
        <f>IFERROR(B45/B44-1,"")</f>
        <v/>
      </c>
      <c r="G45" s="14">
        <f>AVERAGE(E43:E45)</f>
        <v/>
      </c>
    </row>
    <row r="46">
      <c r="A46" s="9" t="inlineStr">
        <is>
          <t>2024-09</t>
        </is>
      </c>
      <c r="B46" s="12" t="n">
        <v>4060274.07544</v>
      </c>
      <c r="C46" s="12" t="n">
        <v>4060274.07544</v>
      </c>
      <c r="D46" s="9" t="n">
        <v>19</v>
      </c>
      <c r="E46" s="12" t="n">
        <v>2006255.72832</v>
      </c>
      <c r="F46" s="13">
        <f>IFERROR(B46/B45-1,"")</f>
        <v/>
      </c>
      <c r="G46" s="14">
        <f>AVERAGE(E44:E46)</f>
        <v/>
      </c>
    </row>
    <row r="47">
      <c r="A47" s="9" t="inlineStr">
        <is>
          <t>2024-10</t>
        </is>
      </c>
      <c r="B47" s="12" t="n">
        <v>4123044.17016</v>
      </c>
      <c r="C47" s="12" t="n">
        <v>4123044.17016</v>
      </c>
      <c r="D47" s="9" t="n">
        <v>30</v>
      </c>
      <c r="E47" s="12" t="n">
        <v>2076378.51096</v>
      </c>
      <c r="F47" s="13">
        <f>IFERROR(B47/B46-1,"")</f>
        <v/>
      </c>
      <c r="G47" s="14">
        <f>AVERAGE(E45:E47)</f>
        <v/>
      </c>
    </row>
    <row r="48">
      <c r="A48" s="9" t="inlineStr">
        <is>
          <t>2024-11</t>
        </is>
      </c>
      <c r="B48" s="12" t="n">
        <v>4382296.98356</v>
      </c>
      <c r="C48" s="12" t="n">
        <v>4382296.98356</v>
      </c>
      <c r="D48" s="9" t="n">
        <v>28</v>
      </c>
      <c r="E48" s="12" t="n">
        <v>2608243.7616</v>
      </c>
      <c r="F48" s="13">
        <f>IFERROR(B48/B47-1,"")</f>
        <v/>
      </c>
      <c r="G48" s="14">
        <f>AVERAGE(E46:E48)</f>
        <v/>
      </c>
    </row>
    <row r="49">
      <c r="A49" s="9" t="inlineStr">
        <is>
          <t>2024-12</t>
        </is>
      </c>
      <c r="B49" s="12" t="n">
        <v>4426306.09696</v>
      </c>
      <c r="C49" s="12" t="n">
        <v>4426306.09696</v>
      </c>
      <c r="D49" s="9" t="n">
        <v>16</v>
      </c>
      <c r="E49" s="12" t="n">
        <v>1601209.5954</v>
      </c>
      <c r="F49" s="13">
        <f>IFERROR(B49/B48-1,"")</f>
        <v/>
      </c>
      <c r="G49" s="14">
        <f>AVERAGE(E47:E49)</f>
        <v/>
      </c>
    </row>
    <row r="50">
      <c r="A50" s="9" t="inlineStr">
        <is>
          <t>2025-01</t>
        </is>
      </c>
      <c r="B50" s="12" t="n">
        <v>4704305.90496</v>
      </c>
      <c r="C50" s="12" t="n">
        <v>4704305.90496</v>
      </c>
      <c r="D50" s="9" t="n">
        <v>25</v>
      </c>
      <c r="E50" s="12" t="n">
        <v>3530721.34336</v>
      </c>
      <c r="F50" s="13">
        <f>IFERROR(B50/B49-1,"")</f>
        <v/>
      </c>
      <c r="G50" s="14">
        <f>AVERAGE(E48:E50)</f>
        <v/>
      </c>
    </row>
    <row r="51">
      <c r="A51" s="9" t="inlineStr">
        <is>
          <t>2025-02</t>
        </is>
      </c>
      <c r="B51" s="12" t="n">
        <v>4083180.04044</v>
      </c>
      <c r="C51" s="12" t="n">
        <v>4083180.04044</v>
      </c>
      <c r="D51" s="9" t="n">
        <v>24</v>
      </c>
      <c r="E51" s="12" t="n">
        <v>3472413.70092</v>
      </c>
      <c r="F51" s="13">
        <f>IFERROR(B51/B50-1,"")</f>
        <v/>
      </c>
      <c r="G51" s="14">
        <f>AVERAGE(E49:E51)</f>
        <v/>
      </c>
    </row>
    <row r="52">
      <c r="A52" s="9" t="inlineStr">
        <is>
          <t>2025-03</t>
        </is>
      </c>
      <c r="B52" s="12" t="n">
        <v>5020688.58876</v>
      </c>
      <c r="C52" s="12" t="n">
        <v>5020688.58876</v>
      </c>
      <c r="D52" s="9" t="n">
        <v>27</v>
      </c>
      <c r="E52" s="12" t="n">
        <v>7718297.682200001</v>
      </c>
      <c r="F52" s="13">
        <f>IFERROR(B52/B51-1,"")</f>
        <v/>
      </c>
      <c r="G52" s="14">
        <f>AVERAGE(E50:E52)</f>
        <v/>
      </c>
    </row>
    <row r="53">
      <c r="A53" s="9" t="inlineStr">
        <is>
          <t>2025-04</t>
        </is>
      </c>
      <c r="B53" s="12" t="n">
        <v>4728634.86976</v>
      </c>
      <c r="C53" s="12" t="n">
        <v>4728634.86976</v>
      </c>
      <c r="D53" s="9" t="n">
        <v>24</v>
      </c>
      <c r="E53" s="12" t="n">
        <v>1748824.99968</v>
      </c>
      <c r="F53" s="13">
        <f>IFERROR(B53/B52-1,"")</f>
        <v/>
      </c>
      <c r="G53" s="14">
        <f>AVERAGE(E51:E53)</f>
        <v/>
      </c>
    </row>
    <row r="54">
      <c r="A54" s="9" t="inlineStr">
        <is>
          <t>2025-05</t>
        </is>
      </c>
      <c r="B54" s="12" t="n">
        <v>4608644.66448</v>
      </c>
      <c r="C54" s="12" t="n">
        <v>4608644.66448</v>
      </c>
      <c r="D54" s="9" t="n">
        <v>19</v>
      </c>
      <c r="E54" s="12" t="n">
        <v>2524181.20252</v>
      </c>
      <c r="F54" s="13">
        <f>IFERROR(B54/B53-1,"")</f>
        <v/>
      </c>
      <c r="G54" s="14">
        <f>AVERAGE(E52:E54)</f>
        <v/>
      </c>
    </row>
    <row r="55">
      <c r="A55" s="9" t="inlineStr">
        <is>
          <t>2025-06</t>
        </is>
      </c>
      <c r="B55" s="12" t="n">
        <v>4944395.3336</v>
      </c>
      <c r="C55" s="12" t="n">
        <v>4944395.3336</v>
      </c>
      <c r="D55" s="9" t="n">
        <v>21</v>
      </c>
      <c r="E55" s="12" t="n">
        <v>1751508.66408</v>
      </c>
      <c r="F55" s="13">
        <f>IFERROR(B55/B54-1,"")</f>
        <v/>
      </c>
      <c r="G55" s="14">
        <f>AVERAGE(E53:E55)</f>
        <v/>
      </c>
    </row>
    <row r="56">
      <c r="A56" s="9" t="inlineStr">
        <is>
          <t>2025-07</t>
        </is>
      </c>
      <c r="B56" s="12" t="n">
        <v>6529866.71116</v>
      </c>
      <c r="C56" s="12" t="n">
        <v>6529866.71116</v>
      </c>
      <c r="D56" s="9" t="n">
        <v>25</v>
      </c>
      <c r="E56" s="12" t="n">
        <v>2118757.85808</v>
      </c>
      <c r="F56" s="13">
        <f>IFERROR(B56/B55-1,"")</f>
        <v/>
      </c>
      <c r="G56" s="14">
        <f>AVERAGE(E54:E56)</f>
        <v/>
      </c>
    </row>
    <row r="57">
      <c r="A57" s="9" t="inlineStr">
        <is>
          <t>2025-08</t>
        </is>
      </c>
      <c r="B57" s="12" t="n">
        <v>6572626.2104</v>
      </c>
      <c r="C57" s="12" t="n">
        <v>6572626.2104</v>
      </c>
      <c r="D57" s="9" t="n">
        <v>30</v>
      </c>
      <c r="E57" s="12" t="n">
        <v>3037752.53116</v>
      </c>
      <c r="F57" s="13">
        <f>IFERROR(B57/B56-1,"")</f>
        <v/>
      </c>
      <c r="G57" s="14">
        <f>AVERAGE(E55:E57)</f>
        <v/>
      </c>
    </row>
    <row r="58">
      <c r="A58" s="9" t="inlineStr">
        <is>
          <t>2025-09</t>
        </is>
      </c>
      <c r="B58" s="12" t="n">
        <v>6661139.38428</v>
      </c>
      <c r="C58" s="12" t="n">
        <v>6661139.38428</v>
      </c>
      <c r="D58" s="9" t="n">
        <v>35</v>
      </c>
      <c r="E58" s="12" t="n">
        <v>4563091.56692</v>
      </c>
      <c r="F58" s="13">
        <f>IFERROR(B58/B57-1,"")</f>
        <v/>
      </c>
      <c r="G58" s="14">
        <f>AVERAGE(E56:E58)</f>
        <v/>
      </c>
    </row>
    <row r="59">
      <c r="A59" s="9" t="inlineStr">
        <is>
          <t>2025-10</t>
        </is>
      </c>
      <c r="B59" s="12" t="n">
        <v>6480784.56428</v>
      </c>
      <c r="C59" s="12" t="n">
        <v>6480784.56428</v>
      </c>
      <c r="D59" s="9" t="n">
        <v>27</v>
      </c>
      <c r="E59" s="12" t="n">
        <v>4148982.27356</v>
      </c>
      <c r="F59" s="13">
        <f>IFERROR(B59/B58-1,"")</f>
        <v/>
      </c>
      <c r="G59" s="14">
        <f>AVERAGE(E57:E59)</f>
        <v/>
      </c>
    </row>
    <row r="60">
      <c r="A60" s="9" t="inlineStr">
        <is>
          <t>2025-11</t>
        </is>
      </c>
      <c r="B60" s="12" t="n">
        <v>6646058.745</v>
      </c>
      <c r="C60" s="12" t="n">
        <v>6646058.745</v>
      </c>
      <c r="D60" s="9" t="n">
        <v>34</v>
      </c>
      <c r="E60" s="12" t="n">
        <v>7750024.94456</v>
      </c>
      <c r="F60" s="13">
        <f>IFERROR(B60/B59-1,"")</f>
        <v/>
      </c>
      <c r="G60" s="14">
        <f>AVERAGE(E58:E60)</f>
        <v/>
      </c>
    </row>
    <row r="61">
      <c r="A61" s="9" t="inlineStr">
        <is>
          <t>2025-12</t>
        </is>
      </c>
      <c r="B61" s="12" t="n">
        <v>6875503.29816</v>
      </c>
      <c r="C61" s="12" t="n">
        <v>6875503.29816</v>
      </c>
      <c r="D61" s="9" t="n">
        <v>30</v>
      </c>
      <c r="E61" s="12" t="n">
        <v>3462187.90728</v>
      </c>
      <c r="F61" s="13">
        <f>IFERROR(B61/B60-1,"")</f>
        <v/>
      </c>
      <c r="G61" s="14">
        <f>AVERAGE(E59:E61)</f>
        <v/>
      </c>
    </row>
    <row r="62">
      <c r="A62" s="9" t="inlineStr">
        <is>
          <t>2026-01</t>
        </is>
      </c>
      <c r="B62" s="12" t="n">
        <v>6606316.67364</v>
      </c>
      <c r="C62" s="12" t="n">
        <v>6606316.67364</v>
      </c>
      <c r="D62" s="9" t="n">
        <v>40</v>
      </c>
      <c r="E62" s="12" t="n">
        <v>9006752.492079999</v>
      </c>
      <c r="F62" s="13">
        <f>IFERROR(B62/B61-1,"")</f>
        <v/>
      </c>
      <c r="G62" s="14">
        <f>AVERAGE(E60:E62)</f>
        <v/>
      </c>
    </row>
    <row r="63">
      <c r="A63" s="9" t="inlineStr">
        <is>
          <t>2026-02</t>
        </is>
      </c>
      <c r="B63" s="12" t="n">
        <v>6465507.55556</v>
      </c>
      <c r="C63" s="12" t="n">
        <v>6465507.55556</v>
      </c>
      <c r="D63" s="9" t="n">
        <v>44</v>
      </c>
      <c r="E63" s="12" t="n">
        <v>3733937.50064</v>
      </c>
      <c r="F63" s="13">
        <f>IFERROR(B63/B62-1,"")</f>
        <v/>
      </c>
      <c r="G63" s="14">
        <f>AVERAGE(E61:E63)</f>
        <v/>
      </c>
    </row>
    <row r="64">
      <c r="A64" s="9" t="inlineStr">
        <is>
          <t>2026-03</t>
        </is>
      </c>
      <c r="B64" s="12" t="n">
        <v>5930256.03424</v>
      </c>
      <c r="C64" s="12" t="n">
        <v>5930256.03424</v>
      </c>
      <c r="D64" s="9" t="n">
        <v>22</v>
      </c>
      <c r="E64" s="12" t="n">
        <v>2662624.89312</v>
      </c>
      <c r="F64" s="13">
        <f>IFERROR(B64/B63-1,"")</f>
        <v/>
      </c>
      <c r="G64" s="14">
        <f>AVERAGE(E62:E64)</f>
        <v/>
      </c>
    </row>
    <row r="65">
      <c r="A65" s="9" t="inlineStr">
        <is>
          <t>2026-04</t>
        </is>
      </c>
      <c r="B65" s="12" t="n">
        <v>5718391.54424</v>
      </c>
      <c r="C65" s="12" t="n">
        <v>5718391.54424</v>
      </c>
      <c r="D65" s="9" t="n">
        <v>33</v>
      </c>
      <c r="E65" s="12" t="n">
        <v>3803513.77992</v>
      </c>
      <c r="F65" s="13">
        <f>IFERROR(B65/B64-1,"")</f>
        <v/>
      </c>
      <c r="G65" s="14">
        <f>AVERAGE(E63:E65)</f>
        <v/>
      </c>
    </row>
    <row r="66">
      <c r="A66" s="9" t="inlineStr">
        <is>
          <t>2026-05</t>
        </is>
      </c>
      <c r="B66" s="12" t="n">
        <v>5084949.33492</v>
      </c>
      <c r="C66" s="12" t="n">
        <v>5084949.33492</v>
      </c>
      <c r="D66" s="9" t="n">
        <v>22</v>
      </c>
      <c r="E66" s="12" t="n">
        <v>1623556.3584</v>
      </c>
      <c r="F66" s="13">
        <f>IFERROR(B66/B65-1,"")</f>
        <v/>
      </c>
      <c r="G66" s="14">
        <f>AVERAGE(E64:E66)</f>
        <v/>
      </c>
    </row>
    <row r="67">
      <c r="A67" s="9" t="inlineStr">
        <is>
          <t>2026-06</t>
        </is>
      </c>
      <c r="B67" s="12" t="n">
        <v>4810655.18512</v>
      </c>
      <c r="C67" s="12" t="n">
        <v>4810655.18512</v>
      </c>
      <c r="D67" s="9" t="n">
        <v>28</v>
      </c>
      <c r="E67" s="12" t="n">
        <v>3729997.03784</v>
      </c>
      <c r="F67" s="13">
        <f>IFERROR(B67/B66-1,"")</f>
        <v/>
      </c>
      <c r="G67" s="14">
        <f>AVERAGE(E65:E67)</f>
        <v/>
      </c>
    </row>
    <row r="68">
      <c r="A68" s="9" t="inlineStr">
        <is>
          <t>2026-07</t>
        </is>
      </c>
      <c r="B68" s="12" t="n">
        <v>3243175.16756</v>
      </c>
      <c r="C68" s="12" t="n">
        <v>3243175.16756</v>
      </c>
      <c r="D68" s="9" t="n">
        <v>16</v>
      </c>
      <c r="E68" s="12" t="n">
        <v>1618250.67136</v>
      </c>
      <c r="F68" s="13">
        <f>IFERROR(B68/B67-1,"")</f>
        <v/>
      </c>
      <c r="G68" s="14">
        <f>AVERAGE(E66:E68)</f>
        <v/>
      </c>
    </row>
    <row r="69">
      <c r="A69" s="9" t="inlineStr">
        <is>
          <t>2026-08</t>
        </is>
      </c>
      <c r="B69" s="12" t="n">
        <v>3151690.23756</v>
      </c>
      <c r="C69" s="12" t="n">
        <v>3151690.23756</v>
      </c>
      <c r="D69" s="9" t="n">
        <v>23</v>
      </c>
      <c r="E69" s="12" t="n">
        <v>2909893.05816</v>
      </c>
      <c r="F69" s="13">
        <f>IFERROR(B69/B68-1,"")</f>
        <v/>
      </c>
      <c r="G69" s="14">
        <f>AVERAGE(E67:E69)</f>
        <v/>
      </c>
    </row>
    <row r="70">
      <c r="A70" s="9" t="inlineStr">
        <is>
          <t>2026-09</t>
        </is>
      </c>
      <c r="B70" s="12" t="n">
        <v>3009109.49756</v>
      </c>
      <c r="C70" s="12" t="n">
        <v>1451035.35096</v>
      </c>
      <c r="D70" s="9" t="n">
        <v>16</v>
      </c>
      <c r="E70" s="12" t="n">
        <v>1389147.51788</v>
      </c>
      <c r="F70" s="13">
        <f>IFERROR(B70/B69-1,"")</f>
        <v/>
      </c>
      <c r="G70" s="14">
        <f>AVERAGE(E68:E70)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1" customWidth="1" min="8" max="8"/>
    <col width="15" customWidth="1" min="9" max="9"/>
    <col width="16" customWidth="1" min="10" max="10"/>
    <col width="19" customWidth="1" min="11" max="11"/>
    <col width="17" customWidth="1" min="12" max="12"/>
  </cols>
  <sheetData>
    <row r="1">
      <c r="A1" s="4" t="inlineStr">
        <is>
          <t>claim_id</t>
        </is>
      </c>
      <c r="B1" s="4" t="inlineStr">
        <is>
          <t>treaty_id</t>
        </is>
      </c>
      <c r="C1" s="4" t="inlineStr">
        <is>
          <t>cedant_name</t>
        </is>
      </c>
      <c r="D1" s="4" t="inlineStr">
        <is>
          <t>lob_name</t>
        </is>
      </c>
      <c r="E1" s="4" t="inlineStr">
        <is>
          <t>region_name</t>
        </is>
      </c>
      <c r="F1" s="4" t="inlineStr">
        <is>
          <t>loss_date</t>
        </is>
      </c>
      <c r="G1" s="4" t="inlineStr">
        <is>
          <t>claim_type</t>
        </is>
      </c>
      <c r="H1" s="4" t="inlineStr">
        <is>
          <t>status</t>
        </is>
      </c>
      <c r="I1" s="4" t="inlineStr">
        <is>
          <t>paid_amount</t>
        </is>
      </c>
      <c r="J1" s="4" t="inlineStr">
        <is>
          <t>case_reserve</t>
        </is>
      </c>
      <c r="K1" s="4" t="inlineStr">
        <is>
          <t>incurred_amount</t>
        </is>
      </c>
      <c r="L1" s="4" t="inlineStr">
        <is>
          <t>exceeds_limit</t>
        </is>
      </c>
    </row>
    <row r="2">
      <c r="A2" s="9" t="inlineStr">
        <is>
          <t>CL003762</t>
        </is>
      </c>
      <c r="B2" s="9" t="inlineStr">
        <is>
          <t>T0157</t>
        </is>
      </c>
      <c r="C2" s="9" t="inlineStr">
        <is>
          <t>Orion Insurance</t>
        </is>
      </c>
      <c r="D2" s="9" t="inlineStr">
        <is>
          <t>Specialty</t>
        </is>
      </c>
      <c r="E2" s="9" t="inlineStr">
        <is>
          <t>Asia Pacific</t>
        </is>
      </c>
      <c r="F2" s="9" t="inlineStr">
        <is>
          <t>2025-03-18</t>
        </is>
      </c>
      <c r="G2" s="9" t="inlineStr">
        <is>
          <t>Aviation</t>
        </is>
      </c>
      <c r="H2" s="9" t="inlineStr">
        <is>
          <t>Open</t>
        </is>
      </c>
      <c r="I2" s="12" t="n">
        <v>960424.37</v>
      </c>
      <c r="J2" s="12" t="n">
        <v>3841697.49</v>
      </c>
      <c r="K2" s="12" t="n">
        <v>4802121.86</v>
      </c>
      <c r="L2" s="9" t="n">
        <v>1</v>
      </c>
    </row>
    <row r="3">
      <c r="A3" s="9" t="inlineStr">
        <is>
          <t>CL005163</t>
        </is>
      </c>
      <c r="B3" s="9" t="inlineStr">
        <is>
          <t>T0378</t>
        </is>
      </c>
      <c r="C3" s="9" t="inlineStr">
        <is>
          <t>Vantage Mutual</t>
        </is>
      </c>
      <c r="D3" s="9" t="inlineStr">
        <is>
          <t>Professional</t>
        </is>
      </c>
      <c r="E3" s="9" t="inlineStr">
        <is>
          <t>Asia Pacific</t>
        </is>
      </c>
      <c r="F3" s="9" t="inlineStr">
        <is>
          <t>2026-01-29</t>
        </is>
      </c>
      <c r="G3" s="9" t="inlineStr">
        <is>
          <t>Professional Indemnity</t>
        </is>
      </c>
      <c r="H3" s="9" t="inlineStr">
        <is>
          <t>Open</t>
        </is>
      </c>
      <c r="I3" s="12" t="n">
        <v>561114.9798</v>
      </c>
      <c r="J3" s="12" t="n">
        <v>2244459.91944</v>
      </c>
      <c r="K3" s="12" t="n">
        <v>2805574.89924</v>
      </c>
      <c r="L3" s="9" t="n">
        <v>1</v>
      </c>
    </row>
    <row r="4">
      <c r="A4" s="9" t="inlineStr">
        <is>
          <t>CL000451</t>
        </is>
      </c>
      <c r="B4" s="9" t="inlineStr">
        <is>
          <t>T0453</t>
        </is>
      </c>
      <c r="C4" s="9" t="inlineStr">
        <is>
          <t>Summit Indemnity</t>
        </is>
      </c>
      <c r="D4" s="9" t="inlineStr">
        <is>
          <t>Unmapped</t>
        </is>
      </c>
      <c r="E4" s="9" t="inlineStr">
        <is>
          <t>Asia Pacific</t>
        </is>
      </c>
      <c r="F4" s="9" t="inlineStr">
        <is>
          <t>2022-03-05</t>
        </is>
      </c>
      <c r="G4" s="9" t="inlineStr">
        <is>
          <t>Professional Indemnity</t>
        </is>
      </c>
      <c r="H4" s="9" t="inlineStr">
        <is>
          <t>Settled</t>
        </is>
      </c>
      <c r="I4" s="12" t="n">
        <v>2263937.65</v>
      </c>
      <c r="J4" s="12" t="n">
        <v>0</v>
      </c>
      <c r="K4" s="12" t="n">
        <v>2263937.65</v>
      </c>
      <c r="L4" s="9" t="n">
        <v>0</v>
      </c>
    </row>
    <row r="5">
      <c r="A5" s="9" t="inlineStr">
        <is>
          <t>CL000444</t>
        </is>
      </c>
      <c r="B5" s="9" t="inlineStr">
        <is>
          <t>T0453</t>
        </is>
      </c>
      <c r="C5" s="9" t="inlineStr">
        <is>
          <t>Summit Indemnity</t>
        </is>
      </c>
      <c r="D5" s="9" t="inlineStr">
        <is>
          <t>Unmapped</t>
        </is>
      </c>
      <c r="E5" s="9" t="inlineStr">
        <is>
          <t>Asia Pacific</t>
        </is>
      </c>
      <c r="F5" s="9" t="inlineStr">
        <is>
          <t>2021-11-18</t>
        </is>
      </c>
      <c r="G5" s="9" t="inlineStr">
        <is>
          <t>Medical Malpractice</t>
        </is>
      </c>
      <c r="H5" s="9" t="inlineStr">
        <is>
          <t>Settled</t>
        </is>
      </c>
      <c r="I5" s="12" t="n">
        <v>1817642.4</v>
      </c>
      <c r="J5" s="12" t="n">
        <v>0</v>
      </c>
      <c r="K5" s="12" t="n">
        <v>1817642.4</v>
      </c>
      <c r="L5" s="9" t="n">
        <v>0</v>
      </c>
    </row>
    <row r="6">
      <c r="A6" s="9" t="inlineStr">
        <is>
          <t>CL004647</t>
        </is>
      </c>
      <c r="B6" s="9" t="inlineStr">
        <is>
          <t>T0529</t>
        </is>
      </c>
      <c r="C6" s="9" t="inlineStr">
        <is>
          <t>Orion Insurance</t>
        </is>
      </c>
      <c r="D6" s="9" t="inlineStr">
        <is>
          <t>Specialty</t>
        </is>
      </c>
      <c r="E6" s="9" t="inlineStr">
        <is>
          <t>Asia Pacific</t>
        </is>
      </c>
      <c r="F6" s="9" t="inlineStr">
        <is>
          <t>2025-11-13</t>
        </is>
      </c>
      <c r="G6" s="9" t="inlineStr">
        <is>
          <t>Energy</t>
        </is>
      </c>
      <c r="H6" s="9" t="inlineStr">
        <is>
          <t>Open</t>
        </is>
      </c>
      <c r="I6" s="12" t="n">
        <v>846820.11</v>
      </c>
      <c r="J6" s="12" t="n">
        <v>922033.13</v>
      </c>
      <c r="K6" s="12" t="n">
        <v>1768853.24</v>
      </c>
      <c r="L6" s="9" t="n">
        <v>0</v>
      </c>
    </row>
    <row r="7">
      <c r="A7" s="9" t="inlineStr">
        <is>
          <t>CL000424</t>
        </is>
      </c>
      <c r="B7" s="9" t="inlineStr">
        <is>
          <t>T0453</t>
        </is>
      </c>
      <c r="C7" s="9" t="inlineStr">
        <is>
          <t>Summit Indemnity</t>
        </is>
      </c>
      <c r="D7" s="9" t="inlineStr">
        <is>
          <t>Unmapped</t>
        </is>
      </c>
      <c r="E7" s="9" t="inlineStr">
        <is>
          <t>Asia Pacific</t>
        </is>
      </c>
      <c r="F7" s="9" t="inlineStr">
        <is>
          <t>2022-01-16</t>
        </is>
      </c>
      <c r="G7" s="9" t="inlineStr">
        <is>
          <t>Professional Indemnity</t>
        </is>
      </c>
      <c r="H7" s="9" t="inlineStr">
        <is>
          <t>Settled</t>
        </is>
      </c>
      <c r="I7" s="12" t="n">
        <v>1717094.31</v>
      </c>
      <c r="J7" s="12" t="n">
        <v>0</v>
      </c>
      <c r="K7" s="12" t="n">
        <v>1717094.31</v>
      </c>
      <c r="L7" s="9" t="n">
        <v>0</v>
      </c>
    </row>
    <row r="8">
      <c r="A8" s="9" t="inlineStr">
        <is>
          <t>CL001287</t>
        </is>
      </c>
      <c r="B8" s="9" t="inlineStr">
        <is>
          <t>T0357</t>
        </is>
      </c>
      <c r="C8" s="9" t="inlineStr">
        <is>
          <t>Northwind General</t>
        </is>
      </c>
      <c r="D8" s="9" t="inlineStr">
        <is>
          <t>Specialty</t>
        </is>
      </c>
      <c r="E8" s="9" t="inlineStr">
        <is>
          <t>Asia Pacific</t>
        </is>
      </c>
      <c r="F8" s="9" t="inlineStr">
        <is>
          <t>2023-01-29</t>
        </is>
      </c>
      <c r="G8" s="9" t="inlineStr">
        <is>
          <t>Aviation</t>
        </is>
      </c>
      <c r="H8" s="9" t="inlineStr">
        <is>
          <t>Settled</t>
        </is>
      </c>
      <c r="I8" s="12" t="n">
        <v>1480654.07592</v>
      </c>
      <c r="J8" s="12" t="n">
        <v>0</v>
      </c>
      <c r="K8" s="12" t="n">
        <v>1480654.07592</v>
      </c>
      <c r="L8" s="9" t="n">
        <v>0</v>
      </c>
    </row>
    <row r="9">
      <c r="A9" s="9" t="inlineStr">
        <is>
          <t>CL005388</t>
        </is>
      </c>
      <c r="B9" s="9" t="inlineStr">
        <is>
          <t>T0488</t>
        </is>
      </c>
      <c r="C9" s="9" t="inlineStr">
        <is>
          <t>Granite Insurance</t>
        </is>
      </c>
      <c r="D9" s="9" t="inlineStr">
        <is>
          <t>Property</t>
        </is>
      </c>
      <c r="E9" s="9" t="inlineStr">
        <is>
          <t>Asia Pacific</t>
        </is>
      </c>
      <c r="F9" s="9" t="inlineStr">
        <is>
          <t>2026-04-20</t>
        </is>
      </c>
      <c r="G9" s="9" t="inlineStr">
        <is>
          <t>Natural Catastrophe</t>
        </is>
      </c>
      <c r="H9" s="9" t="inlineStr">
        <is>
          <t>Open</t>
        </is>
      </c>
      <c r="I9" s="12" t="n">
        <v>197822.47</v>
      </c>
      <c r="J9" s="12" t="n">
        <v>1277724.67</v>
      </c>
      <c r="K9" s="12" t="n">
        <v>1475547.14</v>
      </c>
      <c r="L9" s="9" t="n">
        <v>0</v>
      </c>
    </row>
    <row r="10">
      <c r="A10" s="9" t="inlineStr">
        <is>
          <t>CL002735</t>
        </is>
      </c>
      <c r="B10" s="9" t="inlineStr">
        <is>
          <t>T0067</t>
        </is>
      </c>
      <c r="C10" s="9" t="inlineStr">
        <is>
          <t>Sterling Insurance</t>
        </is>
      </c>
      <c r="D10" s="9" t="inlineStr">
        <is>
          <t>Property</t>
        </is>
      </c>
      <c r="E10" s="9" t="inlineStr">
        <is>
          <t>Asia Pacific</t>
        </is>
      </c>
      <c r="F10" s="9" t="inlineStr">
        <is>
          <t>2024-04-26</t>
        </is>
      </c>
      <c r="G10" s="9" t="inlineStr">
        <is>
          <t>Fire &amp; Explosion</t>
        </is>
      </c>
      <c r="H10" s="9" t="inlineStr">
        <is>
          <t>Open</t>
        </is>
      </c>
      <c r="I10" s="12" t="n">
        <v>157251.81396</v>
      </c>
      <c r="J10" s="12" t="n">
        <v>1256261.89704</v>
      </c>
      <c r="K10" s="12" t="n">
        <v>1413513.711</v>
      </c>
      <c r="L10" s="9" t="n">
        <v>0</v>
      </c>
    </row>
    <row r="11">
      <c r="A11" s="9" t="inlineStr">
        <is>
          <t>CL002940</t>
        </is>
      </c>
      <c r="B11" s="9" t="inlineStr">
        <is>
          <t>T0475</t>
        </is>
      </c>
      <c r="C11" s="9" t="inlineStr">
        <is>
          <t>Atlas General</t>
        </is>
      </c>
      <c r="D11" s="9" t="inlineStr">
        <is>
          <t>Casualty</t>
        </is>
      </c>
      <c r="E11" s="9" t="inlineStr">
        <is>
          <t>Asia Pacific</t>
        </is>
      </c>
      <c r="F11" s="9" t="inlineStr">
        <is>
          <t>2024-07-20</t>
        </is>
      </c>
      <c r="G11" s="9" t="inlineStr">
        <is>
          <t>Workers Compensation</t>
        </is>
      </c>
      <c r="H11" s="9" t="inlineStr">
        <is>
          <t>Settled</t>
        </is>
      </c>
      <c r="I11" s="12" t="n">
        <v>1326680.2</v>
      </c>
      <c r="J11" s="12" t="n">
        <v>0</v>
      </c>
      <c r="K11" s="12" t="n">
        <v>1326680.2</v>
      </c>
      <c r="L11" s="9" t="n">
        <v>0</v>
      </c>
    </row>
    <row r="12">
      <c r="A12" s="9" t="inlineStr">
        <is>
          <t>CL000076</t>
        </is>
      </c>
      <c r="B12" s="9" t="inlineStr">
        <is>
          <t>T0230</t>
        </is>
      </c>
      <c r="C12" s="9" t="inlineStr">
        <is>
          <t>Atlas General</t>
        </is>
      </c>
      <c r="D12" s="9" t="inlineStr">
        <is>
          <t>Specialty</t>
        </is>
      </c>
      <c r="E12" s="9" t="inlineStr">
        <is>
          <t>Asia Pacific</t>
        </is>
      </c>
      <c r="F12" s="9" t="inlineStr">
        <is>
          <t>2021-05-26</t>
        </is>
      </c>
      <c r="G12" s="9" t="inlineStr">
        <is>
          <t>Marine Hull</t>
        </is>
      </c>
      <c r="H12" s="9" t="inlineStr">
        <is>
          <t>Settled</t>
        </is>
      </c>
      <c r="I12" s="12" t="n">
        <v>1226723.88</v>
      </c>
      <c r="J12" s="12" t="n">
        <v>0</v>
      </c>
      <c r="K12" s="12" t="n">
        <v>1226723.88</v>
      </c>
      <c r="L12" s="9" t="n">
        <v>0</v>
      </c>
    </row>
    <row r="13">
      <c r="A13" s="9" t="inlineStr">
        <is>
          <t>CL005631</t>
        </is>
      </c>
      <c r="B13" s="9" t="inlineStr">
        <is>
          <t>T0529</t>
        </is>
      </c>
      <c r="C13" s="9" t="inlineStr">
        <is>
          <t>Orion Insurance</t>
        </is>
      </c>
      <c r="D13" s="9" t="inlineStr">
        <is>
          <t>Specialty</t>
        </is>
      </c>
      <c r="E13" s="9" t="inlineStr">
        <is>
          <t>Asia Pacific</t>
        </is>
      </c>
      <c r="F13" s="9" t="inlineStr">
        <is>
          <t>2026-06-23</t>
        </is>
      </c>
      <c r="G13" s="9" t="inlineStr">
        <is>
          <t>Marine Hull</t>
        </is>
      </c>
      <c r="H13" s="9" t="inlineStr">
        <is>
          <t>Open</t>
        </is>
      </c>
      <c r="I13" s="12" t="n">
        <v>536395.84</v>
      </c>
      <c r="J13" s="12" t="n">
        <v>668710.01</v>
      </c>
      <c r="K13" s="12" t="n">
        <v>1205105.85</v>
      </c>
      <c r="L13" s="9" t="n">
        <v>0</v>
      </c>
    </row>
    <row r="14">
      <c r="A14" s="9" t="inlineStr">
        <is>
          <t>CL002874</t>
        </is>
      </c>
      <c r="B14" s="9" t="inlineStr">
        <is>
          <t>T0424</t>
        </is>
      </c>
      <c r="C14" s="9" t="inlineStr">
        <is>
          <t>Granite General</t>
        </is>
      </c>
      <c r="D14" s="9" t="inlineStr">
        <is>
          <t>Financial Lines</t>
        </is>
      </c>
      <c r="E14" s="9" t="inlineStr">
        <is>
          <t>Asia Pacific</t>
        </is>
      </c>
      <c r="F14" s="9" t="inlineStr">
        <is>
          <t>2024-06-29</t>
        </is>
      </c>
      <c r="G14" s="9" t="inlineStr">
        <is>
          <t>Cyber</t>
        </is>
      </c>
      <c r="H14" s="9" t="inlineStr">
        <is>
          <t>Settled</t>
        </is>
      </c>
      <c r="I14" s="12" t="n">
        <v>1036897.98</v>
      </c>
      <c r="J14" s="12" t="n">
        <v>0</v>
      </c>
      <c r="K14" s="12" t="n">
        <v>1036897.98</v>
      </c>
      <c r="L14" s="9" t="n">
        <v>0</v>
      </c>
    </row>
    <row r="15">
      <c r="A15" s="9" t="inlineStr">
        <is>
          <t>CL004504</t>
        </is>
      </c>
      <c r="B15" s="9" t="inlineStr">
        <is>
          <t>T0022</t>
        </is>
      </c>
      <c r="C15" s="9" t="inlineStr">
        <is>
          <t>Northwind Mutual</t>
        </is>
      </c>
      <c r="D15" s="9" t="inlineStr">
        <is>
          <t>Professional</t>
        </is>
      </c>
      <c r="E15" s="9" t="inlineStr">
        <is>
          <t>Asia Pacific</t>
        </is>
      </c>
      <c r="F15" s="9" t="inlineStr">
        <is>
          <t>2025-10-15</t>
        </is>
      </c>
      <c r="G15" s="9" t="inlineStr">
        <is>
          <t>Professional Indemnity</t>
        </is>
      </c>
      <c r="H15" s="9" t="inlineStr">
        <is>
          <t>Settled</t>
        </is>
      </c>
      <c r="I15" s="12" t="n">
        <v>1023259.92936</v>
      </c>
      <c r="J15" s="12" t="n">
        <v>0</v>
      </c>
      <c r="K15" s="12" t="n">
        <v>1023259.92936</v>
      </c>
      <c r="L15" s="9" t="n">
        <v>0</v>
      </c>
    </row>
    <row r="16">
      <c r="A16" s="9" t="inlineStr">
        <is>
          <t>CL003280</t>
        </is>
      </c>
      <c r="B16" s="9" t="inlineStr">
        <is>
          <t>T0015</t>
        </is>
      </c>
      <c r="C16" s="9" t="inlineStr">
        <is>
          <t>Granite General</t>
        </is>
      </c>
      <c r="D16" s="9" t="inlineStr">
        <is>
          <t>Property</t>
        </is>
      </c>
      <c r="E16" s="9" t="inlineStr">
        <is>
          <t>Asia Pacific</t>
        </is>
      </c>
      <c r="F16" s="9" t="inlineStr">
        <is>
          <t>2024-08-07</t>
        </is>
      </c>
      <c r="G16" s="9" t="inlineStr">
        <is>
          <t>Natural Catastrophe</t>
        </is>
      </c>
      <c r="H16" s="9" t="inlineStr">
        <is>
          <t>Settled</t>
        </is>
      </c>
      <c r="I16" s="12" t="n">
        <v>1020135.23</v>
      </c>
      <c r="J16" s="12" t="n">
        <v>0</v>
      </c>
      <c r="K16" s="12" t="n">
        <v>1020135.23</v>
      </c>
      <c r="L16" s="9" t="n">
        <v>0</v>
      </c>
    </row>
    <row r="17">
      <c r="A17" s="9" t="inlineStr">
        <is>
          <t>CL000917</t>
        </is>
      </c>
      <c r="B17" s="9" t="inlineStr">
        <is>
          <t>T0083</t>
        </is>
      </c>
      <c r="C17" s="9" t="inlineStr">
        <is>
          <t>Northwind General</t>
        </is>
      </c>
      <c r="D17" s="9" t="inlineStr">
        <is>
          <t>Casualty</t>
        </is>
      </c>
      <c r="E17" s="9" t="inlineStr">
        <is>
          <t>Asia Pacific</t>
        </is>
      </c>
      <c r="F17" s="9" t="inlineStr">
        <is>
          <t>2022-08-06</t>
        </is>
      </c>
      <c r="G17" s="9" t="inlineStr">
        <is>
          <t>Auto Liability</t>
        </is>
      </c>
      <c r="H17" s="9" t="inlineStr">
        <is>
          <t>Settled</t>
        </is>
      </c>
      <c r="I17" s="12" t="n">
        <v>997810.7870400001</v>
      </c>
      <c r="J17" s="12" t="n">
        <v>0</v>
      </c>
      <c r="K17" s="12" t="n">
        <v>997810.7870400001</v>
      </c>
      <c r="L17" s="9" t="n">
        <v>0</v>
      </c>
    </row>
    <row r="18">
      <c r="A18" s="9" t="inlineStr">
        <is>
          <t>CL004755</t>
        </is>
      </c>
      <c r="B18" s="9" t="inlineStr">
        <is>
          <t>T0529</t>
        </is>
      </c>
      <c r="C18" s="9" t="inlineStr">
        <is>
          <t>Orion Insurance</t>
        </is>
      </c>
      <c r="D18" s="9" t="inlineStr">
        <is>
          <t>Specialty</t>
        </is>
      </c>
      <c r="E18" s="9" t="inlineStr">
        <is>
          <t>Asia Pacific</t>
        </is>
      </c>
      <c r="F18" s="9" t="inlineStr">
        <is>
          <t>2025-09-26</t>
        </is>
      </c>
      <c r="G18" s="9" t="inlineStr">
        <is>
          <t>Energy</t>
        </is>
      </c>
      <c r="H18" s="9" t="inlineStr">
        <is>
          <t>Settled</t>
        </is>
      </c>
      <c r="I18" s="12" t="n">
        <v>973379.04</v>
      </c>
      <c r="J18" s="12" t="n">
        <v>0</v>
      </c>
      <c r="K18" s="12" t="n">
        <v>973379.04</v>
      </c>
      <c r="L18" s="9" t="n">
        <v>0</v>
      </c>
    </row>
    <row r="19">
      <c r="A19" s="9" t="inlineStr">
        <is>
          <t>CL001818</t>
        </is>
      </c>
      <c r="B19" s="9" t="inlineStr">
        <is>
          <t>T0415</t>
        </is>
      </c>
      <c r="C19" s="9" t="inlineStr">
        <is>
          <t>Northwind General</t>
        </is>
      </c>
      <c r="D19" s="9" t="inlineStr">
        <is>
          <t>Specialty</t>
        </is>
      </c>
      <c r="E19" s="9" t="inlineStr">
        <is>
          <t>Asia Pacific</t>
        </is>
      </c>
      <c r="F19" s="9" t="inlineStr">
        <is>
          <t>2023-07-08</t>
        </is>
      </c>
      <c r="G19" s="9" t="inlineStr">
        <is>
          <t>Aviation</t>
        </is>
      </c>
      <c r="H19" s="9" t="inlineStr">
        <is>
          <t>Settled</t>
        </is>
      </c>
      <c r="I19" s="12" t="n">
        <v>901937.16924</v>
      </c>
      <c r="J19" s="12" t="n">
        <v>0</v>
      </c>
      <c r="K19" s="12" t="n">
        <v>901937.16924</v>
      </c>
      <c r="L19" s="9" t="n">
        <v>0</v>
      </c>
    </row>
    <row r="20">
      <c r="A20" s="9" t="inlineStr">
        <is>
          <t>CL001616</t>
        </is>
      </c>
      <c r="B20" s="9" t="inlineStr">
        <is>
          <t>T0610</t>
        </is>
      </c>
      <c r="C20" s="9" t="inlineStr">
        <is>
          <t>Granite Insurance</t>
        </is>
      </c>
      <c r="D20" s="9" t="inlineStr">
        <is>
          <t>Property</t>
        </is>
      </c>
      <c r="E20" s="9" t="inlineStr">
        <is>
          <t>Asia Pacific</t>
        </is>
      </c>
      <c r="F20" s="9" t="inlineStr">
        <is>
          <t>2023-03-30</t>
        </is>
      </c>
      <c r="G20" s="9" t="inlineStr">
        <is>
          <t>Natural Catastrophe</t>
        </is>
      </c>
      <c r="H20" s="9" t="inlineStr">
        <is>
          <t>Settled</t>
        </is>
      </c>
      <c r="I20" s="12" t="n">
        <v>892342.54</v>
      </c>
      <c r="J20" s="12" t="n">
        <v>0</v>
      </c>
      <c r="K20" s="12" t="n">
        <v>892342.54</v>
      </c>
      <c r="L20" s="9" t="n">
        <v>0</v>
      </c>
    </row>
    <row r="21">
      <c r="A21" s="9" t="inlineStr">
        <is>
          <t>CL000372</t>
        </is>
      </c>
      <c r="B21" s="9" t="inlineStr">
        <is>
          <t>T0511</t>
        </is>
      </c>
      <c r="C21" s="9" t="inlineStr">
        <is>
          <t>Orion Insurance</t>
        </is>
      </c>
      <c r="D21" s="9" t="inlineStr">
        <is>
          <t>Property</t>
        </is>
      </c>
      <c r="E21" s="9" t="inlineStr">
        <is>
          <t>Asia Pacific</t>
        </is>
      </c>
      <c r="F21" s="9" t="inlineStr">
        <is>
          <t>2021-12-10</t>
        </is>
      </c>
      <c r="G21" s="9" t="inlineStr">
        <is>
          <t>Natural Catastrophe</t>
        </is>
      </c>
      <c r="H21" s="9" t="inlineStr">
        <is>
          <t>Settled</t>
        </is>
      </c>
      <c r="I21" s="12" t="n">
        <v>853691.1</v>
      </c>
      <c r="J21" s="12" t="n">
        <v>0</v>
      </c>
      <c r="K21" s="12" t="n">
        <v>853691.1</v>
      </c>
      <c r="L21" s="9" t="n">
        <v>0</v>
      </c>
    </row>
    <row r="22">
      <c r="A22" s="9" t="inlineStr">
        <is>
          <t>CL004859</t>
        </is>
      </c>
      <c r="B22" s="9" t="inlineStr">
        <is>
          <t>T0488</t>
        </is>
      </c>
      <c r="C22" s="9" t="inlineStr">
        <is>
          <t>Granite Insurance</t>
        </is>
      </c>
      <c r="D22" s="9" t="inlineStr">
        <is>
          <t>Property</t>
        </is>
      </c>
      <c r="E22" s="9" t="inlineStr">
        <is>
          <t>Asia Pacific</t>
        </is>
      </c>
      <c r="F22" s="9" t="inlineStr">
        <is>
          <t>2025-11-30</t>
        </is>
      </c>
      <c r="G22" s="9" t="inlineStr">
        <is>
          <t>Natural Catastrophe</t>
        </is>
      </c>
      <c r="H22" s="9" t="inlineStr">
        <is>
          <t>Open</t>
        </is>
      </c>
      <c r="I22" s="12" t="n">
        <v>51838.17</v>
      </c>
      <c r="J22" s="12" t="n">
        <v>759206.02</v>
      </c>
      <c r="K22" s="12" t="n">
        <v>811044.1900000001</v>
      </c>
      <c r="L22" s="9" t="n">
        <v>0</v>
      </c>
    </row>
    <row r="23">
      <c r="A23" s="9" t="inlineStr">
        <is>
          <t>CL004767</t>
        </is>
      </c>
      <c r="B23" s="9" t="inlineStr">
        <is>
          <t>T0564</t>
        </is>
      </c>
      <c r="C23" s="9" t="inlineStr">
        <is>
          <t>Northwind General</t>
        </is>
      </c>
      <c r="D23" s="9" t="inlineStr">
        <is>
          <t>Financial Lines</t>
        </is>
      </c>
      <c r="E23" s="9" t="inlineStr">
        <is>
          <t>Asia Pacific</t>
        </is>
      </c>
      <c r="F23" s="9" t="inlineStr">
        <is>
          <t>2025-12-16</t>
        </is>
      </c>
      <c r="G23" s="9" t="inlineStr">
        <is>
          <t>Cyber</t>
        </is>
      </c>
      <c r="H23" s="9" t="inlineStr">
        <is>
          <t>Settled</t>
        </is>
      </c>
      <c r="I23" s="12" t="n">
        <v>801486.7458</v>
      </c>
      <c r="J23" s="12" t="n">
        <v>0</v>
      </c>
      <c r="K23" s="12" t="n">
        <v>801486.7458</v>
      </c>
      <c r="L23" s="9" t="n">
        <v>0</v>
      </c>
    </row>
    <row r="24">
      <c r="A24" s="9" t="inlineStr">
        <is>
          <t>CL002937</t>
        </is>
      </c>
      <c r="B24" s="9" t="inlineStr">
        <is>
          <t>T0160</t>
        </is>
      </c>
      <c r="C24" s="9" t="inlineStr">
        <is>
          <t>Crown Insurance</t>
        </is>
      </c>
      <c r="D24" s="9" t="inlineStr">
        <is>
          <t>Casualty</t>
        </is>
      </c>
      <c r="E24" s="9" t="inlineStr">
        <is>
          <t>Asia Pacific</t>
        </is>
      </c>
      <c r="F24" s="9" t="inlineStr">
        <is>
          <t>2024-07-12</t>
        </is>
      </c>
      <c r="G24" s="9" t="inlineStr">
        <is>
          <t>General Liability</t>
        </is>
      </c>
      <c r="H24" s="9" t="inlineStr">
        <is>
          <t>Settled</t>
        </is>
      </c>
      <c r="I24" s="12" t="n">
        <v>782601.24</v>
      </c>
      <c r="J24" s="12" t="n">
        <v>0</v>
      </c>
      <c r="K24" s="12" t="n">
        <v>782601.24</v>
      </c>
      <c r="L24" s="9" t="n">
        <v>0</v>
      </c>
    </row>
    <row r="25">
      <c r="A25" s="9" t="inlineStr">
        <is>
          <t>CL004920</t>
        </is>
      </c>
      <c r="B25" s="9" t="inlineStr">
        <is>
          <t>T0488</t>
        </is>
      </c>
      <c r="C25" s="9" t="inlineStr">
        <is>
          <t>Granite Insurance</t>
        </is>
      </c>
      <c r="D25" s="9" t="inlineStr">
        <is>
          <t>Property</t>
        </is>
      </c>
      <c r="E25" s="9" t="inlineStr">
        <is>
          <t>Asia Pacific</t>
        </is>
      </c>
      <c r="F25" s="9" t="inlineStr">
        <is>
          <t>2026-01-11</t>
        </is>
      </c>
      <c r="G25" s="9" t="inlineStr">
        <is>
          <t>Fire &amp; Explosion</t>
        </is>
      </c>
      <c r="H25" s="9" t="inlineStr">
        <is>
          <t>Open</t>
        </is>
      </c>
      <c r="I25" s="12" t="n">
        <v>84698.67</v>
      </c>
      <c r="J25" s="12" t="n">
        <v>686519.03</v>
      </c>
      <c r="K25" s="12" t="n">
        <v>771217.7000000001</v>
      </c>
      <c r="L25" s="9" t="n">
        <v>0</v>
      </c>
    </row>
    <row r="26">
      <c r="A26" s="9" t="inlineStr">
        <is>
          <t>CL005752</t>
        </is>
      </c>
      <c r="B26" s="9" t="inlineStr">
        <is>
          <t>T0488</t>
        </is>
      </c>
      <c r="C26" s="9" t="inlineStr">
        <is>
          <t>Granite Insurance</t>
        </is>
      </c>
      <c r="D26" s="9" t="inlineStr">
        <is>
          <t>Property</t>
        </is>
      </c>
      <c r="E26" s="9" t="inlineStr">
        <is>
          <t>Asia Pacific</t>
        </is>
      </c>
      <c r="F26" s="9" t="inlineStr">
        <is>
          <t>2026-08-06</t>
        </is>
      </c>
      <c r="G26" s="9" t="inlineStr">
        <is>
          <t>Business Interruption</t>
        </is>
      </c>
      <c r="H26" s="9" t="inlineStr">
        <is>
          <t>Open</t>
        </is>
      </c>
      <c r="I26" s="12" t="n">
        <v>14902.71</v>
      </c>
      <c r="J26" s="12" t="n">
        <v>740068.29</v>
      </c>
      <c r="K26" s="12" t="n">
        <v>754971</v>
      </c>
      <c r="L26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21" customWidth="1" min="8" max="8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limit_usd</t>
        </is>
      </c>
      <c r="G1" s="4" t="inlineStr">
        <is>
          <t>incurred</t>
        </is>
      </c>
      <c r="H1" s="4" t="inlineStr">
        <is>
          <t>limit_utilisation</t>
        </is>
      </c>
    </row>
    <row r="2">
      <c r="A2" s="9" t="inlineStr">
        <is>
          <t>T0157</t>
        </is>
      </c>
      <c r="B2" s="9" t="inlineStr">
        <is>
          <t>Orion Insurance</t>
        </is>
      </c>
      <c r="C2" s="9" t="inlineStr">
        <is>
          <t>Specialty</t>
        </is>
      </c>
      <c r="D2" s="9" t="inlineStr">
        <is>
          <t>Asia Pacific</t>
        </is>
      </c>
      <c r="E2" s="9" t="inlineStr">
        <is>
          <t>Kenji Sato</t>
        </is>
      </c>
      <c r="F2" s="12" t="n">
        <v>3800000</v>
      </c>
      <c r="G2" s="12" t="n">
        <v>5577575.12</v>
      </c>
      <c r="H2" s="15" t="n">
        <v>1.46778292631579</v>
      </c>
    </row>
    <row r="3">
      <c r="A3" s="9" t="inlineStr">
        <is>
          <t>T0378</t>
        </is>
      </c>
      <c r="B3" s="9" t="inlineStr">
        <is>
          <t>Vantage Mutual</t>
        </is>
      </c>
      <c r="C3" s="9" t="inlineStr">
        <is>
          <t>Professional</t>
        </is>
      </c>
      <c r="D3" s="9" t="inlineStr">
        <is>
          <t>Asia Pacific</t>
        </is>
      </c>
      <c r="E3" s="9" t="inlineStr">
        <is>
          <t>Sophie Laurent</t>
        </is>
      </c>
      <c r="F3" s="12" t="n">
        <v>2300000.00004</v>
      </c>
      <c r="G3" s="12" t="n">
        <v>3044036.4996</v>
      </c>
      <c r="H3" s="15" t="n">
        <v>1.323494130237852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26" customWidth="1" min="8" max="8"/>
  </cols>
  <sheetData>
    <row r="1">
      <c r="A1" s="4" t="inlineStr">
        <is>
          <t>check_id</t>
        </is>
      </c>
      <c r="B1" s="4" t="inlineStr">
        <is>
          <t>check_name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records_tested</t>
        </is>
      </c>
      <c r="F1" s="4" t="inlineStr">
        <is>
          <t>records_failed</t>
        </is>
      </c>
      <c r="G1" s="4" t="inlineStr">
        <is>
          <t>status</t>
        </is>
      </c>
      <c r="H1" s="4" t="inlineStr">
        <is>
          <t>action_taken</t>
        </is>
      </c>
    </row>
    <row r="2">
      <c r="A2" s="9" t="inlineStr">
        <is>
          <t>C01</t>
        </is>
      </c>
      <c r="B2" s="9" t="inlineStr">
        <is>
          <t>Treaty has blank region</t>
        </is>
      </c>
      <c r="C2" s="9" t="inlineStr">
        <is>
          <t>Completeness</t>
        </is>
      </c>
      <c r="D2" s="9" t="inlineStr">
        <is>
          <t>Medium</t>
        </is>
      </c>
      <c r="E2" s="9" t="n">
        <v>703</v>
      </c>
      <c r="F2" s="9" t="n">
        <v>20</v>
      </c>
      <c r="G2" s="9" t="inlineStr">
        <is>
          <t>FAIL</t>
        </is>
      </c>
      <c r="H2" s="9" t="inlineStr">
        <is>
          <t>Mapped to Unassigned</t>
        </is>
      </c>
    </row>
    <row r="3">
      <c r="A3" s="9" t="inlineStr">
        <is>
          <t>C02</t>
        </is>
      </c>
      <c r="B3" s="9" t="inlineStr">
        <is>
          <t>Treaty has blank underwriter</t>
        </is>
      </c>
      <c r="C3" s="9" t="inlineStr">
        <is>
          <t>Completeness</t>
        </is>
      </c>
      <c r="D3" s="9" t="inlineStr">
        <is>
          <t>Low</t>
        </is>
      </c>
      <c r="E3" s="9" t="n">
        <v>703</v>
      </c>
      <c r="F3" s="9" t="n">
        <v>15</v>
      </c>
      <c r="G3" s="9" t="inlineStr">
        <is>
          <t>FAIL</t>
        </is>
      </c>
      <c r="H3" s="9" t="inlineStr">
        <is>
          <t>Mapped to Unassigned</t>
        </is>
      </c>
    </row>
    <row r="4">
      <c r="A4" s="9" t="inlineStr">
        <is>
          <t>C03</t>
        </is>
      </c>
      <c r="B4" s="9" t="inlineStr">
        <is>
          <t>Treaty has blank currency</t>
        </is>
      </c>
      <c r="C4" s="9" t="inlineStr">
        <is>
          <t>Completeness</t>
        </is>
      </c>
      <c r="D4" s="9" t="inlineStr">
        <is>
          <t>High</t>
        </is>
      </c>
      <c r="E4" s="9" t="n">
        <v>703</v>
      </c>
      <c r="F4" s="9" t="n">
        <v>0</v>
      </c>
      <c r="G4" s="9" t="inlineStr">
        <is>
          <t>PASS</t>
        </is>
      </c>
      <c r="H4" s="9" t="inlineStr">
        <is>
          <t>None required</t>
        </is>
      </c>
    </row>
    <row r="5">
      <c r="A5" s="9" t="inlineStr">
        <is>
          <t>C04</t>
        </is>
      </c>
      <c r="B5" s="9" t="inlineStr">
        <is>
          <t>Premium transaction has null gross premium</t>
        </is>
      </c>
      <c r="C5" s="9" t="inlineStr">
        <is>
          <t>Completeness</t>
        </is>
      </c>
      <c r="D5" s="9" t="inlineStr">
        <is>
          <t>High</t>
        </is>
      </c>
      <c r="E5" s="9" t="n">
        <v>8058</v>
      </c>
      <c r="F5" s="9" t="n">
        <v>0</v>
      </c>
      <c r="G5" s="9" t="inlineStr">
        <is>
          <t>PASS</t>
        </is>
      </c>
      <c r="H5" s="9" t="inlineStr">
        <is>
          <t>None required</t>
        </is>
      </c>
    </row>
    <row r="6">
      <c r="A6" s="9" t="inlineStr">
        <is>
          <t>K01</t>
        </is>
      </c>
      <c r="B6" s="9" t="inlineStr">
        <is>
          <t>Incurred does not equal paid + case reserve</t>
        </is>
      </c>
      <c r="C6" s="9" t="inlineStr">
        <is>
          <t>Consistency</t>
        </is>
      </c>
      <c r="D6" s="9" t="inlineStr">
        <is>
          <t>Medium</t>
        </is>
      </c>
      <c r="E6" s="9" t="n">
        <v>6018</v>
      </c>
      <c r="F6" s="9" t="n">
        <v>30</v>
      </c>
      <c r="G6" s="9" t="inlineStr">
        <is>
          <t>FAIL</t>
        </is>
      </c>
      <c r="H6" s="9" t="inlineStr">
        <is>
          <t>Corrected</t>
        </is>
      </c>
    </row>
    <row r="7">
      <c r="A7" s="9" t="inlineStr">
        <is>
          <t>K02</t>
        </is>
      </c>
      <c r="B7" s="9" t="inlineStr">
        <is>
          <t>System C premium differs from System A annual estimate (&gt;2%)</t>
        </is>
      </c>
      <c r="C7" s="9" t="inlineStr">
        <is>
          <t>Consistency</t>
        </is>
      </c>
      <c r="D7" s="9" t="inlineStr">
        <is>
          <t>Medium</t>
        </is>
      </c>
      <c r="E7" s="9" t="n">
        <v>587</v>
      </c>
      <c r="F7" s="9" t="n">
        <v>10</v>
      </c>
      <c r="G7" s="9" t="inlineStr">
        <is>
          <t>FAIL</t>
        </is>
      </c>
      <c r="H7" s="9" t="inlineStr">
        <is>
          <t>Flagged</t>
        </is>
      </c>
    </row>
    <row r="8">
      <c r="A8" s="9" t="inlineStr">
        <is>
          <t>K03</t>
        </is>
      </c>
      <c r="B8" s="9" t="inlineStr">
        <is>
          <t>Earned premium exceeds gross premium</t>
        </is>
      </c>
      <c r="C8" s="9" t="inlineStr">
        <is>
          <t>Consistency</t>
        </is>
      </c>
      <c r="D8" s="9" t="inlineStr">
        <is>
          <t>Medium</t>
        </is>
      </c>
      <c r="E8" s="9" t="n">
        <v>8058</v>
      </c>
      <c r="F8" s="9" t="n">
        <v>0</v>
      </c>
      <c r="G8" s="9" t="inlineStr">
        <is>
          <t>PASS</t>
        </is>
      </c>
      <c r="H8" s="9" t="inlineStr">
        <is>
          <t>None required</t>
        </is>
      </c>
    </row>
    <row r="9">
      <c r="A9" s="9" t="inlineStr">
        <is>
          <t>K04</t>
        </is>
      </c>
      <c r="B9" s="9" t="inlineStr">
        <is>
          <t>Ceded premium exceeds gross premium</t>
        </is>
      </c>
      <c r="C9" s="9" t="inlineStr">
        <is>
          <t>Consistency</t>
        </is>
      </c>
      <c r="D9" s="9" t="inlineStr">
        <is>
          <t>Medium</t>
        </is>
      </c>
      <c r="E9" s="9" t="n">
        <v>8058</v>
      </c>
      <c r="F9" s="9" t="n">
        <v>0</v>
      </c>
      <c r="G9" s="9" t="inlineStr">
        <is>
          <t>PASS</t>
        </is>
      </c>
      <c r="H9" s="9" t="inlineStr">
        <is>
          <t>None required</t>
        </is>
      </c>
    </row>
    <row r="10">
      <c r="A10" s="9" t="inlineStr">
        <is>
          <t>R01</t>
        </is>
      </c>
      <c r="B10" s="9" t="inlineStr">
        <is>
          <t>Claim references a treaty that does not exist</t>
        </is>
      </c>
      <c r="C10" s="9" t="inlineStr">
        <is>
          <t>Referential integrity</t>
        </is>
      </c>
      <c r="D10" s="9" t="inlineStr">
        <is>
          <t>High</t>
        </is>
      </c>
      <c r="E10" s="9" t="n">
        <v>6018</v>
      </c>
      <c r="F10" s="9" t="n">
        <v>25</v>
      </c>
      <c r="G10" s="9" t="inlineStr">
        <is>
          <t>FAIL</t>
        </is>
      </c>
      <c r="H10" s="9" t="inlineStr">
        <is>
          <t>Quarantined</t>
        </is>
      </c>
    </row>
    <row r="11">
      <c r="A11" s="9" t="inlineStr">
        <is>
          <t>R02</t>
        </is>
      </c>
      <c r="B11" s="9" t="inlineStr">
        <is>
          <t>Premium transaction references an unknown treaty</t>
        </is>
      </c>
      <c r="C11" s="9" t="inlineStr">
        <is>
          <t>Referential integrity</t>
        </is>
      </c>
      <c r="D11" s="9" t="inlineStr">
        <is>
          <t>High</t>
        </is>
      </c>
      <c r="E11" s="9" t="n">
        <v>8058</v>
      </c>
      <c r="F11" s="9" t="n">
        <v>6</v>
      </c>
      <c r="G11" s="9" t="inlineStr">
        <is>
          <t>FAIL</t>
        </is>
      </c>
      <c r="H11" s="9" t="inlineStr">
        <is>
          <t>Quarantined</t>
        </is>
      </c>
    </row>
    <row r="12">
      <c r="A12" s="9" t="inlineStr">
        <is>
          <t>R03</t>
        </is>
      </c>
      <c r="B12" s="9" t="inlineStr">
        <is>
          <t>Exposure record references an unknown treaty</t>
        </is>
      </c>
      <c r="C12" s="9" t="inlineStr">
        <is>
          <t>Referential integrity</t>
        </is>
      </c>
      <c r="D12" s="9" t="inlineStr">
        <is>
          <t>Medium</t>
        </is>
      </c>
      <c r="E12" s="9" t="n">
        <v>700</v>
      </c>
      <c r="F12" s="9" t="n">
        <v>0</v>
      </c>
      <c r="G12" s="9" t="inlineStr">
        <is>
          <t>PASS</t>
        </is>
      </c>
      <c r="H12" s="9" t="inlineStr">
        <is>
          <t>None required</t>
        </is>
      </c>
    </row>
    <row r="13">
      <c r="A13" s="9" t="inlineStr">
        <is>
          <t>R04</t>
        </is>
      </c>
      <c r="B13" s="9" t="inlineStr">
        <is>
          <t>Treaty incepted but has no premium booked</t>
        </is>
      </c>
      <c r="C13" s="9" t="inlineStr">
        <is>
          <t>Referential integrity</t>
        </is>
      </c>
      <c r="D13" s="9" t="inlineStr">
        <is>
          <t>Low</t>
        </is>
      </c>
      <c r="E13" s="9" t="n">
        <v>703</v>
      </c>
      <c r="F13" s="9" t="n">
        <v>0</v>
      </c>
      <c r="G13" s="9" t="inlineStr">
        <is>
          <t>PASS</t>
        </is>
      </c>
      <c r="H13" s="9" t="inlineStr">
        <is>
          <t>None required</t>
        </is>
      </c>
    </row>
    <row r="14">
      <c r="A14" s="9" t="inlineStr">
        <is>
          <t>T01</t>
        </is>
      </c>
      <c r="B14" s="9" t="inlineStr">
        <is>
          <t>Monthly gross premium moves &gt;35% vs prior month</t>
        </is>
      </c>
      <c r="C14" s="9" t="inlineStr">
        <is>
          <t>Trend</t>
        </is>
      </c>
      <c r="D14" s="9" t="inlineStr">
        <is>
          <t>Medium</t>
        </is>
      </c>
      <c r="E14" s="9" t="n">
        <v>57</v>
      </c>
      <c r="F14" s="9" t="n">
        <v>2</v>
      </c>
      <c r="G14" s="9" t="inlineStr">
        <is>
          <t>FAIL</t>
        </is>
      </c>
      <c r="H14" s="9" t="inlineStr">
        <is>
          <t>Flagged - investigate</t>
        </is>
      </c>
    </row>
    <row r="15">
      <c r="A15" s="9" t="inlineStr">
        <is>
          <t>U01</t>
        </is>
      </c>
      <c r="B15" s="9" t="inlineStr">
        <is>
          <t>Duplicate treaty ID in System A</t>
        </is>
      </c>
      <c r="C15" s="9" t="inlineStr">
        <is>
          <t>Uniqueness</t>
        </is>
      </c>
      <c r="D15" s="9" t="inlineStr">
        <is>
          <t>High</t>
        </is>
      </c>
      <c r="E15" s="9" t="n">
        <v>703</v>
      </c>
      <c r="F15" s="9" t="n">
        <v>3</v>
      </c>
      <c r="G15" s="9" t="inlineStr">
        <is>
          <t>FAIL</t>
        </is>
      </c>
      <c r="H15" s="9" t="inlineStr">
        <is>
          <t>Quarantined</t>
        </is>
      </c>
    </row>
    <row r="16">
      <c r="A16" s="9" t="inlineStr">
        <is>
          <t>U02</t>
        </is>
      </c>
      <c r="B16" s="9" t="inlineStr">
        <is>
          <t>Duplicate claim ID in System B</t>
        </is>
      </c>
      <c r="C16" s="9" t="inlineStr">
        <is>
          <t>Uniqueness</t>
        </is>
      </c>
      <c r="D16" s="9" t="inlineStr">
        <is>
          <t>High</t>
        </is>
      </c>
      <c r="E16" s="9" t="n">
        <v>6018</v>
      </c>
      <c r="F16" s="9" t="n">
        <v>15</v>
      </c>
      <c r="G16" s="9" t="inlineStr">
        <is>
          <t>FAIL</t>
        </is>
      </c>
      <c r="H16" s="9" t="inlineStr">
        <is>
          <t>Quarantined</t>
        </is>
      </c>
    </row>
    <row r="17">
      <c r="A17" s="9" t="inlineStr">
        <is>
          <t>U03</t>
        </is>
      </c>
      <c r="B17" s="9" t="inlineStr">
        <is>
          <t>Duplicate premium transaction (same treaty, date, amount)</t>
        </is>
      </c>
      <c r="C17" s="9" t="inlineStr">
        <is>
          <t>Uniqueness</t>
        </is>
      </c>
      <c r="D17" s="9" t="inlineStr">
        <is>
          <t>High</t>
        </is>
      </c>
      <c r="E17" s="9" t="n">
        <v>8058</v>
      </c>
      <c r="F17" s="9" t="n">
        <v>151</v>
      </c>
      <c r="G17" s="9" t="inlineStr">
        <is>
          <t>FAIL</t>
        </is>
      </c>
      <c r="H17" s="9" t="inlineStr">
        <is>
          <t>Quarantined</t>
        </is>
      </c>
    </row>
    <row r="18">
      <c r="A18" s="9" t="inlineStr">
        <is>
          <t>V01</t>
        </is>
      </c>
      <c r="B18" s="9" t="inlineStr">
        <is>
          <t>Claim loss date before treaty inception</t>
        </is>
      </c>
      <c r="C18" s="9" t="inlineStr">
        <is>
          <t>Validity</t>
        </is>
      </c>
      <c r="D18" s="9" t="inlineStr">
        <is>
          <t>High</t>
        </is>
      </c>
      <c r="E18" s="9" t="n">
        <v>6018</v>
      </c>
      <c r="F18" s="9" t="n">
        <v>20</v>
      </c>
      <c r="G18" s="9" t="inlineStr">
        <is>
          <t>FAIL</t>
        </is>
      </c>
      <c r="H18" s="9" t="inlineStr">
        <is>
          <t>Quarantined</t>
        </is>
      </c>
    </row>
    <row r="19">
      <c r="A19" s="9" t="inlineStr">
        <is>
          <t>V02</t>
        </is>
      </c>
      <c r="B19" s="9" t="inlineStr">
        <is>
          <t>Claim loss date after treaty expiry</t>
        </is>
      </c>
      <c r="C19" s="9" t="inlineStr">
        <is>
          <t>Validity</t>
        </is>
      </c>
      <c r="D19" s="9" t="inlineStr">
        <is>
          <t>High</t>
        </is>
      </c>
      <c r="E19" s="9" t="n">
        <v>6018</v>
      </c>
      <c r="F19" s="9" t="n">
        <v>15</v>
      </c>
      <c r="G19" s="9" t="inlineStr">
        <is>
          <t>FAIL</t>
        </is>
      </c>
      <c r="H19" s="9" t="inlineStr">
        <is>
          <t>Quarantined</t>
        </is>
      </c>
    </row>
    <row r="20">
      <c r="A20" s="9" t="inlineStr">
        <is>
          <t>V03</t>
        </is>
      </c>
      <c r="B20" s="9" t="inlineStr">
        <is>
          <t>Premium transaction zero or negative</t>
        </is>
      </c>
      <c r="C20" s="9" t="inlineStr">
        <is>
          <t>Validity</t>
        </is>
      </c>
      <c r="D20" s="9" t="inlineStr">
        <is>
          <t>High</t>
        </is>
      </c>
      <c r="E20" s="9" t="n">
        <v>8058</v>
      </c>
      <c r="F20" s="9" t="n">
        <v>17</v>
      </c>
      <c r="G20" s="9" t="inlineStr">
        <is>
          <t>FAIL</t>
        </is>
      </c>
      <c r="H20" s="9" t="inlineStr">
        <is>
          <t>Quarantined</t>
        </is>
      </c>
    </row>
    <row r="21">
      <c r="A21" s="9" t="inlineStr">
        <is>
          <t>V04</t>
        </is>
      </c>
      <c r="B21" s="9" t="inlineStr">
        <is>
          <t>Claim status code not in mapping</t>
        </is>
      </c>
      <c r="C21" s="9" t="inlineStr">
        <is>
          <t>Validity</t>
        </is>
      </c>
      <c r="D21" s="9" t="inlineStr">
        <is>
          <t>Medium</t>
        </is>
      </c>
      <c r="E21" s="9" t="n">
        <v>6018</v>
      </c>
      <c r="F21" s="9" t="n">
        <v>10</v>
      </c>
      <c r="G21" s="9" t="inlineStr">
        <is>
          <t>FAIL</t>
        </is>
      </c>
      <c r="H21" s="9" t="inlineStr">
        <is>
          <t>Loaded as Unmapped</t>
        </is>
      </c>
    </row>
    <row r="22">
      <c r="A22" s="9" t="inlineStr">
        <is>
          <t>V05</t>
        </is>
      </c>
      <c r="B22" s="9" t="inlineStr">
        <is>
          <t>Line-of-business code not in mapping</t>
        </is>
      </c>
      <c r="C22" s="9" t="inlineStr">
        <is>
          <t>Validity</t>
        </is>
      </c>
      <c r="D22" s="9" t="inlineStr">
        <is>
          <t>Medium</t>
        </is>
      </c>
      <c r="E22" s="9" t="n">
        <v>703</v>
      </c>
      <c r="F22" s="9" t="n">
        <v>8</v>
      </c>
      <c r="G22" s="9" t="inlineStr">
        <is>
          <t>FAIL</t>
        </is>
      </c>
      <c r="H22" s="9" t="inlineStr">
        <is>
          <t>Loaded as Unmapped</t>
        </is>
      </c>
    </row>
    <row r="23">
      <c r="A23" s="9" t="inlineStr">
        <is>
          <t>V06</t>
        </is>
      </c>
      <c r="B23" s="9" t="inlineStr">
        <is>
          <t>Currency not in mapping (no FX rate)</t>
        </is>
      </c>
      <c r="C23" s="9" t="inlineStr">
        <is>
          <t>Validity</t>
        </is>
      </c>
      <c r="D23" s="9" t="inlineStr">
        <is>
          <t>High</t>
        </is>
      </c>
      <c r="E23" s="9" t="n">
        <v>703</v>
      </c>
      <c r="F23" s="9" t="n">
        <v>0</v>
      </c>
      <c r="G23" s="9" t="inlineStr">
        <is>
          <t>PASS</t>
        </is>
      </c>
      <c r="H23" s="9" t="inlineStr">
        <is>
          <t>None required</t>
        </is>
      </c>
    </row>
    <row r="24">
      <c r="A24" s="9" t="inlineStr">
        <is>
          <t>V07</t>
        </is>
      </c>
      <c r="B24" s="9" t="inlineStr">
        <is>
          <t>Non-blank region not in mapping</t>
        </is>
      </c>
      <c r="C24" s="9" t="inlineStr">
        <is>
          <t>Validity</t>
        </is>
      </c>
      <c r="D24" s="9" t="inlineStr">
        <is>
          <t>Medium</t>
        </is>
      </c>
      <c r="E24" s="9" t="n">
        <v>703</v>
      </c>
      <c r="F24" s="9" t="n">
        <v>0</v>
      </c>
      <c r="G24" s="9" t="inlineStr">
        <is>
          <t>PASS</t>
        </is>
      </c>
      <c r="H24" s="9" t="inlineStr">
        <is>
          <t>None required</t>
        </is>
      </c>
    </row>
    <row r="25">
      <c r="A25" s="9" t="inlineStr">
        <is>
          <t>V08</t>
        </is>
      </c>
      <c r="B25" s="9" t="inlineStr">
        <is>
          <t>Negative claim amount</t>
        </is>
      </c>
      <c r="C25" s="9" t="inlineStr">
        <is>
          <t>Validity</t>
        </is>
      </c>
      <c r="D25" s="9" t="inlineStr">
        <is>
          <t>High</t>
        </is>
      </c>
      <c r="E25" s="9" t="n">
        <v>6018</v>
      </c>
      <c r="F25" s="9" t="n">
        <v>0</v>
      </c>
      <c r="G25" s="9" t="inlineStr">
        <is>
          <t>PASS</t>
        </is>
      </c>
      <c r="H25" s="9" t="inlineStr">
        <is>
          <t>None required</t>
        </is>
      </c>
    </row>
    <row r="26">
      <c r="A26" s="9" t="inlineStr">
        <is>
          <t>V09</t>
        </is>
      </c>
      <c r="B26" s="9" t="inlineStr">
        <is>
          <t>Treaty expiry on/before inception</t>
        </is>
      </c>
      <c r="C26" s="9" t="inlineStr">
        <is>
          <t>Validity</t>
        </is>
      </c>
      <c r="D26" s="9" t="inlineStr">
        <is>
          <t>High</t>
        </is>
      </c>
      <c r="E26" s="9" t="n">
        <v>703</v>
      </c>
      <c r="F26" s="9" t="n">
        <v>0</v>
      </c>
      <c r="G26" s="9" t="inlineStr">
        <is>
          <t>PASS</t>
        </is>
      </c>
      <c r="H26" s="9" t="inlineStr">
        <is>
          <t>None required</t>
        </is>
      </c>
    </row>
    <row r="27">
      <c r="A27" s="9" t="inlineStr">
        <is>
          <t>V10</t>
        </is>
      </c>
      <c r="B27" s="9" t="inlineStr">
        <is>
          <t>Claim incurred exceeds treaty limit</t>
        </is>
      </c>
      <c r="C27" s="9" t="inlineStr">
        <is>
          <t>Validity</t>
        </is>
      </c>
      <c r="D27" s="9" t="inlineStr">
        <is>
          <t>Medium</t>
        </is>
      </c>
      <c r="E27" s="9" t="n">
        <v>6018</v>
      </c>
      <c r="F27" s="9" t="n">
        <v>12</v>
      </c>
      <c r="G27" s="9" t="inlineStr">
        <is>
          <t>FAIL</t>
        </is>
      </c>
      <c r="H27" s="9" t="inlineStr">
        <is>
          <t>Flagged</t>
        </is>
      </c>
    </row>
    <row r="28">
      <c r="A28" s="9" t="inlineStr">
        <is>
          <t>Z01</t>
        </is>
      </c>
      <c r="B28" s="9" t="inlineStr">
        <is>
          <t>Premium: source = core + quarantined (USD)</t>
        </is>
      </c>
      <c r="C28" s="9" t="inlineStr">
        <is>
          <t>Reconciliation</t>
        </is>
      </c>
      <c r="D28" s="9" t="inlineStr">
        <is>
          <t>High</t>
        </is>
      </c>
      <c r="E28" s="9" t="n">
        <v>1</v>
      </c>
      <c r="F28" s="9" t="n">
        <v>0</v>
      </c>
      <c r="G28" s="9" t="inlineStr">
        <is>
          <t>PASS</t>
        </is>
      </c>
      <c r="H28" s="9" t="inlineStr">
        <is>
          <t>None required</t>
        </is>
      </c>
    </row>
    <row r="29">
      <c r="A29" s="9" t="inlineStr">
        <is>
          <t>Z02</t>
        </is>
      </c>
      <c r="B29" s="9" t="inlineStr">
        <is>
          <t>Paid + reserve: source = core + quarantined (USD)</t>
        </is>
      </c>
      <c r="C29" s="9" t="inlineStr">
        <is>
          <t>Reconciliation</t>
        </is>
      </c>
      <c r="D29" s="9" t="inlineStr">
        <is>
          <t>High</t>
        </is>
      </c>
      <c r="E29" s="9" t="n">
        <v>1</v>
      </c>
      <c r="F29" s="9" t="n">
        <v>0</v>
      </c>
      <c r="G29" s="9" t="inlineStr">
        <is>
          <t>PASS</t>
        </is>
      </c>
      <c r="H29" s="9" t="inlineStr">
        <is>
          <t>None required</t>
        </is>
      </c>
    </row>
  </sheetData>
  <conditionalFormatting sqref="G2:G29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Definitions</t>
        </is>
      </c>
    </row>
    <row r="2">
      <c r="A2" s="9" t="inlineStr">
        <is>
          <t>Gross written premium (GWP): premium booked from cedants, converted to USD at valuation-date FX.</t>
        </is>
      </c>
    </row>
    <row r="3">
      <c r="A3" s="9" t="inlineStr">
        <is>
          <t>Earned premium: portion of GWP for risk exposure elapsed to the valuation date (pro-rata by month).</t>
        </is>
      </c>
    </row>
    <row r="4">
      <c r="A4" s="9" t="inlineStr">
        <is>
          <t>Ceded premium: premium passed on to retrocessionaires.</t>
        </is>
      </c>
    </row>
    <row r="5">
      <c r="A5" s="9" t="inlineStr">
        <is>
          <t>Incurred = paid + case reserve (no IBNR in this dataset).</t>
        </is>
      </c>
    </row>
    <row r="6">
      <c r="A6" s="9" t="inlineStr">
        <is>
          <t>Loss ratio = incurred / earned premium. Combined ratio = loss ratio + earned commission ratio + admin expense assumption.</t>
        </is>
      </c>
    </row>
    <row r="7">
      <c r="A7" s="9" t="inlineStr">
        <is>
          <t>Underwriting year = year the treaty incepted. Recent years are immature: open claims still develop.</t>
        </is>
      </c>
    </row>
    <row r="8">
      <c r="A8" s="9" t="inlineStr">
        <is>
          <t>Quarantined source records (see DQ_Log) are excluded. Unmapped line-of-business codes appear as 'Unmapped'.</t>
        </is>
      </c>
    </row>
    <row r="9">
      <c r="A9" s="9" t="inlineStr">
        <is>
          <t>Source: SQLite warehouse built by python/pipeline.py; views in sql/04_mi_views.sql.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2026-10-08T09:41:55Z</dcterms:created>
  <dcterms:modified xmlns:dcterms="http://purl.org/dc/terms/" xmlns:xsi="http://www.w3.org/2001/XMLSchema-instance" xsi:type="dcterms:W3CDTF">2026-10-08T09:41:55Z</dcterms:modified>
</cp:coreProperties>
</file>