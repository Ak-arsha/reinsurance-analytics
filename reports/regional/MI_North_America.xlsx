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eaty_Data" sheetId="2" state="visible" r:id="rId2"/>
    <sheet xmlns:r="http://schemas.openxmlformats.org/officeDocument/2006/relationships" name="Monthly_Trend" sheetId="3" state="visible" r:id="rId3"/>
    <sheet xmlns:r="http://schemas.openxmlformats.org/officeDocument/2006/relationships" name="Large_Losses" sheetId="4" state="visible" r:id="rId4"/>
    <sheet xmlns:r="http://schemas.openxmlformats.org/officeDocument/2006/relationships" name="Watchlist" sheetId="5" state="visible" r:id="rId5"/>
    <sheet xmlns:r="http://schemas.openxmlformats.org/officeDocument/2006/relationships" name="DQ_Log" sheetId="6" state="visible" r:id="rId6"/>
    <sheet xmlns:r="http://schemas.openxmlformats.org/officeDocument/2006/relationships" name="Notes" sheetId="7" state="visible" r:id="rId7"/>
  </sheets>
  <definedNames>
    <definedName name="_xlnm._FilterDatabase" localSheetId="1" hidden="1">'Treaty_Data'!$A$1:$R$299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A4D"/>
      <sz val="16"/>
    </font>
    <font>
      <name val="Arial"/>
      <i val="1"/>
      <sz val="9"/>
    </font>
    <font>
      <name val="Arial"/>
      <b val="1"/>
      <color rgb="000000FF"/>
    </font>
    <font>
      <name val="Arial"/>
      <b val="1"/>
      <color rgb="001F3A4D"/>
      <sz val="14"/>
    </font>
    <font>
      <name val="Arial"/>
      <b val="1"/>
      <color rgb="009C0006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3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6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3" fontId="6" fillId="0" borderId="0" applyAlignment="1" pivotButton="0" quotePrefix="0" xfId="0">
      <alignment horizontal="center"/>
    </xf>
    <xf numFmtId="0" fontId="7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9" fontId="2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dxfs count="2">
    <dxf>
      <font>
        <b val="1"/>
        <color rgb="009C0006"/>
      </font>
      <fill>
        <patternFill patternType="solid">
          <bgColor rgb="00FFC7CE"/>
        </patternFill>
      </fill>
    </dxf>
    <dxf>
      <font>
        <color rgb="00006100"/>
      </font>
      <fill>
        <patternFill patternType="solid"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Loss ratio by line of business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'Summary'!E10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'Summary'!$A$11:$A$16</f>
            </numRef>
          </cat>
          <val>
            <numRef>
              <f>'Summary'!$E$11:$E$16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gross premium vs incurred losses (USD)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'Monthly_Trend'!B1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'Monthly_Trend'!$A$2:$A$70</f>
            </numRef>
          </cat>
          <val>
            <numRef>
              <f>'Monthly_Trend'!$B$2:$B$70</f>
            </numRef>
          </val>
        </ser>
        <ser>
          <idx val="1"/>
          <order val="1"/>
          <tx>
            <strRef>
              <f>'Monthly_Trend'!E1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'Monthly_Trend'!$A$2:$A$70</f>
            </numRef>
          </cat>
          <val>
            <numRef>
              <f>'Monthly_Trend'!$E$2:$E$70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9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1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6" customWidth="1" min="11" max="11"/>
  </cols>
  <sheetData>
    <row r="1">
      <c r="A1" s="1" t="inlineStr">
        <is>
          <t>Reinsurance Portfolio MI - North America</t>
        </is>
      </c>
    </row>
    <row r="2">
      <c r="A2" s="2" t="inlineStr">
        <is>
          <t>Valuation date 30-Sep-2026 | USD millions unless stated | all figures are live formulas over Treaty_Data</t>
        </is>
      </c>
    </row>
    <row r="4">
      <c r="A4" t="inlineStr">
        <is>
          <t>Admin expense ratio (assumption)</t>
        </is>
      </c>
      <c r="B4" s="3" t="n">
        <v>0.05</v>
      </c>
      <c r="C4" s="2" t="inlineStr">
        <is>
          <t>Input: edit to flex the combined ratio. Source: ref_assumptions table.</t>
        </is>
      </c>
    </row>
    <row r="6">
      <c r="A6" s="4" t="inlineStr">
        <is>
          <t>Gross premium</t>
        </is>
      </c>
      <c r="B6" s="4" t="inlineStr">
        <is>
          <t>Ceded</t>
        </is>
      </c>
      <c r="C6" s="4" t="inlineStr">
        <is>
          <t>Earned</t>
        </is>
      </c>
      <c r="D6" s="4" t="inlineStr">
        <is>
          <t>Incurred</t>
        </is>
      </c>
      <c r="E6" s="4" t="inlineStr">
        <is>
          <t>Loss ratio</t>
        </is>
      </c>
      <c r="F6" s="4" t="inlineStr">
        <is>
          <t>Combined ratio</t>
        </is>
      </c>
      <c r="G6" s="4" t="inlineStr">
        <is>
          <t>Exposure</t>
        </is>
      </c>
      <c r="H6" s="4" t="inlineStr">
        <is>
          <t>Treaties</t>
        </is>
      </c>
      <c r="I6" s="4" t="inlineStr">
        <is>
          <t>Claims</t>
        </is>
      </c>
      <c r="K6" s="4" t="inlineStr">
        <is>
          <t>Data health</t>
        </is>
      </c>
    </row>
    <row r="7">
      <c r="A7" s="5">
        <f>SUM(Treaty_Data!$I$2:$I$299)/1000000</f>
        <v/>
      </c>
      <c r="B7" s="5">
        <f>SUM(Treaty_Data!$J$2:$J$299)/1000000</f>
        <v/>
      </c>
      <c r="C7" s="5">
        <f>SUM(Treaty_Data!$K$2:$K$299)/1000000</f>
        <v/>
      </c>
      <c r="D7" s="5">
        <f>SUM(Treaty_Data!$O$2:$O$299)/1000000</f>
        <v/>
      </c>
      <c r="E7" s="6">
        <f>IFERROR(D7/C7,0)</f>
        <v/>
      </c>
      <c r="F7" s="6">
        <f>IFERROR(E7+SUM(Treaty_Data!$L$2:$L$299)/1000000/C7+B4,0)</f>
        <v/>
      </c>
      <c r="G7" s="7">
        <f>SUM(Treaty_Data!$P$2:$P$299)/1000000</f>
        <v/>
      </c>
      <c r="H7" s="7">
        <f>COUNTA(Treaty_Data!$A$2:$A$299)</f>
        <v/>
      </c>
      <c r="I7" s="7">
        <f>SUM(Treaty_Data!$M$2:$M$299)</f>
        <v/>
      </c>
      <c r="K7" s="8">
        <f>COUNTIF(DQ_Log!G2:G29,"PASS")&amp;" of "&amp;COUNTA(DQ_Log!G2:G29)&amp;" checks passed"</f>
        <v/>
      </c>
    </row>
    <row r="10">
      <c r="A10" s="4" t="inlineStr">
        <is>
          <t>Line of business</t>
        </is>
      </c>
      <c r="B10" s="4" t="inlineStr">
        <is>
          <t>GWP</t>
        </is>
      </c>
      <c r="C10" s="4" t="inlineStr">
        <is>
          <t>Earned</t>
        </is>
      </c>
      <c r="D10" s="4" t="inlineStr">
        <is>
          <t>Incurred</t>
        </is>
      </c>
      <c r="E10" s="4" t="inlineStr">
        <is>
          <t>Loss ratio</t>
        </is>
      </c>
      <c r="F10" s="4" t="inlineStr">
        <is>
          <t>Commission ratio</t>
        </is>
      </c>
      <c r="G10" s="4" t="inlineStr">
        <is>
          <t>Combined ratio</t>
        </is>
      </c>
      <c r="H10" s="4" t="inlineStr">
        <is>
          <t>Treaties</t>
        </is>
      </c>
    </row>
    <row r="11">
      <c r="A11" s="9" t="inlineStr">
        <is>
          <t>Casualty</t>
        </is>
      </c>
      <c r="B11" s="10">
        <f>SUMIFS(Treaty_Data!$I$2:$I$299,Treaty_Data!$C$2:$C$299,$A11)/1000000</f>
        <v/>
      </c>
      <c r="C11" s="10">
        <f>SUMIFS(Treaty_Data!$K$2:$K$299,Treaty_Data!$C$2:$C$299,$A11)/1000000</f>
        <v/>
      </c>
      <c r="D11" s="10">
        <f>SUMIFS(Treaty_Data!$O$2:$O$299,Treaty_Data!$C$2:$C$299,$A11)/1000000</f>
        <v/>
      </c>
      <c r="E11" s="11">
        <f>IFERROR(D11/C11,0)</f>
        <v/>
      </c>
      <c r="F11" s="11">
        <f>IFERROR(SUMIFS(Treaty_Data!$L$2:$L$299,Treaty_Data!$C$2:$C$299,$A11)/1000000/C11,0)</f>
        <v/>
      </c>
      <c r="G11" s="11">
        <f>E11+F11+$B$4</f>
        <v/>
      </c>
      <c r="H11" s="12">
        <f>COUNTIF(Treaty_Data!$C$2:$C$299,$A11)</f>
        <v/>
      </c>
    </row>
    <row r="12">
      <c r="A12" s="9" t="inlineStr">
        <is>
          <t>Financial Lines</t>
        </is>
      </c>
      <c r="B12" s="10">
        <f>SUMIFS(Treaty_Data!$I$2:$I$299,Treaty_Data!$C$2:$C$299,$A12)/1000000</f>
        <v/>
      </c>
      <c r="C12" s="10">
        <f>SUMIFS(Treaty_Data!$K$2:$K$299,Treaty_Data!$C$2:$C$299,$A12)/1000000</f>
        <v/>
      </c>
      <c r="D12" s="10">
        <f>SUMIFS(Treaty_Data!$O$2:$O$299,Treaty_Data!$C$2:$C$299,$A12)/1000000</f>
        <v/>
      </c>
      <c r="E12" s="11">
        <f>IFERROR(D12/C12,0)</f>
        <v/>
      </c>
      <c r="F12" s="11">
        <f>IFERROR(SUMIFS(Treaty_Data!$L$2:$L$299,Treaty_Data!$C$2:$C$299,$A12)/1000000/C12,0)</f>
        <v/>
      </c>
      <c r="G12" s="11">
        <f>E12+F12+$B$4</f>
        <v/>
      </c>
      <c r="H12" s="12">
        <f>COUNTIF(Treaty_Data!$C$2:$C$299,$A12)</f>
        <v/>
      </c>
    </row>
    <row r="13">
      <c r="A13" s="9" t="inlineStr">
        <is>
          <t>Professional</t>
        </is>
      </c>
      <c r="B13" s="10">
        <f>SUMIFS(Treaty_Data!$I$2:$I$299,Treaty_Data!$C$2:$C$299,$A13)/1000000</f>
        <v/>
      </c>
      <c r="C13" s="10">
        <f>SUMIFS(Treaty_Data!$K$2:$K$299,Treaty_Data!$C$2:$C$299,$A13)/1000000</f>
        <v/>
      </c>
      <c r="D13" s="10">
        <f>SUMIFS(Treaty_Data!$O$2:$O$299,Treaty_Data!$C$2:$C$299,$A13)/1000000</f>
        <v/>
      </c>
      <c r="E13" s="11">
        <f>IFERROR(D13/C13,0)</f>
        <v/>
      </c>
      <c r="F13" s="11">
        <f>IFERROR(SUMIFS(Treaty_Data!$L$2:$L$299,Treaty_Data!$C$2:$C$299,$A13)/1000000/C13,0)</f>
        <v/>
      </c>
      <c r="G13" s="11">
        <f>E13+F13+$B$4</f>
        <v/>
      </c>
      <c r="H13" s="12">
        <f>COUNTIF(Treaty_Data!$C$2:$C$299,$A13)</f>
        <v/>
      </c>
    </row>
    <row r="14">
      <c r="A14" s="9" t="inlineStr">
        <is>
          <t>Property</t>
        </is>
      </c>
      <c r="B14" s="10">
        <f>SUMIFS(Treaty_Data!$I$2:$I$299,Treaty_Data!$C$2:$C$299,$A14)/1000000</f>
        <v/>
      </c>
      <c r="C14" s="10">
        <f>SUMIFS(Treaty_Data!$K$2:$K$299,Treaty_Data!$C$2:$C$299,$A14)/1000000</f>
        <v/>
      </c>
      <c r="D14" s="10">
        <f>SUMIFS(Treaty_Data!$O$2:$O$299,Treaty_Data!$C$2:$C$299,$A14)/1000000</f>
        <v/>
      </c>
      <c r="E14" s="11">
        <f>IFERROR(D14/C14,0)</f>
        <v/>
      </c>
      <c r="F14" s="11">
        <f>IFERROR(SUMIFS(Treaty_Data!$L$2:$L$299,Treaty_Data!$C$2:$C$299,$A14)/1000000/C14,0)</f>
        <v/>
      </c>
      <c r="G14" s="11">
        <f>E14+F14+$B$4</f>
        <v/>
      </c>
      <c r="H14" s="12">
        <f>COUNTIF(Treaty_Data!$C$2:$C$299,$A14)</f>
        <v/>
      </c>
    </row>
    <row r="15">
      <c r="A15" s="9" t="inlineStr">
        <is>
          <t>Specialty</t>
        </is>
      </c>
      <c r="B15" s="10">
        <f>SUMIFS(Treaty_Data!$I$2:$I$299,Treaty_Data!$C$2:$C$299,$A15)/1000000</f>
        <v/>
      </c>
      <c r="C15" s="10">
        <f>SUMIFS(Treaty_Data!$K$2:$K$299,Treaty_Data!$C$2:$C$299,$A15)/1000000</f>
        <v/>
      </c>
      <c r="D15" s="10">
        <f>SUMIFS(Treaty_Data!$O$2:$O$299,Treaty_Data!$C$2:$C$299,$A15)/1000000</f>
        <v/>
      </c>
      <c r="E15" s="11">
        <f>IFERROR(D15/C15,0)</f>
        <v/>
      </c>
      <c r="F15" s="11">
        <f>IFERROR(SUMIFS(Treaty_Data!$L$2:$L$299,Treaty_Data!$C$2:$C$299,$A15)/1000000/C15,0)</f>
        <v/>
      </c>
      <c r="G15" s="11">
        <f>E15+F15+$B$4</f>
        <v/>
      </c>
      <c r="H15" s="12">
        <f>COUNTIF(Treaty_Data!$C$2:$C$299,$A15)</f>
        <v/>
      </c>
    </row>
    <row r="16">
      <c r="A16" s="9" t="inlineStr">
        <is>
          <t>Unmapped</t>
        </is>
      </c>
      <c r="B16" s="10">
        <f>SUMIFS(Treaty_Data!$I$2:$I$299,Treaty_Data!$C$2:$C$299,$A16)/1000000</f>
        <v/>
      </c>
      <c r="C16" s="10">
        <f>SUMIFS(Treaty_Data!$K$2:$K$299,Treaty_Data!$C$2:$C$299,$A16)/1000000</f>
        <v/>
      </c>
      <c r="D16" s="10">
        <f>SUMIFS(Treaty_Data!$O$2:$O$299,Treaty_Data!$C$2:$C$299,$A16)/1000000</f>
        <v/>
      </c>
      <c r="E16" s="11">
        <f>IFERROR(D16/C16,0)</f>
        <v/>
      </c>
      <c r="F16" s="11">
        <f>IFERROR(SUMIFS(Treaty_Data!$L$2:$L$299,Treaty_Data!$C$2:$C$299,$A16)/1000000/C16,0)</f>
        <v/>
      </c>
      <c r="G16" s="11">
        <f>E16+F16+$B$4</f>
        <v/>
      </c>
      <c r="H16" s="12">
        <f>COUNTIF(Treaty_Data!$C$2:$C$299,$A16)</f>
        <v/>
      </c>
    </row>
    <row r="19">
      <c r="A19" s="4" t="inlineStr">
        <is>
          <t>Region</t>
        </is>
      </c>
      <c r="B19" s="4" t="inlineStr">
        <is>
          <t>GWP</t>
        </is>
      </c>
      <c r="C19" s="4" t="inlineStr">
        <is>
          <t>Earned</t>
        </is>
      </c>
      <c r="D19" s="4" t="inlineStr">
        <is>
          <t>Incurred</t>
        </is>
      </c>
      <c r="E19" s="4" t="inlineStr">
        <is>
          <t>Loss ratio</t>
        </is>
      </c>
      <c r="F19" s="4" t="inlineStr">
        <is>
          <t>Commission ratio</t>
        </is>
      </c>
      <c r="G19" s="4" t="inlineStr">
        <is>
          <t>Combined ratio</t>
        </is>
      </c>
      <c r="H19" s="4" t="inlineStr">
        <is>
          <t>Treaties</t>
        </is>
      </c>
    </row>
    <row r="20">
      <c r="A20" s="9" t="inlineStr">
        <is>
          <t>North America</t>
        </is>
      </c>
      <c r="B20" s="10">
        <f>SUMIFS(Treaty_Data!$I$2:$I$299,Treaty_Data!$D$2:$D$299,$A20)/1000000</f>
        <v/>
      </c>
      <c r="C20" s="10">
        <f>SUMIFS(Treaty_Data!$K$2:$K$299,Treaty_Data!$D$2:$D$299,$A20)/1000000</f>
        <v/>
      </c>
      <c r="D20" s="10">
        <f>SUMIFS(Treaty_Data!$O$2:$O$299,Treaty_Data!$D$2:$D$299,$A20)/1000000</f>
        <v/>
      </c>
      <c r="E20" s="11">
        <f>IFERROR(D20/C20,0)</f>
        <v/>
      </c>
      <c r="F20" s="11">
        <f>IFERROR(SUMIFS(Treaty_Data!$L$2:$L$299,Treaty_Data!$D$2:$D$299,$A20)/1000000/C20,0)</f>
        <v/>
      </c>
      <c r="G20" s="11">
        <f>E20+F20+$B$4</f>
        <v/>
      </c>
      <c r="H20" s="12">
        <f>COUNTIF(Treaty_Data!$D$2:$D$299,$A20)</f>
        <v/>
      </c>
    </row>
    <row r="23">
      <c r="A23" s="4" t="inlineStr">
        <is>
          <t>Underwriting year</t>
        </is>
      </c>
      <c r="B23" s="4" t="inlineStr">
        <is>
          <t>GWP</t>
        </is>
      </c>
      <c r="C23" s="4" t="inlineStr">
        <is>
          <t>Earned</t>
        </is>
      </c>
      <c r="D23" s="4" t="inlineStr">
        <is>
          <t>Incurred</t>
        </is>
      </c>
      <c r="E23" s="4" t="inlineStr">
        <is>
          <t>Loss ratio</t>
        </is>
      </c>
      <c r="F23" s="4" t="inlineStr">
        <is>
          <t>Commission ratio</t>
        </is>
      </c>
      <c r="G23" s="4" t="inlineStr">
        <is>
          <t>Combined ratio</t>
        </is>
      </c>
      <c r="H23" s="4" t="inlineStr">
        <is>
          <t>Treaties</t>
        </is>
      </c>
    </row>
    <row r="24">
      <c r="A24" s="9" t="n">
        <v>2021</v>
      </c>
      <c r="B24" s="10">
        <f>SUMIFS(Treaty_Data!$I$2:$I$299,Treaty_Data!$G$2:$G$299,$A24)/1000000</f>
        <v/>
      </c>
      <c r="C24" s="10">
        <f>SUMIFS(Treaty_Data!$K$2:$K$299,Treaty_Data!$G$2:$G$299,$A24)/1000000</f>
        <v/>
      </c>
      <c r="D24" s="10">
        <f>SUMIFS(Treaty_Data!$O$2:$O$299,Treaty_Data!$G$2:$G$299,$A24)/1000000</f>
        <v/>
      </c>
      <c r="E24" s="11">
        <f>IFERROR(D24/C24,0)</f>
        <v/>
      </c>
      <c r="F24" s="11">
        <f>IFERROR(SUMIFS(Treaty_Data!$L$2:$L$299,Treaty_Data!$G$2:$G$299,$A24)/1000000/C24,0)</f>
        <v/>
      </c>
      <c r="G24" s="11">
        <f>E24+F24+$B$4</f>
        <v/>
      </c>
      <c r="H24" s="12">
        <f>COUNTIF(Treaty_Data!$G$2:$G$299,$A24)</f>
        <v/>
      </c>
    </row>
    <row r="25">
      <c r="A25" s="9" t="n">
        <v>2022</v>
      </c>
      <c r="B25" s="10">
        <f>SUMIFS(Treaty_Data!$I$2:$I$299,Treaty_Data!$G$2:$G$299,$A25)/1000000</f>
        <v/>
      </c>
      <c r="C25" s="10">
        <f>SUMIFS(Treaty_Data!$K$2:$K$299,Treaty_Data!$G$2:$G$299,$A25)/1000000</f>
        <v/>
      </c>
      <c r="D25" s="10">
        <f>SUMIFS(Treaty_Data!$O$2:$O$299,Treaty_Data!$G$2:$G$299,$A25)/1000000</f>
        <v/>
      </c>
      <c r="E25" s="11">
        <f>IFERROR(D25/C25,0)</f>
        <v/>
      </c>
      <c r="F25" s="11">
        <f>IFERROR(SUMIFS(Treaty_Data!$L$2:$L$299,Treaty_Data!$G$2:$G$299,$A25)/1000000/C25,0)</f>
        <v/>
      </c>
      <c r="G25" s="11">
        <f>E25+F25+$B$4</f>
        <v/>
      </c>
      <c r="H25" s="12">
        <f>COUNTIF(Treaty_Data!$G$2:$G$299,$A25)</f>
        <v/>
      </c>
    </row>
    <row r="26">
      <c r="A26" s="9" t="n">
        <v>2023</v>
      </c>
      <c r="B26" s="10">
        <f>SUMIFS(Treaty_Data!$I$2:$I$299,Treaty_Data!$G$2:$G$299,$A26)/1000000</f>
        <v/>
      </c>
      <c r="C26" s="10">
        <f>SUMIFS(Treaty_Data!$K$2:$K$299,Treaty_Data!$G$2:$G$299,$A26)/1000000</f>
        <v/>
      </c>
      <c r="D26" s="10">
        <f>SUMIFS(Treaty_Data!$O$2:$O$299,Treaty_Data!$G$2:$G$299,$A26)/1000000</f>
        <v/>
      </c>
      <c r="E26" s="11">
        <f>IFERROR(D26/C26,0)</f>
        <v/>
      </c>
      <c r="F26" s="11">
        <f>IFERROR(SUMIFS(Treaty_Data!$L$2:$L$299,Treaty_Data!$G$2:$G$299,$A26)/1000000/C26,0)</f>
        <v/>
      </c>
      <c r="G26" s="11">
        <f>E26+F26+$B$4</f>
        <v/>
      </c>
      <c r="H26" s="12">
        <f>COUNTIF(Treaty_Data!$G$2:$G$299,$A26)</f>
        <v/>
      </c>
    </row>
    <row r="27">
      <c r="A27" s="9" t="n">
        <v>2024</v>
      </c>
      <c r="B27" s="10">
        <f>SUMIFS(Treaty_Data!$I$2:$I$299,Treaty_Data!$G$2:$G$299,$A27)/1000000</f>
        <v/>
      </c>
      <c r="C27" s="10">
        <f>SUMIFS(Treaty_Data!$K$2:$K$299,Treaty_Data!$G$2:$G$299,$A27)/1000000</f>
        <v/>
      </c>
      <c r="D27" s="10">
        <f>SUMIFS(Treaty_Data!$O$2:$O$299,Treaty_Data!$G$2:$G$299,$A27)/1000000</f>
        <v/>
      </c>
      <c r="E27" s="11">
        <f>IFERROR(D27/C27,0)</f>
        <v/>
      </c>
      <c r="F27" s="11">
        <f>IFERROR(SUMIFS(Treaty_Data!$L$2:$L$299,Treaty_Data!$G$2:$G$299,$A27)/1000000/C27,0)</f>
        <v/>
      </c>
      <c r="G27" s="11">
        <f>E27+F27+$B$4</f>
        <v/>
      </c>
      <c r="H27" s="12">
        <f>COUNTIF(Treaty_Data!$G$2:$G$299,$A27)</f>
        <v/>
      </c>
    </row>
    <row r="28">
      <c r="A28" s="9" t="n">
        <v>2025</v>
      </c>
      <c r="B28" s="10">
        <f>SUMIFS(Treaty_Data!$I$2:$I$299,Treaty_Data!$G$2:$G$299,$A28)/1000000</f>
        <v/>
      </c>
      <c r="C28" s="10">
        <f>SUMIFS(Treaty_Data!$K$2:$K$299,Treaty_Data!$G$2:$G$299,$A28)/1000000</f>
        <v/>
      </c>
      <c r="D28" s="10">
        <f>SUMIFS(Treaty_Data!$O$2:$O$299,Treaty_Data!$G$2:$G$299,$A28)/1000000</f>
        <v/>
      </c>
      <c r="E28" s="11">
        <f>IFERROR(D28/C28,0)</f>
        <v/>
      </c>
      <c r="F28" s="11">
        <f>IFERROR(SUMIFS(Treaty_Data!$L$2:$L$299,Treaty_Data!$G$2:$G$299,$A28)/1000000/C28,0)</f>
        <v/>
      </c>
      <c r="G28" s="11">
        <f>E28+F28+$B$4</f>
        <v/>
      </c>
      <c r="H28" s="12">
        <f>COUNTIF(Treaty_Data!$G$2:$G$299,$A28)</f>
        <v/>
      </c>
    </row>
    <row r="29">
      <c r="A29" s="9" t="n">
        <v>2026</v>
      </c>
      <c r="B29" s="10">
        <f>SUMIFS(Treaty_Data!$I$2:$I$299,Treaty_Data!$G$2:$G$299,$A29)/1000000</f>
        <v/>
      </c>
      <c r="C29" s="10">
        <f>SUMIFS(Treaty_Data!$K$2:$K$299,Treaty_Data!$G$2:$G$299,$A29)/1000000</f>
        <v/>
      </c>
      <c r="D29" s="10">
        <f>SUMIFS(Treaty_Data!$O$2:$O$299,Treaty_Data!$G$2:$G$299,$A29)/1000000</f>
        <v/>
      </c>
      <c r="E29" s="11">
        <f>IFERROR(D29/C29,0)</f>
        <v/>
      </c>
      <c r="F29" s="11">
        <f>IFERROR(SUMIFS(Treaty_Data!$L$2:$L$299,Treaty_Data!$G$2:$G$299,$A29)/1000000/C29,0)</f>
        <v/>
      </c>
      <c r="G29" s="11">
        <f>E29+F29+$B$4</f>
        <v/>
      </c>
      <c r="H29" s="12">
        <f>COUNTIF(Treaty_Data!$G$2:$G$299,$A29)</f>
        <v/>
      </c>
    </row>
  </sheetData>
  <conditionalFormatting sqref="G11:G16">
    <cfRule type="cellIs" priority="1" operator="greaterThan" dxfId="0">
      <formula>1</formula>
    </cfRule>
  </conditionalFormatting>
  <conditionalFormatting sqref="E11:E16">
    <cfRule type="dataBar" priority="2">
      <dataBar>
        <cfvo type="num" val="0"/>
        <cfvo type="num" val="1.2"/>
        <color rgb="007FA6BF"/>
      </dataBar>
    </cfRule>
  </conditionalFormatting>
  <conditionalFormatting sqref="G20">
    <cfRule type="cellIs" priority="3" operator="greaterThan" dxfId="0">
      <formula>1</formula>
    </cfRule>
  </conditionalFormatting>
  <conditionalFormatting sqref="E20">
    <cfRule type="dataBar" priority="4">
      <dataBar>
        <cfvo type="num" val="0"/>
        <cfvo type="num" val="1.2"/>
        <color rgb="007FA6BF"/>
      </dataBar>
    </cfRule>
  </conditionalFormatting>
  <conditionalFormatting sqref="G24:G29">
    <cfRule type="cellIs" priority="5" operator="greaterThan" dxfId="0">
      <formula>1</formula>
    </cfRule>
  </conditionalFormatting>
  <conditionalFormatting sqref="E24:E29">
    <cfRule type="dataBar" priority="6">
      <dataBar>
        <cfvo type="num" val="0"/>
        <cfvo type="num" val="1.2"/>
        <color rgb="007FA6BF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5" customWidth="1" min="4" max="4"/>
    <col width="20" customWidth="1" min="5" max="5"/>
    <col width="15" customWidth="1" min="6" max="6"/>
    <col width="21" customWidth="1" min="7" max="7"/>
    <col width="13" customWidth="1" min="8" max="8"/>
    <col width="11" customWidth="1" min="9" max="9"/>
    <col width="11" customWidth="1" min="10" max="10"/>
    <col width="11" customWidth="1" min="11" max="11"/>
    <col width="21" customWidth="1" min="12" max="12"/>
    <col width="15" customWidth="1" min="13" max="13"/>
    <col width="11" customWidth="1" min="14" max="14"/>
    <col width="12" customWidth="1" min="15" max="15"/>
    <col width="12" customWidth="1" min="16" max="16"/>
    <col width="13" customWidth="1" min="17" max="17"/>
  </cols>
  <sheetData>
    <row r="1">
      <c r="A1" s="4" t="inlineStr">
        <is>
          <t>treaty_id</t>
        </is>
      </c>
      <c r="B1" s="4" t="inlineStr">
        <is>
          <t>cedant_name</t>
        </is>
      </c>
      <c r="C1" s="4" t="inlineStr">
        <is>
          <t>lob_name</t>
        </is>
      </c>
      <c r="D1" s="4" t="inlineStr">
        <is>
          <t>region_name</t>
        </is>
      </c>
      <c r="E1" s="4" t="inlineStr">
        <is>
          <t>underwriter_name</t>
        </is>
      </c>
      <c r="F1" s="4" t="inlineStr">
        <is>
          <t>treaty_type</t>
        </is>
      </c>
      <c r="G1" s="4" t="inlineStr">
        <is>
          <t>underwriting_year</t>
        </is>
      </c>
      <c r="H1" s="4" t="inlineStr">
        <is>
          <t>limit_usd</t>
        </is>
      </c>
      <c r="I1" s="4" t="inlineStr">
        <is>
          <t>gwp</t>
        </is>
      </c>
      <c r="J1" s="4" t="inlineStr">
        <is>
          <t>ceded</t>
        </is>
      </c>
      <c r="K1" s="4" t="inlineStr">
        <is>
          <t>earned</t>
        </is>
      </c>
      <c r="L1" s="4" t="inlineStr">
        <is>
          <t>earned_commission</t>
        </is>
      </c>
      <c r="M1" s="4" t="inlineStr">
        <is>
          <t>claim_count</t>
        </is>
      </c>
      <c r="N1" s="4" t="inlineStr">
        <is>
          <t>paid</t>
        </is>
      </c>
      <c r="O1" s="4" t="inlineStr">
        <is>
          <t>incurred</t>
        </is>
      </c>
      <c r="P1" s="4" t="inlineStr">
        <is>
          <t>exposure</t>
        </is>
      </c>
      <c r="Q1" s="4" t="inlineStr">
        <is>
          <t>risk_band</t>
        </is>
      </c>
      <c r="R1" s="4" t="inlineStr">
        <is>
          <t>loss_ratio</t>
        </is>
      </c>
    </row>
    <row r="2">
      <c r="A2" s="9" t="inlineStr">
        <is>
          <t>T0001</t>
        </is>
      </c>
      <c r="B2" s="9" t="inlineStr">
        <is>
          <t>Crown General</t>
        </is>
      </c>
      <c r="C2" s="9" t="inlineStr">
        <is>
          <t>Property</t>
        </is>
      </c>
      <c r="D2" s="9" t="inlineStr">
        <is>
          <t>North America</t>
        </is>
      </c>
      <c r="E2" s="9" t="inlineStr">
        <is>
          <t>Kenji Sato</t>
        </is>
      </c>
      <c r="F2" s="9" t="inlineStr">
        <is>
          <t>Excess of Loss</t>
        </is>
      </c>
      <c r="G2" s="9" t="n">
        <v>2024</v>
      </c>
      <c r="H2" s="12" t="n">
        <v>31700000</v>
      </c>
      <c r="I2" s="12" t="n">
        <v>2875045.8</v>
      </c>
      <c r="J2" s="12" t="n">
        <v>207034.32</v>
      </c>
      <c r="K2" s="12" t="n">
        <v>2875045.8</v>
      </c>
      <c r="L2" s="12" t="n">
        <v>297214.32</v>
      </c>
      <c r="M2" s="9" t="n">
        <v>6</v>
      </c>
      <c r="N2" s="12" t="n">
        <v>5309722.82</v>
      </c>
      <c r="O2" s="12" t="n">
        <v>5879710.43</v>
      </c>
      <c r="P2" s="12" t="n">
        <v>31700000</v>
      </c>
      <c r="Q2" s="9" t="inlineStr">
        <is>
          <t>Low</t>
        </is>
      </c>
      <c r="R2" s="11">
        <f>IFERROR(O2/K2,0)</f>
        <v/>
      </c>
    </row>
    <row r="3">
      <c r="A3" s="9" t="inlineStr">
        <is>
          <t>T0005</t>
        </is>
      </c>
      <c r="B3" s="9" t="inlineStr">
        <is>
          <t>Harbor Insurance</t>
        </is>
      </c>
      <c r="C3" s="9" t="inlineStr">
        <is>
          <t>Property</t>
        </is>
      </c>
      <c r="D3" s="9" t="inlineStr">
        <is>
          <t>North America</t>
        </is>
      </c>
      <c r="E3" s="9" t="inlineStr">
        <is>
          <t>Aarav Mehta</t>
        </is>
      </c>
      <c r="F3" s="9" t="inlineStr">
        <is>
          <t>Proportional</t>
        </is>
      </c>
      <c r="G3" s="9" t="n">
        <v>2025</v>
      </c>
      <c r="H3" s="12" t="n">
        <v>9200000</v>
      </c>
      <c r="I3" s="12" t="n">
        <v>705032.46</v>
      </c>
      <c r="J3" s="12" t="n">
        <v>37801.06</v>
      </c>
      <c r="K3" s="12" t="n">
        <v>681531.38</v>
      </c>
      <c r="L3" s="12" t="n">
        <v>163445.1798129743</v>
      </c>
      <c r="M3" s="9" t="n">
        <v>11</v>
      </c>
      <c r="N3" s="12" t="n">
        <v>255579.6</v>
      </c>
      <c r="O3" s="12" t="n">
        <v>1024578.94</v>
      </c>
      <c r="P3" s="12" t="n">
        <v>920000</v>
      </c>
      <c r="Q3" s="9" t="inlineStr">
        <is>
          <t>Low</t>
        </is>
      </c>
      <c r="R3" s="11">
        <f>IFERROR(O3/K3,0)</f>
        <v/>
      </c>
    </row>
    <row r="4">
      <c r="A4" s="9" t="inlineStr">
        <is>
          <t>T0006</t>
        </is>
      </c>
      <c r="B4" s="9" t="inlineStr">
        <is>
          <t>Northwind Indemnity</t>
        </is>
      </c>
      <c r="C4" s="9" t="inlineStr">
        <is>
          <t>Professional</t>
        </is>
      </c>
      <c r="D4" s="9" t="inlineStr">
        <is>
          <t>North America</t>
        </is>
      </c>
      <c r="E4" s="9" t="inlineStr">
        <is>
          <t>Kenji Sato</t>
        </is>
      </c>
      <c r="F4" s="9" t="inlineStr">
        <is>
          <t>Proportional</t>
        </is>
      </c>
      <c r="G4" s="9" t="n">
        <v>2022</v>
      </c>
      <c r="H4" s="12" t="n">
        <v>2700000</v>
      </c>
      <c r="I4" s="12" t="n">
        <v>200000.04</v>
      </c>
      <c r="J4" s="12" t="n">
        <v>12825</v>
      </c>
      <c r="K4" s="12" t="n">
        <v>200000.04</v>
      </c>
      <c r="L4" s="12" t="n">
        <v>59442.12</v>
      </c>
      <c r="M4" s="9" t="n">
        <v>6</v>
      </c>
      <c r="N4" s="12" t="n">
        <v>57401.98</v>
      </c>
      <c r="O4" s="12" t="n">
        <v>59542.92</v>
      </c>
      <c r="P4" s="12" t="n">
        <v>810000</v>
      </c>
      <c r="Q4" s="9" t="inlineStr">
        <is>
          <t>Low</t>
        </is>
      </c>
      <c r="R4" s="11">
        <f>IFERROR(O4/K4,0)</f>
        <v/>
      </c>
    </row>
    <row r="5">
      <c r="A5" s="9" t="inlineStr">
        <is>
          <t>T0007</t>
        </is>
      </c>
      <c r="B5" s="9" t="inlineStr">
        <is>
          <t>Meridian Mutual</t>
        </is>
      </c>
      <c r="C5" s="9" t="inlineStr">
        <is>
          <t>Casualty</t>
        </is>
      </c>
      <c r="D5" s="9" t="inlineStr">
        <is>
          <t>North America</t>
        </is>
      </c>
      <c r="E5" s="9" t="inlineStr">
        <is>
          <t>Hannah Weber</t>
        </is>
      </c>
      <c r="F5" s="9" t="inlineStr">
        <is>
          <t>Proportional</t>
        </is>
      </c>
      <c r="G5" s="9" t="n">
        <v>2025</v>
      </c>
      <c r="H5" s="12" t="n">
        <v>8000000</v>
      </c>
      <c r="I5" s="12" t="n">
        <v>687072</v>
      </c>
      <c r="J5" s="12" t="n">
        <v>36974.76</v>
      </c>
      <c r="K5" s="12" t="n">
        <v>687072</v>
      </c>
      <c r="L5" s="12" t="n">
        <v>164419.2</v>
      </c>
      <c r="M5" s="9" t="n">
        <v>10</v>
      </c>
      <c r="N5" s="12" t="n">
        <v>90518.16</v>
      </c>
      <c r="O5" s="12" t="n">
        <v>523403.64</v>
      </c>
      <c r="P5" s="12" t="n">
        <v>2400000</v>
      </c>
      <c r="Q5" s="9" t="inlineStr">
        <is>
          <t>Low</t>
        </is>
      </c>
      <c r="R5" s="11">
        <f>IFERROR(O5/K5,0)</f>
        <v/>
      </c>
    </row>
    <row r="6">
      <c r="A6" s="9" t="inlineStr">
        <is>
          <t>T0008</t>
        </is>
      </c>
      <c r="B6" s="9" t="inlineStr">
        <is>
          <t>Northwind Indemnity</t>
        </is>
      </c>
      <c r="C6" s="9" t="inlineStr">
        <is>
          <t>Property</t>
        </is>
      </c>
      <c r="D6" s="9" t="inlineStr">
        <is>
          <t>North America</t>
        </is>
      </c>
      <c r="E6" s="9" t="inlineStr">
        <is>
          <t>Aarav Mehta</t>
        </is>
      </c>
      <c r="F6" s="9" t="inlineStr">
        <is>
          <t>Proportional</t>
        </is>
      </c>
      <c r="G6" s="9" t="n">
        <v>2025</v>
      </c>
      <c r="H6" s="12" t="n">
        <v>2000000</v>
      </c>
      <c r="I6" s="12" t="n">
        <v>295289.88</v>
      </c>
      <c r="J6" s="12" t="n">
        <v>26596.44</v>
      </c>
      <c r="K6" s="12" t="n">
        <v>295289.88</v>
      </c>
      <c r="L6" s="12" t="n">
        <v>93903</v>
      </c>
      <c r="M6" s="9" t="n">
        <v>6</v>
      </c>
      <c r="N6" s="12" t="n">
        <v>147757.78</v>
      </c>
      <c r="O6" s="12" t="n">
        <v>184973.04</v>
      </c>
      <c r="P6" s="12" t="n">
        <v>400000</v>
      </c>
      <c r="Q6" s="9" t="inlineStr">
        <is>
          <t>Low</t>
        </is>
      </c>
      <c r="R6" s="11">
        <f>IFERROR(O6/K6,0)</f>
        <v/>
      </c>
    </row>
    <row r="7">
      <c r="A7" s="9" t="inlineStr">
        <is>
          <t>T0009</t>
        </is>
      </c>
      <c r="B7" s="9" t="inlineStr">
        <is>
          <t>Crown Mutual</t>
        </is>
      </c>
      <c r="C7" s="9" t="inlineStr">
        <is>
          <t>Financial Lines</t>
        </is>
      </c>
      <c r="D7" s="9" t="inlineStr">
        <is>
          <t>North America</t>
        </is>
      </c>
      <c r="E7" s="9" t="inlineStr">
        <is>
          <t>Carlos Ibarra</t>
        </is>
      </c>
      <c r="F7" s="9" t="inlineStr">
        <is>
          <t>Excess of Loss</t>
        </is>
      </c>
      <c r="G7" s="9" t="n">
        <v>2023</v>
      </c>
      <c r="H7" s="12" t="n">
        <v>46700000</v>
      </c>
      <c r="I7" s="12" t="n">
        <v>3468115.2</v>
      </c>
      <c r="J7" s="12" t="n">
        <v>202347.96</v>
      </c>
      <c r="K7" s="12" t="n">
        <v>3468115.2</v>
      </c>
      <c r="L7" s="12" t="n">
        <v>271492.44</v>
      </c>
      <c r="M7" s="9" t="n">
        <v>9</v>
      </c>
      <c r="N7" s="12" t="n">
        <v>1720988.05</v>
      </c>
      <c r="O7" s="12" t="n">
        <v>2077657.36</v>
      </c>
      <c r="P7" s="12" t="n">
        <v>46700000</v>
      </c>
      <c r="Q7" s="9" t="inlineStr">
        <is>
          <t>Low</t>
        </is>
      </c>
      <c r="R7" s="11">
        <f>IFERROR(O7/K7,0)</f>
        <v/>
      </c>
    </row>
    <row r="8">
      <c r="A8" s="9" t="inlineStr">
        <is>
          <t>T0012</t>
        </is>
      </c>
      <c r="B8" s="9" t="inlineStr">
        <is>
          <t>Northwind Insurance</t>
        </is>
      </c>
      <c r="C8" s="9" t="inlineStr">
        <is>
          <t>Casualty</t>
        </is>
      </c>
      <c r="D8" s="9" t="inlineStr">
        <is>
          <t>North America</t>
        </is>
      </c>
      <c r="E8" s="9" t="inlineStr">
        <is>
          <t>Hannah Weber</t>
        </is>
      </c>
      <c r="F8" s="9" t="inlineStr">
        <is>
          <t>Facultative</t>
        </is>
      </c>
      <c r="G8" s="9" t="n">
        <v>2024</v>
      </c>
      <c r="H8" s="12" t="n">
        <v>14400000</v>
      </c>
      <c r="I8" s="12" t="n">
        <v>1513257.12</v>
      </c>
      <c r="J8" s="12" t="n">
        <v>128006.28</v>
      </c>
      <c r="K8" s="12" t="n">
        <v>1513257.12</v>
      </c>
      <c r="L8" s="12" t="n">
        <v>287509.08</v>
      </c>
      <c r="M8" s="9" t="n">
        <v>7</v>
      </c>
      <c r="N8" s="12" t="n">
        <v>176352.63</v>
      </c>
      <c r="O8" s="12" t="n">
        <v>815068.5999999999</v>
      </c>
      <c r="P8" s="12" t="n">
        <v>14400000</v>
      </c>
      <c r="Q8" s="9" t="inlineStr">
        <is>
          <t>Low</t>
        </is>
      </c>
      <c r="R8" s="11">
        <f>IFERROR(O8/K8,0)</f>
        <v/>
      </c>
    </row>
    <row r="9">
      <c r="A9" s="9" t="inlineStr">
        <is>
          <t>T0013</t>
        </is>
      </c>
      <c r="B9" s="9" t="inlineStr">
        <is>
          <t>Crown General</t>
        </is>
      </c>
      <c r="C9" s="9" t="inlineStr">
        <is>
          <t>Property</t>
        </is>
      </c>
      <c r="D9" s="9" t="inlineStr">
        <is>
          <t>North America</t>
        </is>
      </c>
      <c r="E9" s="9" t="inlineStr">
        <is>
          <t>Hannah Weber</t>
        </is>
      </c>
      <c r="F9" s="9" t="inlineStr">
        <is>
          <t>Proportional</t>
        </is>
      </c>
      <c r="G9" s="9" t="n">
        <v>2025</v>
      </c>
      <c r="H9" s="12" t="n">
        <v>7200000</v>
      </c>
      <c r="I9" s="12" t="n">
        <v>1097638.2</v>
      </c>
      <c r="J9" s="12" t="n">
        <v>83484.48</v>
      </c>
      <c r="K9" s="12" t="n">
        <v>1015315.34</v>
      </c>
      <c r="L9" s="12" t="n">
        <v>255239.3952569464</v>
      </c>
      <c r="M9" s="9" t="n">
        <v>14</v>
      </c>
      <c r="N9" s="12" t="n">
        <v>150019.46</v>
      </c>
      <c r="O9" s="12" t="n">
        <v>538289.34</v>
      </c>
      <c r="P9" s="12" t="n">
        <v>720000</v>
      </c>
      <c r="Q9" s="9" t="inlineStr">
        <is>
          <t>Low</t>
        </is>
      </c>
      <c r="R9" s="11">
        <f>IFERROR(O9/K9,0)</f>
        <v/>
      </c>
    </row>
    <row r="10">
      <c r="A10" s="9" t="inlineStr">
        <is>
          <t>T0014</t>
        </is>
      </c>
      <c r="B10" s="9" t="inlineStr">
        <is>
          <t>Crown Mutual</t>
        </is>
      </c>
      <c r="C10" s="9" t="inlineStr">
        <is>
          <t>Specialty</t>
        </is>
      </c>
      <c r="D10" s="9" t="inlineStr">
        <is>
          <t>North America</t>
        </is>
      </c>
      <c r="E10" s="9" t="inlineStr">
        <is>
          <t>Kenji Sato</t>
        </is>
      </c>
      <c r="F10" s="9" t="inlineStr">
        <is>
          <t>Facultative</t>
        </is>
      </c>
      <c r="G10" s="9" t="n">
        <v>2021</v>
      </c>
      <c r="H10" s="12" t="n">
        <v>2800000</v>
      </c>
      <c r="I10" s="12" t="n">
        <v>200000.04</v>
      </c>
      <c r="J10" s="12" t="n">
        <v>18972.48</v>
      </c>
      <c r="K10" s="12" t="n">
        <v>200000.04</v>
      </c>
      <c r="L10" s="12" t="n">
        <v>33109.68</v>
      </c>
      <c r="M10" s="9" t="n">
        <v>4</v>
      </c>
      <c r="N10" s="12" t="n">
        <v>47978.12</v>
      </c>
      <c r="O10" s="12" t="n">
        <v>51543.52</v>
      </c>
      <c r="P10" s="12" t="n">
        <v>2800000</v>
      </c>
      <c r="Q10" s="9" t="inlineStr">
        <is>
          <t>Low</t>
        </is>
      </c>
      <c r="R10" s="11">
        <f>IFERROR(O10/K10,0)</f>
        <v/>
      </c>
    </row>
    <row r="11">
      <c r="A11" s="9" t="inlineStr">
        <is>
          <t>T0020</t>
        </is>
      </c>
      <c r="B11" s="9" t="inlineStr">
        <is>
          <t>Orion General</t>
        </is>
      </c>
      <c r="C11" s="9" t="inlineStr">
        <is>
          <t>Professional</t>
        </is>
      </c>
      <c r="D11" s="9" t="inlineStr">
        <is>
          <t>North America</t>
        </is>
      </c>
      <c r="E11" s="9" t="inlineStr">
        <is>
          <t>Omar Haddad</t>
        </is>
      </c>
      <c r="F11" s="9" t="inlineStr">
        <is>
          <t>Excess of Loss</t>
        </is>
      </c>
      <c r="G11" s="9" t="n">
        <v>2024</v>
      </c>
      <c r="H11" s="12" t="n">
        <v>51700000</v>
      </c>
      <c r="I11" s="12" t="n">
        <v>3995701.05</v>
      </c>
      <c r="J11" s="12" t="n">
        <v>442228.6</v>
      </c>
      <c r="K11" s="12" t="n">
        <v>3995701.05</v>
      </c>
      <c r="L11" s="12" t="n">
        <v>469194.33</v>
      </c>
      <c r="M11" s="9" t="n">
        <v>2</v>
      </c>
      <c r="N11" s="12" t="n">
        <v>1422984.84</v>
      </c>
      <c r="O11" s="12" t="n">
        <v>2879587.82</v>
      </c>
      <c r="P11" s="12" t="n">
        <v>51700000</v>
      </c>
      <c r="Q11" s="9" t="inlineStr">
        <is>
          <t>Low</t>
        </is>
      </c>
      <c r="R11" s="11">
        <f>IFERROR(O11/K11,0)</f>
        <v/>
      </c>
    </row>
    <row r="12">
      <c r="A12" s="9" t="inlineStr">
        <is>
          <t>T0021</t>
        </is>
      </c>
      <c r="B12" s="9" t="inlineStr">
        <is>
          <t>Crown General</t>
        </is>
      </c>
      <c r="C12" s="9" t="inlineStr">
        <is>
          <t>Professional</t>
        </is>
      </c>
      <c r="D12" s="9" t="inlineStr">
        <is>
          <t>North America</t>
        </is>
      </c>
      <c r="E12" s="9" t="inlineStr">
        <is>
          <t>Carlos Ibarra</t>
        </is>
      </c>
      <c r="F12" s="9" t="inlineStr">
        <is>
          <t>Facultative</t>
        </is>
      </c>
      <c r="G12" s="9" t="n">
        <v>2023</v>
      </c>
      <c r="H12" s="12" t="n">
        <v>23700000</v>
      </c>
      <c r="I12" s="12" t="n">
        <v>1710188.04</v>
      </c>
      <c r="J12" s="12" t="n">
        <v>100338.24</v>
      </c>
      <c r="K12" s="12" t="n">
        <v>1710188.04</v>
      </c>
      <c r="L12" s="12" t="n">
        <v>319271.04</v>
      </c>
      <c r="M12" s="9" t="n">
        <v>10</v>
      </c>
      <c r="N12" s="12" t="n">
        <v>709444.46</v>
      </c>
      <c r="O12" s="12" t="n">
        <v>791291.48</v>
      </c>
      <c r="P12" s="12" t="n">
        <v>23700000</v>
      </c>
      <c r="Q12" s="9" t="inlineStr">
        <is>
          <t>Low</t>
        </is>
      </c>
      <c r="R12" s="11">
        <f>IFERROR(O12/K12,0)</f>
        <v/>
      </c>
    </row>
    <row r="13">
      <c r="A13" s="9" t="inlineStr">
        <is>
          <t>T0024</t>
        </is>
      </c>
      <c r="B13" s="9" t="inlineStr">
        <is>
          <t>Atlas Assurance</t>
        </is>
      </c>
      <c r="C13" s="9" t="inlineStr">
        <is>
          <t>Specialty</t>
        </is>
      </c>
      <c r="D13" s="9" t="inlineStr">
        <is>
          <t>North America</t>
        </is>
      </c>
      <c r="E13" s="9" t="inlineStr">
        <is>
          <t>Aarav Mehta</t>
        </is>
      </c>
      <c r="F13" s="9" t="inlineStr">
        <is>
          <t>Excess of Loss</t>
        </is>
      </c>
      <c r="G13" s="9" t="n">
        <v>2025</v>
      </c>
      <c r="H13" s="12" t="n">
        <v>9300000</v>
      </c>
      <c r="I13" s="12" t="n">
        <v>1759533.36</v>
      </c>
      <c r="J13" s="12" t="n">
        <v>193011.48</v>
      </c>
      <c r="K13" s="12" t="n">
        <v>1759533.36</v>
      </c>
      <c r="L13" s="12" t="n">
        <v>170697.48</v>
      </c>
      <c r="M13" s="9" t="n">
        <v>4</v>
      </c>
      <c r="N13" s="12" t="n">
        <v>971055.59</v>
      </c>
      <c r="O13" s="12" t="n">
        <v>1349819.51</v>
      </c>
      <c r="P13" s="12" t="n">
        <v>9300000</v>
      </c>
      <c r="Q13" s="9" t="inlineStr">
        <is>
          <t>Low</t>
        </is>
      </c>
      <c r="R13" s="11">
        <f>IFERROR(O13/K13,0)</f>
        <v/>
      </c>
    </row>
    <row r="14">
      <c r="A14" s="9" t="inlineStr">
        <is>
          <t>T0026</t>
        </is>
      </c>
      <c r="B14" s="9" t="inlineStr">
        <is>
          <t>Orion General</t>
        </is>
      </c>
      <c r="C14" s="9" t="inlineStr">
        <is>
          <t>Casualty</t>
        </is>
      </c>
      <c r="D14" s="9" t="inlineStr">
        <is>
          <t>North America</t>
        </is>
      </c>
      <c r="E14" s="9" t="inlineStr">
        <is>
          <t>James Whitfield</t>
        </is>
      </c>
      <c r="F14" s="9" t="inlineStr">
        <is>
          <t>Facultative</t>
        </is>
      </c>
      <c r="G14" s="9" t="n">
        <v>2022</v>
      </c>
      <c r="H14" s="12" t="n">
        <v>26700000</v>
      </c>
      <c r="I14" s="12" t="n">
        <v>2361838.8</v>
      </c>
      <c r="J14" s="12" t="n">
        <v>178499.52</v>
      </c>
      <c r="K14" s="12" t="n">
        <v>2361838.8</v>
      </c>
      <c r="L14" s="12" t="n">
        <v>400611.48</v>
      </c>
      <c r="M14" s="9" t="n">
        <v>10</v>
      </c>
      <c r="N14" s="12" t="n">
        <v>928041.9700000001</v>
      </c>
      <c r="O14" s="12" t="n">
        <v>983397.17</v>
      </c>
      <c r="P14" s="12" t="n">
        <v>26700000</v>
      </c>
      <c r="Q14" s="9" t="inlineStr">
        <is>
          <t>Low</t>
        </is>
      </c>
      <c r="R14" s="11">
        <f>IFERROR(O14/K14,0)</f>
        <v/>
      </c>
    </row>
    <row r="15">
      <c r="A15" s="9" t="inlineStr">
        <is>
          <t>T0027</t>
        </is>
      </c>
      <c r="B15" s="9" t="inlineStr">
        <is>
          <t>Atlas Indemnity</t>
        </is>
      </c>
      <c r="C15" s="9" t="inlineStr">
        <is>
          <t>Property</t>
        </is>
      </c>
      <c r="D15" s="9" t="inlineStr">
        <is>
          <t>North America</t>
        </is>
      </c>
      <c r="E15" s="9" t="inlineStr">
        <is>
          <t>Omar Haddad</t>
        </is>
      </c>
      <c r="F15" s="9" t="inlineStr">
        <is>
          <t>Excess of Loss</t>
        </is>
      </c>
      <c r="G15" s="9" t="n">
        <v>2021</v>
      </c>
      <c r="H15" s="12" t="n">
        <v>5400000</v>
      </c>
      <c r="I15" s="12" t="n">
        <v>668835</v>
      </c>
      <c r="J15" s="12" t="n">
        <v>75437.75999999999</v>
      </c>
      <c r="K15" s="12" t="n">
        <v>668835</v>
      </c>
      <c r="L15" s="12" t="n">
        <v>68647.43999999999</v>
      </c>
      <c r="M15" s="9" t="n">
        <v>6</v>
      </c>
      <c r="N15" s="12" t="n">
        <v>353153.38</v>
      </c>
      <c r="O15" s="12" t="n">
        <v>505516.42</v>
      </c>
      <c r="P15" s="12" t="n">
        <v>5400000</v>
      </c>
      <c r="Q15" s="9" t="inlineStr">
        <is>
          <t>Low</t>
        </is>
      </c>
      <c r="R15" s="11">
        <f>IFERROR(O15/K15,0)</f>
        <v/>
      </c>
    </row>
    <row r="16">
      <c r="A16" s="9" t="inlineStr">
        <is>
          <t>T0028</t>
        </is>
      </c>
      <c r="B16" s="9" t="inlineStr">
        <is>
          <t>Atlas Assurance</t>
        </is>
      </c>
      <c r="C16" s="9" t="inlineStr">
        <is>
          <t>Casualty</t>
        </is>
      </c>
      <c r="D16" s="9" t="inlineStr">
        <is>
          <t>North America</t>
        </is>
      </c>
      <c r="E16" s="9" t="inlineStr">
        <is>
          <t>Sophie Laurent</t>
        </is>
      </c>
      <c r="F16" s="9" t="inlineStr">
        <is>
          <t>Excess of Loss</t>
        </is>
      </c>
      <c r="G16" s="9" t="n">
        <v>2026</v>
      </c>
      <c r="H16" s="12" t="n">
        <v>9300000</v>
      </c>
      <c r="I16" s="12" t="n">
        <v>523700.59</v>
      </c>
      <c r="J16" s="12" t="n">
        <v>58236.57</v>
      </c>
      <c r="K16" s="12" t="n">
        <v>496268.65</v>
      </c>
      <c r="L16" s="12" t="n">
        <v>33198.44004345021</v>
      </c>
      <c r="M16" s="9" t="n">
        <v>7</v>
      </c>
      <c r="N16" s="12" t="n">
        <v>60006.2</v>
      </c>
      <c r="O16" s="12" t="n">
        <v>161987.87</v>
      </c>
      <c r="P16" s="12" t="n">
        <v>9300000</v>
      </c>
      <c r="Q16" s="9" t="inlineStr">
        <is>
          <t>Low</t>
        </is>
      </c>
      <c r="R16" s="11">
        <f>IFERROR(O16/K16,0)</f>
        <v/>
      </c>
    </row>
    <row r="17">
      <c r="A17" s="9" t="inlineStr">
        <is>
          <t>T0029</t>
        </is>
      </c>
      <c r="B17" s="9" t="inlineStr">
        <is>
          <t>Orion General</t>
        </is>
      </c>
      <c r="C17" s="9" t="inlineStr">
        <is>
          <t>Specialty</t>
        </is>
      </c>
      <c r="D17" s="9" t="inlineStr">
        <is>
          <t>North America</t>
        </is>
      </c>
      <c r="E17" s="9" t="inlineStr">
        <is>
          <t>James Whitfield</t>
        </is>
      </c>
      <c r="F17" s="9" t="inlineStr">
        <is>
          <t>Excess of Loss</t>
        </is>
      </c>
      <c r="G17" s="9" t="n">
        <v>2025</v>
      </c>
      <c r="H17" s="12" t="n">
        <v>11300000</v>
      </c>
      <c r="I17" s="12" t="n">
        <v>1214804.88</v>
      </c>
      <c r="J17" s="12" t="n">
        <v>76487.16</v>
      </c>
      <c r="K17" s="12" t="n">
        <v>1214804.88</v>
      </c>
      <c r="L17" s="12" t="n">
        <v>130014.12</v>
      </c>
      <c r="M17" s="9" t="n">
        <v>7</v>
      </c>
      <c r="N17" s="12" t="n">
        <v>770548.28</v>
      </c>
      <c r="O17" s="12" t="n">
        <v>815944.88</v>
      </c>
      <c r="P17" s="12" t="n">
        <v>11300000</v>
      </c>
      <c r="Q17" s="9" t="inlineStr">
        <is>
          <t>Low</t>
        </is>
      </c>
      <c r="R17" s="11">
        <f>IFERROR(O17/K17,0)</f>
        <v/>
      </c>
    </row>
    <row r="18">
      <c r="A18" s="9" t="inlineStr">
        <is>
          <t>T0033</t>
        </is>
      </c>
      <c r="B18" s="9" t="inlineStr">
        <is>
          <t>Atlas Assurance</t>
        </is>
      </c>
      <c r="C18" s="9" t="inlineStr">
        <is>
          <t>Casualty</t>
        </is>
      </c>
      <c r="D18" s="9" t="inlineStr">
        <is>
          <t>North America</t>
        </is>
      </c>
      <c r="E18" s="9" t="inlineStr">
        <is>
          <t>Sophie Laurent</t>
        </is>
      </c>
      <c r="F18" s="9" t="inlineStr">
        <is>
          <t>Facultative</t>
        </is>
      </c>
      <c r="G18" s="9" t="n">
        <v>2024</v>
      </c>
      <c r="H18" s="12" t="n">
        <v>9700000</v>
      </c>
      <c r="I18" s="12" t="n">
        <v>1780102.92</v>
      </c>
      <c r="J18" s="12" t="n">
        <v>106226.52</v>
      </c>
      <c r="K18" s="12" t="n">
        <v>1780102.92</v>
      </c>
      <c r="L18" s="12" t="n">
        <v>330347.76</v>
      </c>
      <c r="M18" s="9" t="n">
        <v>10</v>
      </c>
      <c r="N18" s="12" t="n">
        <v>1038087.48</v>
      </c>
      <c r="O18" s="12" t="n">
        <v>1389741.76</v>
      </c>
      <c r="P18" s="12" t="n">
        <v>9700000</v>
      </c>
      <c r="Q18" s="9" t="inlineStr">
        <is>
          <t>Low</t>
        </is>
      </c>
      <c r="R18" s="11">
        <f>IFERROR(O18/K18,0)</f>
        <v/>
      </c>
    </row>
    <row r="19">
      <c r="A19" s="9" t="inlineStr">
        <is>
          <t>T0034</t>
        </is>
      </c>
      <c r="B19" s="9" t="inlineStr">
        <is>
          <t>Harbor Indemnity</t>
        </is>
      </c>
      <c r="C19" s="9" t="inlineStr">
        <is>
          <t>Property</t>
        </is>
      </c>
      <c r="D19" s="9" t="inlineStr">
        <is>
          <t>North America</t>
        </is>
      </c>
      <c r="E19" s="9" t="inlineStr">
        <is>
          <t>Aarav Mehta</t>
        </is>
      </c>
      <c r="F19" s="9" t="inlineStr">
        <is>
          <t>Excess of Loss</t>
        </is>
      </c>
      <c r="G19" s="9" t="n">
        <v>2022</v>
      </c>
      <c r="H19" s="12" t="n">
        <v>2500000</v>
      </c>
      <c r="I19" s="12" t="n">
        <v>388637.28</v>
      </c>
      <c r="J19" s="12" t="n">
        <v>42647.52</v>
      </c>
      <c r="K19" s="12" t="n">
        <v>388637.28</v>
      </c>
      <c r="L19" s="12" t="n">
        <v>42540.48</v>
      </c>
      <c r="M19" s="9" t="n">
        <v>12</v>
      </c>
      <c r="N19" s="12" t="n">
        <v>244611.89</v>
      </c>
      <c r="O19" s="12" t="n">
        <v>249916.27</v>
      </c>
      <c r="P19" s="12" t="n">
        <v>2500000</v>
      </c>
      <c r="Q19" s="9" t="inlineStr">
        <is>
          <t>Low</t>
        </is>
      </c>
      <c r="R19" s="11">
        <f>IFERROR(O19/K19,0)</f>
        <v/>
      </c>
    </row>
    <row r="20">
      <c r="A20" s="9" t="inlineStr">
        <is>
          <t>T0035</t>
        </is>
      </c>
      <c r="B20" s="9" t="inlineStr">
        <is>
          <t>Northwind Indemnity</t>
        </is>
      </c>
      <c r="C20" s="9" t="inlineStr">
        <is>
          <t>Property</t>
        </is>
      </c>
      <c r="D20" s="9" t="inlineStr">
        <is>
          <t>North America</t>
        </is>
      </c>
      <c r="E20" s="9" t="inlineStr">
        <is>
          <t>Kenji Sato</t>
        </is>
      </c>
      <c r="F20" s="9" t="inlineStr">
        <is>
          <t>Facultative</t>
        </is>
      </c>
      <c r="G20" s="9" t="n">
        <v>2025</v>
      </c>
      <c r="H20" s="12" t="n">
        <v>12900000</v>
      </c>
      <c r="I20" s="12" t="n">
        <v>1178078</v>
      </c>
      <c r="J20" s="12" t="n">
        <v>85160.8</v>
      </c>
      <c r="K20" s="12" t="n">
        <v>1064197.13</v>
      </c>
      <c r="L20" s="12" t="n">
        <v>212022.6319974416</v>
      </c>
      <c r="M20" s="9" t="n">
        <v>9</v>
      </c>
      <c r="N20" s="12" t="n">
        <v>604598.28</v>
      </c>
      <c r="O20" s="12" t="n">
        <v>1652888.43</v>
      </c>
      <c r="P20" s="12" t="n">
        <v>12900000</v>
      </c>
      <c r="Q20" s="9" t="inlineStr">
        <is>
          <t>Low</t>
        </is>
      </c>
      <c r="R20" s="11">
        <f>IFERROR(O20/K20,0)</f>
        <v/>
      </c>
    </row>
    <row r="21">
      <c r="A21" s="9" t="inlineStr">
        <is>
          <t>T0036</t>
        </is>
      </c>
      <c r="B21" s="9" t="inlineStr">
        <is>
          <t>Orion Assurance</t>
        </is>
      </c>
      <c r="C21" s="9" t="inlineStr">
        <is>
          <t>Specialty</t>
        </is>
      </c>
      <c r="D21" s="9" t="inlineStr">
        <is>
          <t>North America</t>
        </is>
      </c>
      <c r="E21" s="9" t="inlineStr">
        <is>
          <t>Kenji Sato</t>
        </is>
      </c>
      <c r="F21" s="9" t="inlineStr">
        <is>
          <t>Proportional</t>
        </is>
      </c>
      <c r="G21" s="9" t="n">
        <v>2022</v>
      </c>
      <c r="H21" s="12" t="n">
        <v>13800000</v>
      </c>
      <c r="I21" s="12" t="n">
        <v>2626059.24</v>
      </c>
      <c r="J21" s="12" t="n">
        <v>267071.88</v>
      </c>
      <c r="K21" s="12" t="n">
        <v>2626059.24</v>
      </c>
      <c r="L21" s="12" t="n">
        <v>668720.3999999999</v>
      </c>
      <c r="M21" s="9" t="n">
        <v>11</v>
      </c>
      <c r="N21" s="12" t="n">
        <v>1444879.5</v>
      </c>
      <c r="O21" s="12" t="n">
        <v>1472520.62</v>
      </c>
      <c r="P21" s="12" t="n">
        <v>2760000</v>
      </c>
      <c r="Q21" s="9" t="inlineStr">
        <is>
          <t>Low</t>
        </is>
      </c>
      <c r="R21" s="11">
        <f>IFERROR(O21/K21,0)</f>
        <v/>
      </c>
    </row>
    <row r="22">
      <c r="A22" s="9" t="inlineStr">
        <is>
          <t>T0040</t>
        </is>
      </c>
      <c r="B22" s="9" t="inlineStr">
        <is>
          <t>Meridian General</t>
        </is>
      </c>
      <c r="C22" s="9" t="inlineStr">
        <is>
          <t>Casualty</t>
        </is>
      </c>
      <c r="D22" s="9" t="inlineStr">
        <is>
          <t>North America</t>
        </is>
      </c>
      <c r="E22" s="9" t="inlineStr">
        <is>
          <t>Aarav Mehta</t>
        </is>
      </c>
      <c r="F22" s="9" t="inlineStr">
        <is>
          <t>Excess of Loss</t>
        </is>
      </c>
      <c r="G22" s="9" t="n">
        <v>2024</v>
      </c>
      <c r="H22" s="12" t="n">
        <v>7400000</v>
      </c>
      <c r="I22" s="12" t="n">
        <v>856639.7999999999</v>
      </c>
      <c r="J22" s="12" t="n">
        <v>51789.12</v>
      </c>
      <c r="K22" s="12" t="n">
        <v>856639.7999999999</v>
      </c>
      <c r="L22" s="12" t="n">
        <v>66518.52</v>
      </c>
      <c r="M22" s="9" t="n">
        <v>8</v>
      </c>
      <c r="N22" s="12" t="n">
        <v>312973.23</v>
      </c>
      <c r="O22" s="12" t="n">
        <v>339083.31</v>
      </c>
      <c r="P22" s="12" t="n">
        <v>7400000</v>
      </c>
      <c r="Q22" s="9" t="inlineStr">
        <is>
          <t>Low</t>
        </is>
      </c>
      <c r="R22" s="11">
        <f>IFERROR(O22/K22,0)</f>
        <v/>
      </c>
    </row>
    <row r="23">
      <c r="A23" s="9" t="inlineStr">
        <is>
          <t>T0041</t>
        </is>
      </c>
      <c r="B23" s="9" t="inlineStr">
        <is>
          <t>Evergreen Assurance</t>
        </is>
      </c>
      <c r="C23" s="9" t="inlineStr">
        <is>
          <t>Property</t>
        </is>
      </c>
      <c r="D23" s="9" t="inlineStr">
        <is>
          <t>North America</t>
        </is>
      </c>
      <c r="E23" s="9" t="inlineStr">
        <is>
          <t>Aarav Mehta</t>
        </is>
      </c>
      <c r="F23" s="9" t="inlineStr">
        <is>
          <t>Proportional</t>
        </is>
      </c>
      <c r="G23" s="9" t="n">
        <v>2022</v>
      </c>
      <c r="H23" s="12" t="n">
        <v>16900000</v>
      </c>
      <c r="I23" s="12" t="n">
        <v>1834796.04</v>
      </c>
      <c r="J23" s="12" t="n">
        <v>185643.72</v>
      </c>
      <c r="K23" s="12" t="n">
        <v>1834796.04</v>
      </c>
      <c r="L23" s="12" t="n">
        <v>538236.48</v>
      </c>
      <c r="M23" s="9" t="n">
        <v>5</v>
      </c>
      <c r="N23" s="12" t="n">
        <v>1362667.83</v>
      </c>
      <c r="O23" s="12" t="n">
        <v>1362667.83</v>
      </c>
      <c r="P23" s="12" t="n">
        <v>8450000</v>
      </c>
      <c r="Q23" s="9" t="inlineStr">
        <is>
          <t>Low</t>
        </is>
      </c>
      <c r="R23" s="11">
        <f>IFERROR(O23/K23,0)</f>
        <v/>
      </c>
    </row>
    <row r="24">
      <c r="A24" s="9" t="inlineStr">
        <is>
          <t>T0045</t>
        </is>
      </c>
      <c r="B24" s="9" t="inlineStr">
        <is>
          <t>Cobalt Indemnity</t>
        </is>
      </c>
      <c r="C24" s="9" t="inlineStr">
        <is>
          <t>Casualty</t>
        </is>
      </c>
      <c r="D24" s="9" t="inlineStr">
        <is>
          <t>North America</t>
        </is>
      </c>
      <c r="E24" s="9" t="inlineStr">
        <is>
          <t>James Whitfield</t>
        </is>
      </c>
      <c r="F24" s="9" t="inlineStr">
        <is>
          <t>Excess of Loss</t>
        </is>
      </c>
      <c r="G24" s="9" t="n">
        <v>2023</v>
      </c>
      <c r="H24" s="12" t="n">
        <v>24200000</v>
      </c>
      <c r="I24" s="12" t="n">
        <v>1774479</v>
      </c>
      <c r="J24" s="12" t="n">
        <v>125338.92</v>
      </c>
      <c r="K24" s="12" t="n">
        <v>1774479</v>
      </c>
      <c r="L24" s="12" t="n">
        <v>102473.4</v>
      </c>
      <c r="M24" s="9" t="n">
        <v>10</v>
      </c>
      <c r="N24" s="12" t="n">
        <v>1291645.55</v>
      </c>
      <c r="O24" s="12" t="n">
        <v>1384472.7</v>
      </c>
      <c r="P24" s="12" t="n">
        <v>24200000</v>
      </c>
      <c r="Q24" s="9" t="inlineStr">
        <is>
          <t>Low</t>
        </is>
      </c>
      <c r="R24" s="11">
        <f>IFERROR(O24/K24,0)</f>
        <v/>
      </c>
    </row>
    <row r="25">
      <c r="A25" s="9" t="inlineStr">
        <is>
          <t>T0047</t>
        </is>
      </c>
      <c r="B25" s="9" t="inlineStr">
        <is>
          <t>Northwind Indemnity</t>
        </is>
      </c>
      <c r="C25" s="9" t="inlineStr">
        <is>
          <t>Specialty</t>
        </is>
      </c>
      <c r="D25" s="9" t="inlineStr">
        <is>
          <t>North America</t>
        </is>
      </c>
      <c r="E25" s="9" t="inlineStr">
        <is>
          <t>Unassigned</t>
        </is>
      </c>
      <c r="F25" s="9" t="inlineStr">
        <is>
          <t>Excess of Loss</t>
        </is>
      </c>
      <c r="G25" s="9" t="n">
        <v>2022</v>
      </c>
      <c r="H25" s="12" t="n">
        <v>11000000</v>
      </c>
      <c r="I25" s="12" t="n">
        <v>1074105.12</v>
      </c>
      <c r="J25" s="12" t="n">
        <v>110848.8</v>
      </c>
      <c r="K25" s="12" t="n">
        <v>1074105.12</v>
      </c>
      <c r="L25" s="12" t="n">
        <v>81618.72</v>
      </c>
      <c r="M25" s="9" t="n">
        <v>13</v>
      </c>
      <c r="N25" s="12" t="n">
        <v>376133.45</v>
      </c>
      <c r="O25" s="12" t="n">
        <v>376133.45</v>
      </c>
      <c r="P25" s="12" t="n">
        <v>11000000</v>
      </c>
      <c r="Q25" s="9" t="inlineStr">
        <is>
          <t>Low</t>
        </is>
      </c>
      <c r="R25" s="11">
        <f>IFERROR(O25/K25,0)</f>
        <v/>
      </c>
    </row>
    <row r="26">
      <c r="A26" s="9" t="inlineStr">
        <is>
          <t>T0052</t>
        </is>
      </c>
      <c r="B26" s="9" t="inlineStr">
        <is>
          <t>Summit General</t>
        </is>
      </c>
      <c r="C26" s="9" t="inlineStr">
        <is>
          <t>Property</t>
        </is>
      </c>
      <c r="D26" s="9" t="inlineStr">
        <is>
          <t>North America</t>
        </is>
      </c>
      <c r="E26" s="9" t="inlineStr">
        <is>
          <t>Sophie Laurent</t>
        </is>
      </c>
      <c r="F26" s="9" t="inlineStr">
        <is>
          <t>Proportional</t>
        </is>
      </c>
      <c r="G26" s="9" t="n">
        <v>2026</v>
      </c>
      <c r="H26" s="12" t="n">
        <v>9300000</v>
      </c>
      <c r="I26" s="12" t="n">
        <v>254761.68</v>
      </c>
      <c r="J26" s="12" t="n">
        <v>20548.88</v>
      </c>
      <c r="K26" s="12" t="n">
        <v>222916.47</v>
      </c>
      <c r="L26" s="12" t="n">
        <v>62922.825</v>
      </c>
      <c r="M26" s="9" t="n">
        <v>1</v>
      </c>
      <c r="N26" s="12" t="n">
        <v>30229.38</v>
      </c>
      <c r="O26" s="12" t="n">
        <v>97854.43000000001</v>
      </c>
      <c r="P26" s="12" t="n">
        <v>1860000</v>
      </c>
      <c r="Q26" s="9" t="inlineStr">
        <is>
          <t>Low</t>
        </is>
      </c>
      <c r="R26" s="11">
        <f>IFERROR(O26/K26,0)</f>
        <v/>
      </c>
    </row>
    <row r="27">
      <c r="A27" s="9" t="inlineStr">
        <is>
          <t>T0053</t>
        </is>
      </c>
      <c r="B27" s="9" t="inlineStr">
        <is>
          <t>Harbor Insurance</t>
        </is>
      </c>
      <c r="C27" s="9" t="inlineStr">
        <is>
          <t>Property</t>
        </is>
      </c>
      <c r="D27" s="9" t="inlineStr">
        <is>
          <t>North America</t>
        </is>
      </c>
      <c r="E27" s="9" t="inlineStr">
        <is>
          <t>Priya Nair</t>
        </is>
      </c>
      <c r="F27" s="9" t="inlineStr">
        <is>
          <t>Proportional</t>
        </is>
      </c>
      <c r="G27" s="9" t="n">
        <v>2026</v>
      </c>
      <c r="H27" s="12" t="n">
        <v>6900000</v>
      </c>
      <c r="I27" s="12" t="n">
        <v>187731.14</v>
      </c>
      <c r="J27" s="12" t="n">
        <v>13580.64</v>
      </c>
      <c r="K27" s="12" t="n">
        <v>147056.06</v>
      </c>
      <c r="L27" s="12" t="n">
        <v>34592.39174507756</v>
      </c>
      <c r="M27" s="9" t="n">
        <v>2</v>
      </c>
      <c r="N27" s="12" t="n">
        <v>43094.58</v>
      </c>
      <c r="O27" s="12" t="n">
        <v>117440.68</v>
      </c>
      <c r="P27" s="12" t="n">
        <v>1380000</v>
      </c>
      <c r="Q27" s="9" t="inlineStr">
        <is>
          <t>Low</t>
        </is>
      </c>
      <c r="R27" s="11">
        <f>IFERROR(O27/K27,0)</f>
        <v/>
      </c>
    </row>
    <row r="28">
      <c r="A28" s="9" t="inlineStr">
        <is>
          <t>T0055</t>
        </is>
      </c>
      <c r="B28" s="9" t="inlineStr">
        <is>
          <t>Harbor Mutual</t>
        </is>
      </c>
      <c r="C28" s="9" t="inlineStr">
        <is>
          <t>Professional</t>
        </is>
      </c>
      <c r="D28" s="9" t="inlineStr">
        <is>
          <t>North America</t>
        </is>
      </c>
      <c r="E28" s="9" t="inlineStr">
        <is>
          <t>Sophie Laurent</t>
        </is>
      </c>
      <c r="F28" s="9" t="inlineStr">
        <is>
          <t>Proportional</t>
        </is>
      </c>
      <c r="G28" s="9" t="n">
        <v>2026</v>
      </c>
      <c r="H28" s="12" t="n">
        <v>12600000</v>
      </c>
      <c r="I28" s="12" t="n">
        <v>464382.54</v>
      </c>
      <c r="J28" s="12" t="n">
        <v>39762.96</v>
      </c>
      <c r="K28" s="12" t="n">
        <v>410204.58</v>
      </c>
      <c r="L28" s="12" t="n">
        <v>105272.2577699007</v>
      </c>
      <c r="M28" s="9" t="n">
        <v>4</v>
      </c>
      <c r="N28" s="12" t="n">
        <v>84541.45999999999</v>
      </c>
      <c r="O28" s="12" t="n">
        <v>240135.71</v>
      </c>
      <c r="P28" s="12" t="n">
        <v>3150000</v>
      </c>
      <c r="Q28" s="9" t="inlineStr">
        <is>
          <t>Low</t>
        </is>
      </c>
      <c r="R28" s="11">
        <f>IFERROR(O28/K28,0)</f>
        <v/>
      </c>
    </row>
    <row r="29">
      <c r="A29" s="9" t="inlineStr">
        <is>
          <t>T0056</t>
        </is>
      </c>
      <c r="B29" s="9" t="inlineStr">
        <is>
          <t>Vantage General</t>
        </is>
      </c>
      <c r="C29" s="9" t="inlineStr">
        <is>
          <t>Casualty</t>
        </is>
      </c>
      <c r="D29" s="9" t="inlineStr">
        <is>
          <t>North America</t>
        </is>
      </c>
      <c r="E29" s="9" t="inlineStr">
        <is>
          <t>Hannah Weber</t>
        </is>
      </c>
      <c r="F29" s="9" t="inlineStr">
        <is>
          <t>Excess of Loss</t>
        </is>
      </c>
      <c r="G29" s="9" t="n">
        <v>2024</v>
      </c>
      <c r="H29" s="12" t="n">
        <v>6700000</v>
      </c>
      <c r="I29" s="12" t="n">
        <v>753202.08</v>
      </c>
      <c r="J29" s="12" t="n">
        <v>38702.28</v>
      </c>
      <c r="K29" s="12" t="n">
        <v>753202.08</v>
      </c>
      <c r="L29" s="12" t="n">
        <v>72852.95999999999</v>
      </c>
      <c r="M29" s="9" t="n">
        <v>8</v>
      </c>
      <c r="N29" s="12" t="n">
        <v>482387</v>
      </c>
      <c r="O29" s="12" t="n">
        <v>612656.86</v>
      </c>
      <c r="P29" s="12" t="n">
        <v>6700000</v>
      </c>
      <c r="Q29" s="9" t="inlineStr">
        <is>
          <t>Low</t>
        </is>
      </c>
      <c r="R29" s="11">
        <f>IFERROR(O29/K29,0)</f>
        <v/>
      </c>
    </row>
    <row r="30">
      <c r="A30" s="9" t="inlineStr">
        <is>
          <t>T0058</t>
        </is>
      </c>
      <c r="B30" s="9" t="inlineStr">
        <is>
          <t>Cobalt Indemnity</t>
        </is>
      </c>
      <c r="C30" s="9" t="inlineStr">
        <is>
          <t>Specialty</t>
        </is>
      </c>
      <c r="D30" s="9" t="inlineStr">
        <is>
          <t>North America</t>
        </is>
      </c>
      <c r="E30" s="9" t="inlineStr">
        <is>
          <t>Carlos Ibarra</t>
        </is>
      </c>
      <c r="F30" s="9" t="inlineStr">
        <is>
          <t>Proportional</t>
        </is>
      </c>
      <c r="G30" s="9" t="n">
        <v>2025</v>
      </c>
      <c r="H30" s="12" t="n">
        <v>2300000</v>
      </c>
      <c r="I30" s="12" t="n">
        <v>219433.44</v>
      </c>
      <c r="J30" s="12" t="n">
        <v>17116.8</v>
      </c>
      <c r="K30" s="12" t="n">
        <v>215166.68</v>
      </c>
      <c r="L30" s="12" t="n">
        <v>54232.56700273212</v>
      </c>
      <c r="M30" s="9" t="n">
        <v>12</v>
      </c>
      <c r="N30" s="12" t="n">
        <v>689802.7</v>
      </c>
      <c r="O30" s="12" t="n">
        <v>3184909.96</v>
      </c>
      <c r="P30" s="12" t="n">
        <v>1150000</v>
      </c>
      <c r="Q30" s="9" t="inlineStr">
        <is>
          <t>Critical</t>
        </is>
      </c>
      <c r="R30" s="11">
        <f>IFERROR(O30/K30,0)</f>
        <v/>
      </c>
    </row>
    <row r="31">
      <c r="A31" s="9" t="inlineStr">
        <is>
          <t>T0060</t>
        </is>
      </c>
      <c r="B31" s="9" t="inlineStr">
        <is>
          <t>Harbor Indemnity</t>
        </is>
      </c>
      <c r="C31" s="9" t="inlineStr">
        <is>
          <t>Professional</t>
        </is>
      </c>
      <c r="D31" s="9" t="inlineStr">
        <is>
          <t>North America</t>
        </is>
      </c>
      <c r="E31" s="9" t="inlineStr">
        <is>
          <t>Hannah Weber</t>
        </is>
      </c>
      <c r="F31" s="9" t="inlineStr">
        <is>
          <t>Excess of Loss</t>
        </is>
      </c>
      <c r="G31" s="9" t="n">
        <v>2026</v>
      </c>
      <c r="H31" s="12" t="n">
        <v>5800000</v>
      </c>
      <c r="I31" s="12" t="n">
        <v>284217.22</v>
      </c>
      <c r="J31" s="12" t="n">
        <v>19340.02</v>
      </c>
      <c r="K31" s="12" t="n">
        <v>282863.8</v>
      </c>
      <c r="L31" s="12" t="n">
        <v>18899.80002152579</v>
      </c>
      <c r="M31" s="9" t="n">
        <v>7</v>
      </c>
      <c r="N31" s="12" t="n">
        <v>42157.2</v>
      </c>
      <c r="O31" s="12" t="n">
        <v>98963.59</v>
      </c>
      <c r="P31" s="12" t="n">
        <v>5800000</v>
      </c>
      <c r="Q31" s="9" t="inlineStr">
        <is>
          <t>Low</t>
        </is>
      </c>
      <c r="R31" s="11">
        <f>IFERROR(O31/K31,0)</f>
        <v/>
      </c>
    </row>
    <row r="32">
      <c r="A32" s="9" t="inlineStr">
        <is>
          <t>T0062</t>
        </is>
      </c>
      <c r="B32" s="9" t="inlineStr">
        <is>
          <t>Crown General</t>
        </is>
      </c>
      <c r="C32" s="9" t="inlineStr">
        <is>
          <t>Casualty</t>
        </is>
      </c>
      <c r="D32" s="9" t="inlineStr">
        <is>
          <t>North America</t>
        </is>
      </c>
      <c r="E32" s="9" t="inlineStr">
        <is>
          <t>Priya Nair</t>
        </is>
      </c>
      <c r="F32" s="9" t="inlineStr">
        <is>
          <t>Proportional</t>
        </is>
      </c>
      <c r="G32" s="9" t="n">
        <v>2026</v>
      </c>
      <c r="H32" s="12" t="n">
        <v>6800000</v>
      </c>
      <c r="I32" s="12" t="n">
        <v>429583.52</v>
      </c>
      <c r="J32" s="12" t="n">
        <v>45257.36</v>
      </c>
      <c r="K32" s="12" t="n">
        <v>424213.73</v>
      </c>
      <c r="L32" s="12" t="n">
        <v>132901.9382531602</v>
      </c>
      <c r="M32" s="9" t="n">
        <v>4</v>
      </c>
      <c r="N32" s="12" t="n">
        <v>39771.92</v>
      </c>
      <c r="O32" s="12" t="n">
        <v>253487.96</v>
      </c>
      <c r="P32" s="12" t="n">
        <v>680000</v>
      </c>
      <c r="Q32" s="9" t="inlineStr">
        <is>
          <t>Low</t>
        </is>
      </c>
      <c r="R32" s="11">
        <f>IFERROR(O32/K32,0)</f>
        <v/>
      </c>
    </row>
    <row r="33">
      <c r="A33" s="9" t="inlineStr">
        <is>
          <t>T0066</t>
        </is>
      </c>
      <c r="B33" s="9" t="inlineStr">
        <is>
          <t>Atlas Indemnity</t>
        </is>
      </c>
      <c r="C33" s="9" t="inlineStr">
        <is>
          <t>Property</t>
        </is>
      </c>
      <c r="D33" s="9" t="inlineStr">
        <is>
          <t>North America</t>
        </is>
      </c>
      <c r="E33" s="9" t="inlineStr">
        <is>
          <t>James Whitfield</t>
        </is>
      </c>
      <c r="F33" s="9" t="inlineStr">
        <is>
          <t>Proportional</t>
        </is>
      </c>
      <c r="G33" s="9" t="n">
        <v>2021</v>
      </c>
      <c r="H33" s="12" t="n">
        <v>12500000</v>
      </c>
      <c r="I33" s="12" t="n">
        <v>1145701.68</v>
      </c>
      <c r="J33" s="12" t="n">
        <v>100507.68</v>
      </c>
      <c r="K33" s="12" t="n">
        <v>1145701.68</v>
      </c>
      <c r="L33" s="12" t="n">
        <v>346360.2</v>
      </c>
      <c r="M33" s="9" t="n">
        <v>8</v>
      </c>
      <c r="N33" s="12" t="n">
        <v>436281.52</v>
      </c>
      <c r="O33" s="12" t="n">
        <v>498070.18</v>
      </c>
      <c r="P33" s="12" t="n">
        <v>3125000</v>
      </c>
      <c r="Q33" s="9" t="inlineStr">
        <is>
          <t>Low</t>
        </is>
      </c>
      <c r="R33" s="11">
        <f>IFERROR(O33/K33,0)</f>
        <v/>
      </c>
    </row>
    <row r="34">
      <c r="A34" s="9" t="inlineStr">
        <is>
          <t>T0072</t>
        </is>
      </c>
      <c r="B34" s="9" t="inlineStr">
        <is>
          <t>Atlas Indemnity</t>
        </is>
      </c>
      <c r="C34" s="9" t="inlineStr">
        <is>
          <t>Property</t>
        </is>
      </c>
      <c r="D34" s="9" t="inlineStr">
        <is>
          <t>North America</t>
        </is>
      </c>
      <c r="E34" s="9" t="inlineStr">
        <is>
          <t>Aarav Mehta</t>
        </is>
      </c>
      <c r="F34" s="9" t="inlineStr">
        <is>
          <t>Excess of Loss</t>
        </is>
      </c>
      <c r="G34" s="9" t="n">
        <v>2024</v>
      </c>
      <c r="H34" s="12" t="n">
        <v>3400000</v>
      </c>
      <c r="I34" s="12" t="n">
        <v>492959.76</v>
      </c>
      <c r="J34" s="12" t="n">
        <v>54333.84</v>
      </c>
      <c r="K34" s="12" t="n">
        <v>492959.76</v>
      </c>
      <c r="L34" s="12" t="n">
        <v>39235.32</v>
      </c>
      <c r="M34" s="9" t="n">
        <v>8</v>
      </c>
      <c r="N34" s="12" t="n">
        <v>297681.98</v>
      </c>
      <c r="O34" s="12" t="n">
        <v>297681.98</v>
      </c>
      <c r="P34" s="12" t="n">
        <v>3400000</v>
      </c>
      <c r="Q34" s="9" t="inlineStr">
        <is>
          <t>Low</t>
        </is>
      </c>
      <c r="R34" s="11">
        <f>IFERROR(O34/K34,0)</f>
        <v/>
      </c>
    </row>
    <row r="35">
      <c r="A35" s="9" t="inlineStr">
        <is>
          <t>T0074</t>
        </is>
      </c>
      <c r="B35" s="9" t="inlineStr">
        <is>
          <t>Northwind Indemnity</t>
        </is>
      </c>
      <c r="C35" s="9" t="inlineStr">
        <is>
          <t>Property</t>
        </is>
      </c>
      <c r="D35" s="9" t="inlineStr">
        <is>
          <t>North America</t>
        </is>
      </c>
      <c r="E35" s="9" t="inlineStr">
        <is>
          <t>Kenji Sato</t>
        </is>
      </c>
      <c r="F35" s="9" t="inlineStr">
        <is>
          <t>Excess of Loss</t>
        </is>
      </c>
      <c r="G35" s="9" t="n">
        <v>2025</v>
      </c>
      <c r="H35" s="12" t="n">
        <v>58600000</v>
      </c>
      <c r="I35" s="12" t="n">
        <v>3494288.9</v>
      </c>
      <c r="J35" s="12" t="n">
        <v>315814.8</v>
      </c>
      <c r="K35" s="12" t="n">
        <v>3296279.2</v>
      </c>
      <c r="L35" s="12" t="n">
        <v>239558.9343149274</v>
      </c>
      <c r="M35" s="9" t="n">
        <v>6</v>
      </c>
      <c r="N35" s="12" t="n">
        <v>2426928.13</v>
      </c>
      <c r="O35" s="12" t="n">
        <v>3144842.2</v>
      </c>
      <c r="P35" s="12" t="n">
        <v>58600000</v>
      </c>
      <c r="Q35" s="9" t="inlineStr">
        <is>
          <t>Low</t>
        </is>
      </c>
      <c r="R35" s="11">
        <f>IFERROR(O35/K35,0)</f>
        <v/>
      </c>
    </row>
    <row r="36">
      <c r="A36" s="9" t="inlineStr">
        <is>
          <t>T0077</t>
        </is>
      </c>
      <c r="B36" s="9" t="inlineStr">
        <is>
          <t>Northwind Assurance</t>
        </is>
      </c>
      <c r="C36" s="9" t="inlineStr">
        <is>
          <t>Casualty</t>
        </is>
      </c>
      <c r="D36" s="9" t="inlineStr">
        <is>
          <t>North America</t>
        </is>
      </c>
      <c r="E36" s="9" t="inlineStr">
        <is>
          <t>Sophie Laurent</t>
        </is>
      </c>
      <c r="F36" s="9" t="inlineStr">
        <is>
          <t>Proportional</t>
        </is>
      </c>
      <c r="G36" s="9" t="n">
        <v>2023</v>
      </c>
      <c r="H36" s="12" t="n">
        <v>15600000</v>
      </c>
      <c r="I36" s="12" t="n">
        <v>1354882.44</v>
      </c>
      <c r="J36" s="12" t="n">
        <v>92158.56</v>
      </c>
      <c r="K36" s="12" t="n">
        <v>1354882.44</v>
      </c>
      <c r="L36" s="12" t="n">
        <v>350792.16</v>
      </c>
      <c r="M36" s="9" t="n">
        <v>7</v>
      </c>
      <c r="N36" s="12" t="n">
        <v>1029294.59</v>
      </c>
      <c r="O36" s="12" t="n">
        <v>1029294.59</v>
      </c>
      <c r="P36" s="12" t="n">
        <v>3120000</v>
      </c>
      <c r="Q36" s="9" t="inlineStr">
        <is>
          <t>Low</t>
        </is>
      </c>
      <c r="R36" s="11">
        <f>IFERROR(O36/K36,0)</f>
        <v/>
      </c>
    </row>
    <row r="37">
      <c r="A37" s="9" t="inlineStr">
        <is>
          <t>T0082</t>
        </is>
      </c>
      <c r="B37" s="9" t="inlineStr">
        <is>
          <t>Orion General</t>
        </is>
      </c>
      <c r="C37" s="9" t="inlineStr">
        <is>
          <t>Property</t>
        </is>
      </c>
      <c r="D37" s="9" t="inlineStr">
        <is>
          <t>North America</t>
        </is>
      </c>
      <c r="E37" s="9" t="inlineStr">
        <is>
          <t>Aarav Mehta</t>
        </is>
      </c>
      <c r="F37" s="9" t="inlineStr">
        <is>
          <t>Excess of Loss</t>
        </is>
      </c>
      <c r="G37" s="9" t="n">
        <v>2025</v>
      </c>
      <c r="H37" s="12" t="n">
        <v>21600000</v>
      </c>
      <c r="I37" s="12" t="n">
        <v>1927280.52</v>
      </c>
      <c r="J37" s="12" t="n">
        <v>101773.2</v>
      </c>
      <c r="K37" s="12" t="n">
        <v>1927280.52</v>
      </c>
      <c r="L37" s="12" t="n">
        <v>147189.12</v>
      </c>
      <c r="M37" s="9" t="n">
        <v>7</v>
      </c>
      <c r="N37" s="12" t="n">
        <v>1323209.51</v>
      </c>
      <c r="O37" s="12" t="n">
        <v>1510532.49</v>
      </c>
      <c r="P37" s="12" t="n">
        <v>21600000</v>
      </c>
      <c r="Q37" s="9" t="inlineStr">
        <is>
          <t>Low</t>
        </is>
      </c>
      <c r="R37" s="11">
        <f>IFERROR(O37/K37,0)</f>
        <v/>
      </c>
    </row>
    <row r="38">
      <c r="A38" s="9" t="inlineStr">
        <is>
          <t>T0086</t>
        </is>
      </c>
      <c r="B38" s="9" t="inlineStr">
        <is>
          <t>Atlas Indemnity</t>
        </is>
      </c>
      <c r="C38" s="9" t="inlineStr">
        <is>
          <t>Financial Lines</t>
        </is>
      </c>
      <c r="D38" s="9" t="inlineStr">
        <is>
          <t>North America</t>
        </is>
      </c>
      <c r="E38" s="9" t="inlineStr">
        <is>
          <t>Sophie Laurent</t>
        </is>
      </c>
      <c r="F38" s="9" t="inlineStr">
        <is>
          <t>Facultative</t>
        </is>
      </c>
      <c r="G38" s="9" t="n">
        <v>2023</v>
      </c>
      <c r="H38" s="12" t="n">
        <v>11300000</v>
      </c>
      <c r="I38" s="12" t="n">
        <v>1928761.08</v>
      </c>
      <c r="J38" s="12" t="n">
        <v>210140.16</v>
      </c>
      <c r="K38" s="12" t="n">
        <v>1928761.08</v>
      </c>
      <c r="L38" s="12" t="n">
        <v>357577.2</v>
      </c>
      <c r="M38" s="9" t="n">
        <v>16</v>
      </c>
      <c r="N38" s="12" t="n">
        <v>1968267.9</v>
      </c>
      <c r="O38" s="12" t="n">
        <v>2048161.63</v>
      </c>
      <c r="P38" s="12" t="n">
        <v>11300000</v>
      </c>
      <c r="Q38" s="9" t="inlineStr">
        <is>
          <t>Low</t>
        </is>
      </c>
      <c r="R38" s="11">
        <f>IFERROR(O38/K38,0)</f>
        <v/>
      </c>
    </row>
    <row r="39">
      <c r="A39" s="9" t="inlineStr">
        <is>
          <t>T0087</t>
        </is>
      </c>
      <c r="B39" s="9" t="inlineStr">
        <is>
          <t>Evergreen Assurance</t>
        </is>
      </c>
      <c r="C39" s="9" t="inlineStr">
        <is>
          <t>Property</t>
        </is>
      </c>
      <c r="D39" s="9" t="inlineStr">
        <is>
          <t>North America</t>
        </is>
      </c>
      <c r="E39" s="9" t="inlineStr">
        <is>
          <t>Carlos Ibarra</t>
        </is>
      </c>
      <c r="F39" s="9" t="inlineStr">
        <is>
          <t>Excess of Loss</t>
        </is>
      </c>
      <c r="G39" s="9" t="n">
        <v>2025</v>
      </c>
      <c r="H39" s="12" t="n">
        <v>22400000</v>
      </c>
      <c r="I39" s="12" t="n">
        <v>1627661.64</v>
      </c>
      <c r="J39" s="12" t="n">
        <v>122582.4</v>
      </c>
      <c r="K39" s="12" t="n">
        <v>1627661.64</v>
      </c>
      <c r="L39" s="12" t="n">
        <v>133384.08</v>
      </c>
      <c r="M39" s="9" t="n">
        <v>14</v>
      </c>
      <c r="N39" s="12" t="n">
        <v>2135034.21</v>
      </c>
      <c r="O39" s="12" t="n">
        <v>4185941.87</v>
      </c>
      <c r="P39" s="12" t="n">
        <v>22400000</v>
      </c>
      <c r="Q39" s="9" t="inlineStr">
        <is>
          <t>Low</t>
        </is>
      </c>
      <c r="R39" s="11">
        <f>IFERROR(O39/K39,0)</f>
        <v/>
      </c>
    </row>
    <row r="40">
      <c r="A40" s="9" t="inlineStr">
        <is>
          <t>T0090</t>
        </is>
      </c>
      <c r="B40" s="9" t="inlineStr">
        <is>
          <t>Orion Assurance</t>
        </is>
      </c>
      <c r="C40" s="9" t="inlineStr">
        <is>
          <t>Specialty</t>
        </is>
      </c>
      <c r="D40" s="9" t="inlineStr">
        <is>
          <t>North America</t>
        </is>
      </c>
      <c r="E40" s="9" t="inlineStr">
        <is>
          <t>Aarav Mehta</t>
        </is>
      </c>
      <c r="F40" s="9" t="inlineStr">
        <is>
          <t>Proportional</t>
        </is>
      </c>
      <c r="G40" s="9" t="n">
        <v>2025</v>
      </c>
      <c r="H40" s="12" t="n">
        <v>28800000</v>
      </c>
      <c r="I40" s="12" t="n">
        <v>4088871.24</v>
      </c>
      <c r="J40" s="12" t="n">
        <v>359139.36</v>
      </c>
      <c r="K40" s="12" t="n">
        <v>4088871.24</v>
      </c>
      <c r="L40" s="12" t="n">
        <v>1078579.44</v>
      </c>
      <c r="M40" s="9" t="n">
        <v>3</v>
      </c>
      <c r="N40" s="12" t="n">
        <v>24265.62</v>
      </c>
      <c r="O40" s="12" t="n">
        <v>1241372.66</v>
      </c>
      <c r="P40" s="12" t="n">
        <v>2880000</v>
      </c>
      <c r="Q40" s="9" t="inlineStr">
        <is>
          <t>Low</t>
        </is>
      </c>
      <c r="R40" s="11">
        <f>IFERROR(O40/K40,0)</f>
        <v/>
      </c>
    </row>
    <row r="41">
      <c r="A41" s="9" t="inlineStr">
        <is>
          <t>T0091</t>
        </is>
      </c>
      <c r="B41" s="9" t="inlineStr">
        <is>
          <t>Cobalt Indemnity</t>
        </is>
      </c>
      <c r="C41" s="9" t="inlineStr">
        <is>
          <t>Casualty</t>
        </is>
      </c>
      <c r="D41" s="9" t="inlineStr">
        <is>
          <t>North America</t>
        </is>
      </c>
      <c r="E41" s="9" t="inlineStr">
        <is>
          <t>Carlos Ibarra</t>
        </is>
      </c>
      <c r="F41" s="9" t="inlineStr">
        <is>
          <t>Proportional</t>
        </is>
      </c>
      <c r="G41" s="9" t="n">
        <v>2024</v>
      </c>
      <c r="H41" s="12" t="n">
        <v>32400000</v>
      </c>
      <c r="I41" s="12" t="n">
        <v>2821405.68</v>
      </c>
      <c r="J41" s="12" t="n">
        <v>243680.52</v>
      </c>
      <c r="K41" s="12" t="n">
        <v>2821405.68</v>
      </c>
      <c r="L41" s="12" t="n">
        <v>668355.24</v>
      </c>
      <c r="M41" s="9" t="n">
        <v>8</v>
      </c>
      <c r="N41" s="12" t="n">
        <v>2405034.15</v>
      </c>
      <c r="O41" s="12" t="n">
        <v>2405034.15</v>
      </c>
      <c r="P41" s="12" t="n">
        <v>9720000</v>
      </c>
      <c r="Q41" s="9" t="inlineStr">
        <is>
          <t>Low</t>
        </is>
      </c>
      <c r="R41" s="11">
        <f>IFERROR(O41/K41,0)</f>
        <v/>
      </c>
    </row>
    <row r="42">
      <c r="A42" s="9" t="inlineStr">
        <is>
          <t>T0093</t>
        </is>
      </c>
      <c r="B42" s="9" t="inlineStr">
        <is>
          <t>Summit General</t>
        </is>
      </c>
      <c r="C42" s="9" t="inlineStr">
        <is>
          <t>Financial Lines</t>
        </is>
      </c>
      <c r="D42" s="9" t="inlineStr">
        <is>
          <t>North America</t>
        </is>
      </c>
      <c r="E42" s="9" t="inlineStr">
        <is>
          <t>Kenji Sato</t>
        </is>
      </c>
      <c r="F42" s="9" t="inlineStr">
        <is>
          <t>Excess of Loss</t>
        </is>
      </c>
      <c r="G42" s="9" t="n">
        <v>2023</v>
      </c>
      <c r="H42" s="12" t="n">
        <v>11500000</v>
      </c>
      <c r="I42" s="12" t="n">
        <v>1061580.6</v>
      </c>
      <c r="J42" s="12" t="n">
        <v>78914.88</v>
      </c>
      <c r="K42" s="12" t="n">
        <v>1061580.6</v>
      </c>
      <c r="L42" s="12" t="n">
        <v>100484.52</v>
      </c>
      <c r="M42" s="9" t="n">
        <v>10</v>
      </c>
      <c r="N42" s="12" t="n">
        <v>483163.5</v>
      </c>
      <c r="O42" s="12" t="n">
        <v>485606.2</v>
      </c>
      <c r="P42" s="12" t="n">
        <v>11500000</v>
      </c>
      <c r="Q42" s="9" t="inlineStr">
        <is>
          <t>Low</t>
        </is>
      </c>
      <c r="R42" s="11">
        <f>IFERROR(O42/K42,0)</f>
        <v/>
      </c>
    </row>
    <row r="43">
      <c r="A43" s="9" t="inlineStr">
        <is>
          <t>T0095</t>
        </is>
      </c>
      <c r="B43" s="9" t="inlineStr">
        <is>
          <t>Cobalt Indemnity</t>
        </is>
      </c>
      <c r="C43" s="9" t="inlineStr">
        <is>
          <t>Specialty</t>
        </is>
      </c>
      <c r="D43" s="9" t="inlineStr">
        <is>
          <t>North America</t>
        </is>
      </c>
      <c r="E43" s="9" t="inlineStr">
        <is>
          <t>Aarav Mehta</t>
        </is>
      </c>
      <c r="F43" s="9" t="inlineStr">
        <is>
          <t>Proportional</t>
        </is>
      </c>
      <c r="G43" s="9" t="n">
        <v>2025</v>
      </c>
      <c r="H43" s="12" t="n">
        <v>16200000</v>
      </c>
      <c r="I43" s="12" t="n">
        <v>1190443.44</v>
      </c>
      <c r="J43" s="12" t="n">
        <v>133089</v>
      </c>
      <c r="K43" s="12" t="n">
        <v>1190443.44</v>
      </c>
      <c r="L43" s="12" t="n">
        <v>280280.76</v>
      </c>
      <c r="M43" s="9" t="n">
        <v>10</v>
      </c>
      <c r="N43" s="12" t="n">
        <v>296882.05</v>
      </c>
      <c r="O43" s="12" t="n">
        <v>432654.72</v>
      </c>
      <c r="P43" s="12" t="n">
        <v>4050000</v>
      </c>
      <c r="Q43" s="9" t="inlineStr">
        <is>
          <t>Low</t>
        </is>
      </c>
      <c r="R43" s="11">
        <f>IFERROR(O43/K43,0)</f>
        <v/>
      </c>
    </row>
    <row r="44">
      <c r="A44" s="9" t="inlineStr">
        <is>
          <t>T0099</t>
        </is>
      </c>
      <c r="B44" s="9" t="inlineStr">
        <is>
          <t>Meridian General</t>
        </is>
      </c>
      <c r="C44" s="9" t="inlineStr">
        <is>
          <t>Specialty</t>
        </is>
      </c>
      <c r="D44" s="9" t="inlineStr">
        <is>
          <t>North America</t>
        </is>
      </c>
      <c r="E44" s="9" t="inlineStr">
        <is>
          <t>Omar Haddad</t>
        </is>
      </c>
      <c r="F44" s="9" t="inlineStr">
        <is>
          <t>Excess of Loss</t>
        </is>
      </c>
      <c r="G44" s="9" t="n">
        <v>2025</v>
      </c>
      <c r="H44" s="12" t="n">
        <v>5600000</v>
      </c>
      <c r="I44" s="12" t="n">
        <v>975972.36</v>
      </c>
      <c r="J44" s="12" t="n">
        <v>87614.75999999999</v>
      </c>
      <c r="K44" s="12" t="n">
        <v>894641.33</v>
      </c>
      <c r="L44" s="12" t="n">
        <v>75688.47</v>
      </c>
      <c r="M44" s="9" t="n">
        <v>9</v>
      </c>
      <c r="N44" s="12" t="n">
        <v>198680.34</v>
      </c>
      <c r="O44" s="12" t="n">
        <v>684901.48</v>
      </c>
      <c r="P44" s="12" t="n">
        <v>5600000</v>
      </c>
      <c r="Q44" s="9" t="inlineStr">
        <is>
          <t>Low</t>
        </is>
      </c>
      <c r="R44" s="11">
        <f>IFERROR(O44/K44,0)</f>
        <v/>
      </c>
    </row>
    <row r="45">
      <c r="A45" s="9" t="inlineStr">
        <is>
          <t>T0100</t>
        </is>
      </c>
      <c r="B45" s="9" t="inlineStr">
        <is>
          <t>Northwind Assurance</t>
        </is>
      </c>
      <c r="C45" s="9" t="inlineStr">
        <is>
          <t>Professional</t>
        </is>
      </c>
      <c r="D45" s="9" t="inlineStr">
        <is>
          <t>North America</t>
        </is>
      </c>
      <c r="E45" s="9" t="inlineStr">
        <is>
          <t>Sophie Laurent</t>
        </is>
      </c>
      <c r="F45" s="9" t="inlineStr">
        <is>
          <t>Excess of Loss</t>
        </is>
      </c>
      <c r="G45" s="9" t="n">
        <v>2021</v>
      </c>
      <c r="H45" s="12" t="n">
        <v>36900000</v>
      </c>
      <c r="I45" s="12" t="n">
        <v>2646695.04</v>
      </c>
      <c r="J45" s="12" t="n">
        <v>182002.56</v>
      </c>
      <c r="K45" s="12" t="n">
        <v>2646695.04</v>
      </c>
      <c r="L45" s="12" t="n">
        <v>190573.56</v>
      </c>
      <c r="M45" s="9" t="n">
        <v>7</v>
      </c>
      <c r="N45" s="12" t="n">
        <v>1056078.69</v>
      </c>
      <c r="O45" s="12" t="n">
        <v>1221684.87</v>
      </c>
      <c r="P45" s="12" t="n">
        <v>36900000</v>
      </c>
      <c r="Q45" s="9" t="inlineStr">
        <is>
          <t>Low</t>
        </is>
      </c>
      <c r="R45" s="11">
        <f>IFERROR(O45/K45,0)</f>
        <v/>
      </c>
    </row>
    <row r="46">
      <c r="A46" s="9" t="inlineStr">
        <is>
          <t>T0101</t>
        </is>
      </c>
      <c r="B46" s="9" t="inlineStr">
        <is>
          <t>Northwind Indemnity</t>
        </is>
      </c>
      <c r="C46" s="9" t="inlineStr">
        <is>
          <t>Financial Lines</t>
        </is>
      </c>
      <c r="D46" s="9" t="inlineStr">
        <is>
          <t>North America</t>
        </is>
      </c>
      <c r="E46" s="9" t="inlineStr">
        <is>
          <t>Aarav Mehta</t>
        </is>
      </c>
      <c r="F46" s="9" t="inlineStr">
        <is>
          <t>Proportional</t>
        </is>
      </c>
      <c r="G46" s="9" t="n">
        <v>2023</v>
      </c>
      <c r="H46" s="12" t="n">
        <v>15100000</v>
      </c>
      <c r="I46" s="12" t="n">
        <v>2236663.44</v>
      </c>
      <c r="J46" s="12" t="n">
        <v>141881.64</v>
      </c>
      <c r="K46" s="12" t="n">
        <v>2236663.44</v>
      </c>
      <c r="L46" s="12" t="n">
        <v>505026.36</v>
      </c>
      <c r="M46" s="9" t="n">
        <v>8</v>
      </c>
      <c r="N46" s="12" t="n">
        <v>1541673.1</v>
      </c>
      <c r="O46" s="12" t="n">
        <v>1541673.1</v>
      </c>
      <c r="P46" s="12" t="n">
        <v>3775000</v>
      </c>
      <c r="Q46" s="9" t="inlineStr">
        <is>
          <t>Low</t>
        </is>
      </c>
      <c r="R46" s="11">
        <f>IFERROR(O46/K46,0)</f>
        <v/>
      </c>
    </row>
    <row r="47">
      <c r="A47" s="9" t="inlineStr">
        <is>
          <t>T0102</t>
        </is>
      </c>
      <c r="B47" s="9" t="inlineStr">
        <is>
          <t>Evergreen Indemnity</t>
        </is>
      </c>
      <c r="C47" s="9" t="inlineStr">
        <is>
          <t>Professional</t>
        </is>
      </c>
      <c r="D47" s="9" t="inlineStr">
        <is>
          <t>North America</t>
        </is>
      </c>
      <c r="E47" s="9" t="inlineStr">
        <is>
          <t>Hannah Weber</t>
        </is>
      </c>
      <c r="F47" s="9" t="inlineStr">
        <is>
          <t>Proportional</t>
        </is>
      </c>
      <c r="G47" s="9" t="n">
        <v>2022</v>
      </c>
      <c r="H47" s="12" t="n">
        <v>12400000</v>
      </c>
      <c r="I47" s="12" t="n">
        <v>1003243.68</v>
      </c>
      <c r="J47" s="12" t="n">
        <v>80356.79999999999</v>
      </c>
      <c r="K47" s="12" t="n">
        <v>1003243.68</v>
      </c>
      <c r="L47" s="12" t="n">
        <v>244315.56</v>
      </c>
      <c r="M47" s="9" t="n">
        <v>6</v>
      </c>
      <c r="N47" s="12" t="n">
        <v>503529.09</v>
      </c>
      <c r="O47" s="12" t="n">
        <v>503529.09</v>
      </c>
      <c r="P47" s="12" t="n">
        <v>2480000</v>
      </c>
      <c r="Q47" s="9" t="inlineStr">
        <is>
          <t>Low</t>
        </is>
      </c>
      <c r="R47" s="11">
        <f>IFERROR(O47/K47,0)</f>
        <v/>
      </c>
    </row>
    <row r="48">
      <c r="A48" s="9" t="inlineStr">
        <is>
          <t>T0105</t>
        </is>
      </c>
      <c r="B48" s="9" t="inlineStr">
        <is>
          <t>Evergreen Insurance</t>
        </is>
      </c>
      <c r="C48" s="9" t="inlineStr">
        <is>
          <t>Casualty</t>
        </is>
      </c>
      <c r="D48" s="9" t="inlineStr">
        <is>
          <t>North America</t>
        </is>
      </c>
      <c r="E48" s="9" t="inlineStr">
        <is>
          <t>Hannah Weber</t>
        </is>
      </c>
      <c r="F48" s="9" t="inlineStr">
        <is>
          <t>Proportional</t>
        </is>
      </c>
      <c r="G48" s="9" t="n">
        <v>2023</v>
      </c>
      <c r="H48" s="12" t="n">
        <v>20200000</v>
      </c>
      <c r="I48" s="12" t="n">
        <v>1714776.72</v>
      </c>
      <c r="J48" s="12" t="n">
        <v>141414.12</v>
      </c>
      <c r="K48" s="12" t="n">
        <v>1714776.72</v>
      </c>
      <c r="L48" s="12" t="n">
        <v>394019.28</v>
      </c>
      <c r="M48" s="9" t="n">
        <v>9</v>
      </c>
      <c r="N48" s="12" t="n">
        <v>1125580.85</v>
      </c>
      <c r="O48" s="12" t="n">
        <v>1180716.49</v>
      </c>
      <c r="P48" s="12" t="n">
        <v>10100000</v>
      </c>
      <c r="Q48" s="9" t="inlineStr">
        <is>
          <t>Low</t>
        </is>
      </c>
      <c r="R48" s="11">
        <f>IFERROR(O48/K48,0)</f>
        <v/>
      </c>
    </row>
    <row r="49">
      <c r="A49" s="9" t="inlineStr">
        <is>
          <t>T0106</t>
        </is>
      </c>
      <c r="B49" s="9" t="inlineStr">
        <is>
          <t>Orion General</t>
        </is>
      </c>
      <c r="C49" s="9" t="inlineStr">
        <is>
          <t>Professional</t>
        </is>
      </c>
      <c r="D49" s="9" t="inlineStr">
        <is>
          <t>North America</t>
        </is>
      </c>
      <c r="E49" s="9" t="inlineStr">
        <is>
          <t>Priya Nair</t>
        </is>
      </c>
      <c r="F49" s="9" t="inlineStr">
        <is>
          <t>Proportional</t>
        </is>
      </c>
      <c r="G49" s="9" t="n">
        <v>2026</v>
      </c>
      <c r="H49" s="12" t="n">
        <v>13000000</v>
      </c>
      <c r="I49" s="12" t="n">
        <v>745268.8</v>
      </c>
      <c r="J49" s="12" t="n">
        <v>58089</v>
      </c>
      <c r="K49" s="12" t="n">
        <v>690615.75</v>
      </c>
      <c r="L49" s="12" t="n">
        <v>161261.4049103156</v>
      </c>
      <c r="M49" s="9" t="n">
        <v>3</v>
      </c>
      <c r="N49" s="12" t="n">
        <v>254170.71</v>
      </c>
      <c r="O49" s="12" t="n">
        <v>299405.65</v>
      </c>
      <c r="P49" s="12" t="n">
        <v>5200000</v>
      </c>
      <c r="Q49" s="9" t="inlineStr">
        <is>
          <t>Low</t>
        </is>
      </c>
      <c r="R49" s="11">
        <f>IFERROR(O49/K49,0)</f>
        <v/>
      </c>
    </row>
    <row r="50">
      <c r="A50" s="9" t="inlineStr">
        <is>
          <t>T0108</t>
        </is>
      </c>
      <c r="B50" s="9" t="inlineStr">
        <is>
          <t>Northwind Indemnity</t>
        </is>
      </c>
      <c r="C50" s="9" t="inlineStr">
        <is>
          <t>Professional</t>
        </is>
      </c>
      <c r="D50" s="9" t="inlineStr">
        <is>
          <t>North America</t>
        </is>
      </c>
      <c r="E50" s="9" t="inlineStr">
        <is>
          <t>Kenji Sato</t>
        </is>
      </c>
      <c r="F50" s="9" t="inlineStr">
        <is>
          <t>Excess of Loss</t>
        </is>
      </c>
      <c r="G50" s="9" t="n">
        <v>2022</v>
      </c>
      <c r="H50" s="12" t="n">
        <v>31600000</v>
      </c>
      <c r="I50" s="12" t="n">
        <v>3519468.96</v>
      </c>
      <c r="J50" s="12" t="n">
        <v>360586.08</v>
      </c>
      <c r="K50" s="12" t="n">
        <v>3519468.96</v>
      </c>
      <c r="L50" s="12" t="n">
        <v>359457.36</v>
      </c>
      <c r="M50" s="9" t="n">
        <v>13</v>
      </c>
      <c r="N50" s="12" t="n">
        <v>3409106.46</v>
      </c>
      <c r="O50" s="12" t="n">
        <v>4070601.66</v>
      </c>
      <c r="P50" s="12" t="n">
        <v>31600000</v>
      </c>
      <c r="Q50" s="9" t="inlineStr">
        <is>
          <t>Low</t>
        </is>
      </c>
      <c r="R50" s="11">
        <f>IFERROR(O50/K50,0)</f>
        <v/>
      </c>
    </row>
    <row r="51">
      <c r="A51" s="9" t="inlineStr">
        <is>
          <t>T0109</t>
        </is>
      </c>
      <c r="B51" s="9" t="inlineStr">
        <is>
          <t>Orion General</t>
        </is>
      </c>
      <c r="C51" s="9" t="inlineStr">
        <is>
          <t>Property</t>
        </is>
      </c>
      <c r="D51" s="9" t="inlineStr">
        <is>
          <t>North America</t>
        </is>
      </c>
      <c r="E51" s="9" t="inlineStr">
        <is>
          <t>Carlos Ibarra</t>
        </is>
      </c>
      <c r="F51" s="9" t="inlineStr">
        <is>
          <t>Excess of Loss</t>
        </is>
      </c>
      <c r="G51" s="9" t="n">
        <v>2022</v>
      </c>
      <c r="H51" s="12" t="n">
        <v>10800000</v>
      </c>
      <c r="I51" s="12" t="n">
        <v>1159707.01</v>
      </c>
      <c r="J51" s="12" t="n">
        <v>113022.8</v>
      </c>
      <c r="K51" s="12" t="n">
        <v>1159707.01</v>
      </c>
      <c r="L51" s="12" t="n">
        <v>78014.31</v>
      </c>
      <c r="M51" s="9" t="n">
        <v>10</v>
      </c>
      <c r="N51" s="12" t="n">
        <v>831714.79</v>
      </c>
      <c r="O51" s="12" t="n">
        <v>933799.63</v>
      </c>
      <c r="P51" s="12" t="n">
        <v>10800000</v>
      </c>
      <c r="Q51" s="9" t="inlineStr">
        <is>
          <t>Low</t>
        </is>
      </c>
      <c r="R51" s="11">
        <f>IFERROR(O51/K51,0)</f>
        <v/>
      </c>
    </row>
    <row r="52">
      <c r="A52" s="9" t="inlineStr">
        <is>
          <t>T0114</t>
        </is>
      </c>
      <c r="B52" s="9" t="inlineStr">
        <is>
          <t>Harbor Insurance</t>
        </is>
      </c>
      <c r="C52" s="9" t="inlineStr">
        <is>
          <t>Professional</t>
        </is>
      </c>
      <c r="D52" s="9" t="inlineStr">
        <is>
          <t>North America</t>
        </is>
      </c>
      <c r="E52" s="9" t="inlineStr">
        <is>
          <t>Omar Haddad</t>
        </is>
      </c>
      <c r="F52" s="9" t="inlineStr">
        <is>
          <t>Excess of Loss</t>
        </is>
      </c>
      <c r="G52" s="9" t="n">
        <v>2024</v>
      </c>
      <c r="H52" s="12" t="n">
        <v>76000000</v>
      </c>
      <c r="I52" s="12" t="n">
        <v>7056460.560000001</v>
      </c>
      <c r="J52" s="12" t="n">
        <v>422483.76</v>
      </c>
      <c r="K52" s="12" t="n">
        <v>7056460.560000001</v>
      </c>
      <c r="L52" s="12" t="n">
        <v>753789.9600000001</v>
      </c>
      <c r="M52" s="9" t="n">
        <v>10</v>
      </c>
      <c r="N52" s="12" t="n">
        <v>998281.21</v>
      </c>
      <c r="O52" s="12" t="n">
        <v>2213054.05</v>
      </c>
      <c r="P52" s="12" t="n">
        <v>76000000</v>
      </c>
      <c r="Q52" s="9" t="inlineStr">
        <is>
          <t>Low</t>
        </is>
      </c>
      <c r="R52" s="11">
        <f>IFERROR(O52/K52,0)</f>
        <v/>
      </c>
    </row>
    <row r="53">
      <c r="A53" s="9" t="inlineStr">
        <is>
          <t>T0117</t>
        </is>
      </c>
      <c r="B53" s="9" t="inlineStr">
        <is>
          <t>Orion Assurance</t>
        </is>
      </c>
      <c r="C53" s="9" t="inlineStr">
        <is>
          <t>Property</t>
        </is>
      </c>
      <c r="D53" s="9" t="inlineStr">
        <is>
          <t>North America</t>
        </is>
      </c>
      <c r="E53" s="9" t="inlineStr">
        <is>
          <t>Kenji Sato</t>
        </is>
      </c>
      <c r="F53" s="9" t="inlineStr">
        <is>
          <t>Proportional</t>
        </is>
      </c>
      <c r="G53" s="9" t="n">
        <v>2022</v>
      </c>
      <c r="H53" s="12" t="n">
        <v>24100000</v>
      </c>
      <c r="I53" s="12" t="n">
        <v>2153442.96</v>
      </c>
      <c r="J53" s="12" t="n">
        <v>211517.88</v>
      </c>
      <c r="K53" s="12" t="n">
        <v>2153442.96</v>
      </c>
      <c r="L53" s="12" t="n">
        <v>658180.4400000001</v>
      </c>
      <c r="M53" s="9" t="n">
        <v>4</v>
      </c>
      <c r="N53" s="12" t="n">
        <v>955016.09</v>
      </c>
      <c r="O53" s="12" t="n">
        <v>955016.09</v>
      </c>
      <c r="P53" s="12" t="n">
        <v>3615000</v>
      </c>
      <c r="Q53" s="9" t="inlineStr">
        <is>
          <t>Low</t>
        </is>
      </c>
      <c r="R53" s="11">
        <f>IFERROR(O53/K53,0)</f>
        <v/>
      </c>
    </row>
    <row r="54">
      <c r="A54" s="9" t="inlineStr">
        <is>
          <t>T0118</t>
        </is>
      </c>
      <c r="B54" s="9" t="inlineStr">
        <is>
          <t>Vantage General</t>
        </is>
      </c>
      <c r="C54" s="9" t="inlineStr">
        <is>
          <t>Property</t>
        </is>
      </c>
      <c r="D54" s="9" t="inlineStr">
        <is>
          <t>North America</t>
        </is>
      </c>
      <c r="E54" s="9" t="inlineStr">
        <is>
          <t>Carlos Ibarra</t>
        </is>
      </c>
      <c r="F54" s="9" t="inlineStr">
        <is>
          <t>Excess of Loss</t>
        </is>
      </c>
      <c r="G54" s="9" t="n">
        <v>2024</v>
      </c>
      <c r="H54" s="12" t="n">
        <v>37800000</v>
      </c>
      <c r="I54" s="12" t="n">
        <v>3563649.12</v>
      </c>
      <c r="J54" s="12" t="n">
        <v>348457.8</v>
      </c>
      <c r="K54" s="12" t="n">
        <v>3563649.12</v>
      </c>
      <c r="L54" s="12" t="n">
        <v>211878.84</v>
      </c>
      <c r="M54" s="9" t="n">
        <v>7</v>
      </c>
      <c r="N54" s="12" t="n">
        <v>1173500.75</v>
      </c>
      <c r="O54" s="12" t="n">
        <v>2140510.52</v>
      </c>
      <c r="P54" s="12" t="n">
        <v>37800000</v>
      </c>
      <c r="Q54" s="9" t="inlineStr">
        <is>
          <t>Low</t>
        </is>
      </c>
      <c r="R54" s="11">
        <f>IFERROR(O54/K54,0)</f>
        <v/>
      </c>
    </row>
    <row r="55">
      <c r="A55" s="9" t="inlineStr">
        <is>
          <t>T0119</t>
        </is>
      </c>
      <c r="B55" s="9" t="inlineStr">
        <is>
          <t>Atlas Indemnity</t>
        </is>
      </c>
      <c r="C55" s="9" t="inlineStr">
        <is>
          <t>Casualty</t>
        </is>
      </c>
      <c r="D55" s="9" t="inlineStr">
        <is>
          <t>North America</t>
        </is>
      </c>
      <c r="E55" s="9" t="inlineStr">
        <is>
          <t>Priya Nair</t>
        </is>
      </c>
      <c r="F55" s="9" t="inlineStr">
        <is>
          <t>Proportional</t>
        </is>
      </c>
      <c r="G55" s="9" t="n">
        <v>2023</v>
      </c>
      <c r="H55" s="12" t="n">
        <v>5800000</v>
      </c>
      <c r="I55" s="12" t="n">
        <v>497709.6</v>
      </c>
      <c r="J55" s="12" t="n">
        <v>41349.12</v>
      </c>
      <c r="K55" s="12" t="n">
        <v>497709.6</v>
      </c>
      <c r="L55" s="12" t="n">
        <v>121294.92</v>
      </c>
      <c r="M55" s="9" t="n">
        <v>12</v>
      </c>
      <c r="N55" s="12" t="n">
        <v>151150.94</v>
      </c>
      <c r="O55" s="12" t="n">
        <v>160285.67</v>
      </c>
      <c r="P55" s="12" t="n">
        <v>1160000</v>
      </c>
      <c r="Q55" s="9" t="inlineStr">
        <is>
          <t>Low</t>
        </is>
      </c>
      <c r="R55" s="11">
        <f>IFERROR(O55/K55,0)</f>
        <v/>
      </c>
    </row>
    <row r="56">
      <c r="A56" s="9" t="inlineStr">
        <is>
          <t>T0121</t>
        </is>
      </c>
      <c r="B56" s="9" t="inlineStr">
        <is>
          <t>Summit General</t>
        </is>
      </c>
      <c r="C56" s="9" t="inlineStr">
        <is>
          <t>Financial Lines</t>
        </is>
      </c>
      <c r="D56" s="9" t="inlineStr">
        <is>
          <t>North America</t>
        </is>
      </c>
      <c r="E56" s="9" t="inlineStr">
        <is>
          <t>Sophie Laurent</t>
        </is>
      </c>
      <c r="F56" s="9" t="inlineStr">
        <is>
          <t>Proportional</t>
        </is>
      </c>
      <c r="G56" s="9" t="n">
        <v>2023</v>
      </c>
      <c r="H56" s="12" t="n">
        <v>16600000</v>
      </c>
      <c r="I56" s="12" t="n">
        <v>3318988.8</v>
      </c>
      <c r="J56" s="12" t="n">
        <v>201793.92</v>
      </c>
      <c r="K56" s="12" t="n">
        <v>3318988.8</v>
      </c>
      <c r="L56" s="12" t="n">
        <v>873539.76</v>
      </c>
      <c r="M56" s="9" t="n">
        <v>7</v>
      </c>
      <c r="N56" s="12" t="n">
        <v>1626168.13</v>
      </c>
      <c r="O56" s="12" t="n">
        <v>2093977.27</v>
      </c>
      <c r="P56" s="12" t="n">
        <v>2490000</v>
      </c>
      <c r="Q56" s="9" t="inlineStr">
        <is>
          <t>Low</t>
        </is>
      </c>
      <c r="R56" s="11">
        <f>IFERROR(O56/K56,0)</f>
        <v/>
      </c>
    </row>
    <row r="57">
      <c r="A57" s="9" t="inlineStr">
        <is>
          <t>T0122</t>
        </is>
      </c>
      <c r="B57" s="9" t="inlineStr">
        <is>
          <t>Evergreen Assurance</t>
        </is>
      </c>
      <c r="C57" s="9" t="inlineStr">
        <is>
          <t>Property</t>
        </is>
      </c>
      <c r="D57" s="9" t="inlineStr">
        <is>
          <t>North America</t>
        </is>
      </c>
      <c r="E57" s="9" t="inlineStr">
        <is>
          <t>Sophie Laurent</t>
        </is>
      </c>
      <c r="F57" s="9" t="inlineStr">
        <is>
          <t>Excess of Loss</t>
        </is>
      </c>
      <c r="G57" s="9" t="n">
        <v>2024</v>
      </c>
      <c r="H57" s="12" t="n">
        <v>17800000</v>
      </c>
      <c r="I57" s="12" t="n">
        <v>2039202.24</v>
      </c>
      <c r="J57" s="12" t="n">
        <v>223254.12</v>
      </c>
      <c r="K57" s="12" t="n">
        <v>2039202.24</v>
      </c>
      <c r="L57" s="12" t="n">
        <v>231256.56</v>
      </c>
      <c r="M57" s="9" t="n">
        <v>8</v>
      </c>
      <c r="N57" s="12" t="n">
        <v>1948460.78</v>
      </c>
      <c r="O57" s="12" t="n">
        <v>2058056.48</v>
      </c>
      <c r="P57" s="12" t="n">
        <v>17800000</v>
      </c>
      <c r="Q57" s="9" t="inlineStr">
        <is>
          <t>Low</t>
        </is>
      </c>
      <c r="R57" s="11">
        <f>IFERROR(O57/K57,0)</f>
        <v/>
      </c>
    </row>
    <row r="58">
      <c r="A58" s="9" t="inlineStr">
        <is>
          <t>T0123</t>
        </is>
      </c>
      <c r="B58" s="9" t="inlineStr">
        <is>
          <t>Meridian General</t>
        </is>
      </c>
      <c r="C58" s="9" t="inlineStr">
        <is>
          <t>Property</t>
        </is>
      </c>
      <c r="D58" s="9" t="inlineStr">
        <is>
          <t>North America</t>
        </is>
      </c>
      <c r="E58" s="9" t="inlineStr">
        <is>
          <t>Carlos Ibarra</t>
        </is>
      </c>
      <c r="F58" s="9" t="inlineStr">
        <is>
          <t>Proportional</t>
        </is>
      </c>
      <c r="G58" s="9" t="n">
        <v>2022</v>
      </c>
      <c r="H58" s="12" t="n">
        <v>19400000</v>
      </c>
      <c r="I58" s="12" t="n">
        <v>1391556.48</v>
      </c>
      <c r="J58" s="12" t="n">
        <v>160453.92</v>
      </c>
      <c r="K58" s="12" t="n">
        <v>1391556.48</v>
      </c>
      <c r="L58" s="12" t="n">
        <v>443945.16</v>
      </c>
      <c r="M58" s="9" t="n">
        <v>7</v>
      </c>
      <c r="N58" s="12" t="n">
        <v>1416007.98</v>
      </c>
      <c r="O58" s="12" t="n">
        <v>1416007.98</v>
      </c>
      <c r="P58" s="12" t="n">
        <v>5820000</v>
      </c>
      <c r="Q58" s="9" t="inlineStr">
        <is>
          <t>Low</t>
        </is>
      </c>
      <c r="R58" s="11">
        <f>IFERROR(O58/K58,0)</f>
        <v/>
      </c>
    </row>
    <row r="59">
      <c r="A59" s="9" t="inlineStr">
        <is>
          <t>T0124</t>
        </is>
      </c>
      <c r="B59" s="9" t="inlineStr">
        <is>
          <t>Cobalt Indemnity</t>
        </is>
      </c>
      <c r="C59" s="9" t="inlineStr">
        <is>
          <t>Casualty</t>
        </is>
      </c>
      <c r="D59" s="9" t="inlineStr">
        <is>
          <t>North America</t>
        </is>
      </c>
      <c r="E59" s="9" t="inlineStr">
        <is>
          <t>James Whitfield</t>
        </is>
      </c>
      <c r="F59" s="9" t="inlineStr">
        <is>
          <t>Facultative</t>
        </is>
      </c>
      <c r="G59" s="9" t="n">
        <v>2025</v>
      </c>
      <c r="H59" s="12" t="n">
        <v>40300000</v>
      </c>
      <c r="I59" s="12" t="n">
        <v>2909329.08</v>
      </c>
      <c r="J59" s="12" t="n">
        <v>256922.28</v>
      </c>
      <c r="K59" s="12" t="n">
        <v>2909329.08</v>
      </c>
      <c r="L59" s="12" t="n">
        <v>552546.84</v>
      </c>
      <c r="M59" s="9" t="n">
        <v>17</v>
      </c>
      <c r="N59" s="12" t="n">
        <v>1542116.22</v>
      </c>
      <c r="O59" s="12" t="n">
        <v>1746446.07</v>
      </c>
      <c r="P59" s="12" t="n">
        <v>40300000</v>
      </c>
      <c r="Q59" s="9" t="inlineStr">
        <is>
          <t>Low</t>
        </is>
      </c>
      <c r="R59" s="11">
        <f>IFERROR(O59/K59,0)</f>
        <v/>
      </c>
    </row>
    <row r="60">
      <c r="A60" s="9" t="inlineStr">
        <is>
          <t>T0126</t>
        </is>
      </c>
      <c r="B60" s="9" t="inlineStr">
        <is>
          <t>Northwind Assurance</t>
        </is>
      </c>
      <c r="C60" s="9" t="inlineStr">
        <is>
          <t>Property</t>
        </is>
      </c>
      <c r="D60" s="9" t="inlineStr">
        <is>
          <t>North America</t>
        </is>
      </c>
      <c r="E60" s="9" t="inlineStr">
        <is>
          <t>Aarav Mehta</t>
        </is>
      </c>
      <c r="F60" s="9" t="inlineStr">
        <is>
          <t>Excess of Loss</t>
        </is>
      </c>
      <c r="G60" s="9" t="n">
        <v>2023</v>
      </c>
      <c r="H60" s="12" t="n">
        <v>6100000</v>
      </c>
      <c r="I60" s="12" t="n">
        <v>811525.7999999999</v>
      </c>
      <c r="J60" s="12" t="n">
        <v>49403.88</v>
      </c>
      <c r="K60" s="12" t="n">
        <v>811525.7999999999</v>
      </c>
      <c r="L60" s="12" t="n">
        <v>73622.39999999999</v>
      </c>
      <c r="M60" s="9" t="n">
        <v>10</v>
      </c>
      <c r="N60" s="12" t="n">
        <v>516863.24</v>
      </c>
      <c r="O60" s="12" t="n">
        <v>516863.24</v>
      </c>
      <c r="P60" s="12" t="n">
        <v>6100000</v>
      </c>
      <c r="Q60" s="9" t="inlineStr">
        <is>
          <t>Low</t>
        </is>
      </c>
      <c r="R60" s="11">
        <f>IFERROR(O60/K60,0)</f>
        <v/>
      </c>
    </row>
    <row r="61">
      <c r="A61" s="9" t="inlineStr">
        <is>
          <t>T0127</t>
        </is>
      </c>
      <c r="B61" s="9" t="inlineStr">
        <is>
          <t>Northwind Indemnity</t>
        </is>
      </c>
      <c r="C61" s="9" t="inlineStr">
        <is>
          <t>Casualty</t>
        </is>
      </c>
      <c r="D61" s="9" t="inlineStr">
        <is>
          <t>North America</t>
        </is>
      </c>
      <c r="E61" s="9" t="inlineStr">
        <is>
          <t>Hannah Weber</t>
        </is>
      </c>
      <c r="F61" s="9" t="inlineStr">
        <is>
          <t>Excess of Loss</t>
        </is>
      </c>
      <c r="G61" s="9" t="n">
        <v>2023</v>
      </c>
      <c r="H61" s="12" t="n">
        <v>60600000</v>
      </c>
      <c r="I61" s="12" t="n">
        <v>4651121.4</v>
      </c>
      <c r="J61" s="12" t="n">
        <v>298580.28</v>
      </c>
      <c r="K61" s="12" t="n">
        <v>4651121.4</v>
      </c>
      <c r="L61" s="12" t="n">
        <v>526847.88</v>
      </c>
      <c r="M61" s="9" t="n">
        <v>6</v>
      </c>
      <c r="N61" s="12" t="n">
        <v>1625578.56</v>
      </c>
      <c r="O61" s="12" t="n">
        <v>1625578.56</v>
      </c>
      <c r="P61" s="12" t="n">
        <v>60600000</v>
      </c>
      <c r="Q61" s="9" t="inlineStr">
        <is>
          <t>Low</t>
        </is>
      </c>
      <c r="R61" s="11">
        <f>IFERROR(O61/K61,0)</f>
        <v/>
      </c>
    </row>
    <row r="62">
      <c r="A62" s="9" t="inlineStr">
        <is>
          <t>T0132</t>
        </is>
      </c>
      <c r="B62" s="9" t="inlineStr">
        <is>
          <t>Cobalt General</t>
        </is>
      </c>
      <c r="C62" s="9" t="inlineStr">
        <is>
          <t>Property</t>
        </is>
      </c>
      <c r="D62" s="9" t="inlineStr">
        <is>
          <t>North America</t>
        </is>
      </c>
      <c r="E62" s="9" t="inlineStr">
        <is>
          <t>Omar Haddad</t>
        </is>
      </c>
      <c r="F62" s="9" t="inlineStr">
        <is>
          <t>Excess of Loss</t>
        </is>
      </c>
      <c r="G62" s="9" t="n">
        <v>2025</v>
      </c>
      <c r="H62" s="12" t="n">
        <v>2600000</v>
      </c>
      <c r="I62" s="12" t="n">
        <v>273403.44</v>
      </c>
      <c r="J62" s="12" t="n">
        <v>17872.56</v>
      </c>
      <c r="K62" s="12" t="n">
        <v>273403.44</v>
      </c>
      <c r="L62" s="12" t="n">
        <v>27700.92</v>
      </c>
      <c r="M62" s="9" t="n">
        <v>7</v>
      </c>
      <c r="N62" s="12" t="n">
        <v>648765.01</v>
      </c>
      <c r="O62" s="12" t="n">
        <v>3165653.25</v>
      </c>
      <c r="P62" s="12" t="n">
        <v>2600000</v>
      </c>
      <c r="Q62" s="9" t="inlineStr">
        <is>
          <t>Critical</t>
        </is>
      </c>
      <c r="R62" s="11">
        <f>IFERROR(O62/K62,0)</f>
        <v/>
      </c>
    </row>
    <row r="63">
      <c r="A63" s="9" t="inlineStr">
        <is>
          <t>T0134</t>
        </is>
      </c>
      <c r="B63" s="9" t="inlineStr">
        <is>
          <t>Meridian General</t>
        </is>
      </c>
      <c r="C63" s="9" t="inlineStr">
        <is>
          <t>Property</t>
        </is>
      </c>
      <c r="D63" s="9" t="inlineStr">
        <is>
          <t>North America</t>
        </is>
      </c>
      <c r="E63" s="9" t="inlineStr">
        <is>
          <t>Aarav Mehta</t>
        </is>
      </c>
      <c r="F63" s="9" t="inlineStr">
        <is>
          <t>Proportional</t>
        </is>
      </c>
      <c r="G63" s="9" t="n">
        <v>2021</v>
      </c>
      <c r="H63" s="12" t="n">
        <v>6900000</v>
      </c>
      <c r="I63" s="12" t="n">
        <v>738699.24</v>
      </c>
      <c r="J63" s="12" t="n">
        <v>63827.28</v>
      </c>
      <c r="K63" s="12" t="n">
        <v>738699.24</v>
      </c>
      <c r="L63" s="12" t="n">
        <v>218194.8</v>
      </c>
      <c r="M63" s="9" t="n">
        <v>8</v>
      </c>
      <c r="N63" s="12" t="n">
        <v>385206.19</v>
      </c>
      <c r="O63" s="12" t="n">
        <v>404976.79</v>
      </c>
      <c r="P63" s="12" t="n">
        <v>1380000</v>
      </c>
      <c r="Q63" s="9" t="inlineStr">
        <is>
          <t>Low</t>
        </is>
      </c>
      <c r="R63" s="11">
        <f>IFERROR(O63/K63,0)</f>
        <v/>
      </c>
    </row>
    <row r="64">
      <c r="A64" s="9" t="inlineStr">
        <is>
          <t>T0143</t>
        </is>
      </c>
      <c r="B64" s="9" t="inlineStr">
        <is>
          <t>Meridian Mutual</t>
        </is>
      </c>
      <c r="C64" s="9" t="inlineStr">
        <is>
          <t>Property</t>
        </is>
      </c>
      <c r="D64" s="9" t="inlineStr">
        <is>
          <t>North America</t>
        </is>
      </c>
      <c r="E64" s="9" t="inlineStr">
        <is>
          <t>Priya Nair</t>
        </is>
      </c>
      <c r="F64" s="9" t="inlineStr">
        <is>
          <t>Excess of Loss</t>
        </is>
      </c>
      <c r="G64" s="9" t="n">
        <v>2025</v>
      </c>
      <c r="H64" s="12" t="n">
        <v>19700000</v>
      </c>
      <c r="I64" s="12" t="n">
        <v>1465490.28</v>
      </c>
      <c r="J64" s="12" t="n">
        <v>89981.04000000001</v>
      </c>
      <c r="K64" s="12" t="n">
        <v>1465490.28</v>
      </c>
      <c r="L64" s="12" t="n">
        <v>146477.28</v>
      </c>
      <c r="M64" s="9" t="n">
        <v>9</v>
      </c>
      <c r="N64" s="12" t="n">
        <v>890316.72</v>
      </c>
      <c r="O64" s="12" t="n">
        <v>1099436.31</v>
      </c>
      <c r="P64" s="12" t="n">
        <v>19700000</v>
      </c>
      <c r="Q64" s="9" t="inlineStr">
        <is>
          <t>Low</t>
        </is>
      </c>
      <c r="R64" s="11">
        <f>IFERROR(O64/K64,0)</f>
        <v/>
      </c>
    </row>
    <row r="65">
      <c r="A65" s="9" t="inlineStr">
        <is>
          <t>T0145</t>
        </is>
      </c>
      <c r="B65" s="9" t="inlineStr">
        <is>
          <t>Orion General</t>
        </is>
      </c>
      <c r="C65" s="9" t="inlineStr">
        <is>
          <t>Property</t>
        </is>
      </c>
      <c r="D65" s="9" t="inlineStr">
        <is>
          <t>North America</t>
        </is>
      </c>
      <c r="E65" s="9" t="inlineStr">
        <is>
          <t>James Whitfield</t>
        </is>
      </c>
      <c r="F65" s="9" t="inlineStr">
        <is>
          <t>Proportional</t>
        </is>
      </c>
      <c r="G65" s="9" t="n">
        <v>2023</v>
      </c>
      <c r="H65" s="12" t="n">
        <v>1300000</v>
      </c>
      <c r="I65" s="12" t="n">
        <v>223994.28</v>
      </c>
      <c r="J65" s="12" t="n">
        <v>19105.68</v>
      </c>
      <c r="K65" s="12" t="n">
        <v>223994.28</v>
      </c>
      <c r="L65" s="12" t="n">
        <v>49843.31999999999</v>
      </c>
      <c r="M65" s="9" t="n">
        <v>12</v>
      </c>
      <c r="N65" s="12" t="n">
        <v>145796.15</v>
      </c>
      <c r="O65" s="12" t="n">
        <v>172422.74</v>
      </c>
      <c r="P65" s="12" t="n">
        <v>260000</v>
      </c>
      <c r="Q65" s="9" t="inlineStr">
        <is>
          <t>Low</t>
        </is>
      </c>
      <c r="R65" s="11">
        <f>IFERROR(O65/K65,0)</f>
        <v/>
      </c>
    </row>
    <row r="66">
      <c r="A66" s="9" t="inlineStr">
        <is>
          <t>T0147</t>
        </is>
      </c>
      <c r="B66" s="9" t="inlineStr">
        <is>
          <t>Meridian General</t>
        </is>
      </c>
      <c r="C66" s="9" t="inlineStr">
        <is>
          <t>Professional</t>
        </is>
      </c>
      <c r="D66" s="9" t="inlineStr">
        <is>
          <t>North America</t>
        </is>
      </c>
      <c r="E66" s="9" t="inlineStr">
        <is>
          <t>Kenji Sato</t>
        </is>
      </c>
      <c r="F66" s="9" t="inlineStr">
        <is>
          <t>Proportional</t>
        </is>
      </c>
      <c r="G66" s="9" t="n">
        <v>2021</v>
      </c>
      <c r="H66" s="12" t="n">
        <v>9300000</v>
      </c>
      <c r="I66" s="12" t="n">
        <v>763170.12</v>
      </c>
      <c r="J66" s="12" t="n">
        <v>60284.64</v>
      </c>
      <c r="K66" s="12" t="n">
        <v>763170.12</v>
      </c>
      <c r="L66" s="12" t="n">
        <v>213871.56</v>
      </c>
      <c r="M66" s="9" t="n">
        <v>4</v>
      </c>
      <c r="N66" s="12" t="n">
        <v>283661.55</v>
      </c>
      <c r="O66" s="12" t="n">
        <v>352954.1</v>
      </c>
      <c r="P66" s="12" t="n">
        <v>2790000</v>
      </c>
      <c r="Q66" s="9" t="inlineStr">
        <is>
          <t>Low</t>
        </is>
      </c>
      <c r="R66" s="11">
        <f>IFERROR(O66/K66,0)</f>
        <v/>
      </c>
    </row>
    <row r="67">
      <c r="A67" s="9" t="inlineStr">
        <is>
          <t>T0151</t>
        </is>
      </c>
      <c r="B67" s="9" t="inlineStr">
        <is>
          <t>Atlas Indemnity</t>
        </is>
      </c>
      <c r="C67" s="9" t="inlineStr">
        <is>
          <t>Casualty</t>
        </is>
      </c>
      <c r="D67" s="9" t="inlineStr">
        <is>
          <t>North America</t>
        </is>
      </c>
      <c r="E67" s="9" t="inlineStr">
        <is>
          <t>Omar Haddad</t>
        </is>
      </c>
      <c r="F67" s="9" t="inlineStr">
        <is>
          <t>Proportional</t>
        </is>
      </c>
      <c r="G67" s="9" t="n">
        <v>2022</v>
      </c>
      <c r="H67" s="12" t="n">
        <v>34000000</v>
      </c>
      <c r="I67" s="12" t="n">
        <v>2607105.96</v>
      </c>
      <c r="J67" s="12" t="n">
        <v>211138.92</v>
      </c>
      <c r="K67" s="12" t="n">
        <v>2607105.96</v>
      </c>
      <c r="L67" s="12" t="n">
        <v>622048.8</v>
      </c>
      <c r="M67" s="9" t="n">
        <v>12</v>
      </c>
      <c r="N67" s="12" t="n">
        <v>1783298.01</v>
      </c>
      <c r="O67" s="12" t="n">
        <v>1783298.01</v>
      </c>
      <c r="P67" s="12" t="n">
        <v>6800000</v>
      </c>
      <c r="Q67" s="9" t="inlineStr">
        <is>
          <t>Low</t>
        </is>
      </c>
      <c r="R67" s="11">
        <f>IFERROR(O67/K67,0)</f>
        <v/>
      </c>
    </row>
    <row r="68">
      <c r="A68" s="9" t="inlineStr">
        <is>
          <t>T0153</t>
        </is>
      </c>
      <c r="B68" s="9" t="inlineStr">
        <is>
          <t>Lumen Insurance</t>
        </is>
      </c>
      <c r="C68" s="9" t="inlineStr">
        <is>
          <t>Casualty</t>
        </is>
      </c>
      <c r="D68" s="9" t="inlineStr">
        <is>
          <t>North America</t>
        </is>
      </c>
      <c r="E68" s="9" t="inlineStr">
        <is>
          <t>Carlos Ibarra</t>
        </is>
      </c>
      <c r="F68" s="9" t="inlineStr">
        <is>
          <t>Proportional</t>
        </is>
      </c>
      <c r="G68" s="9" t="n">
        <v>2023</v>
      </c>
      <c r="H68" s="12" t="n">
        <v>21100000</v>
      </c>
      <c r="I68" s="12" t="n">
        <v>1861268.52</v>
      </c>
      <c r="J68" s="12" t="n">
        <v>105313.32</v>
      </c>
      <c r="K68" s="12" t="n">
        <v>1861268.52</v>
      </c>
      <c r="L68" s="12" t="n">
        <v>421978.5599999999</v>
      </c>
      <c r="M68" s="9" t="n">
        <v>8</v>
      </c>
      <c r="N68" s="12" t="n">
        <v>788295.39</v>
      </c>
      <c r="O68" s="12" t="n">
        <v>794267.4</v>
      </c>
      <c r="P68" s="12" t="n">
        <v>3165000</v>
      </c>
      <c r="Q68" s="9" t="inlineStr">
        <is>
          <t>Low</t>
        </is>
      </c>
      <c r="R68" s="11">
        <f>IFERROR(O68/K68,0)</f>
        <v/>
      </c>
    </row>
    <row r="69">
      <c r="A69" s="9" t="inlineStr">
        <is>
          <t>T0154</t>
        </is>
      </c>
      <c r="B69" s="9" t="inlineStr">
        <is>
          <t>Evergreen Assurance</t>
        </is>
      </c>
      <c r="C69" s="9" t="inlineStr">
        <is>
          <t>Professional</t>
        </is>
      </c>
      <c r="D69" s="9" t="inlineStr">
        <is>
          <t>North America</t>
        </is>
      </c>
      <c r="E69" s="9" t="inlineStr">
        <is>
          <t>James Whitfield</t>
        </is>
      </c>
      <c r="F69" s="9" t="inlineStr">
        <is>
          <t>Proportional</t>
        </is>
      </c>
      <c r="G69" s="9" t="n">
        <v>2025</v>
      </c>
      <c r="H69" s="12" t="n">
        <v>12400000</v>
      </c>
      <c r="I69" s="12" t="n">
        <v>1262302.92</v>
      </c>
      <c r="J69" s="12" t="n">
        <v>97215.60000000001</v>
      </c>
      <c r="K69" s="12" t="n">
        <v>1262302.92</v>
      </c>
      <c r="L69" s="12" t="n">
        <v>315180.48</v>
      </c>
      <c r="M69" s="9" t="n">
        <v>9</v>
      </c>
      <c r="N69" s="12" t="n">
        <v>297581.58</v>
      </c>
      <c r="O69" s="12" t="n">
        <v>724831.01</v>
      </c>
      <c r="P69" s="12" t="n">
        <v>6200000</v>
      </c>
      <c r="Q69" s="9" t="inlineStr">
        <is>
          <t>Low</t>
        </is>
      </c>
      <c r="R69" s="11">
        <f>IFERROR(O69/K69,0)</f>
        <v/>
      </c>
    </row>
    <row r="70">
      <c r="A70" s="9" t="inlineStr">
        <is>
          <t>T0155</t>
        </is>
      </c>
      <c r="B70" s="9" t="inlineStr">
        <is>
          <t>Cobalt Indemnity</t>
        </is>
      </c>
      <c r="C70" s="9" t="inlineStr">
        <is>
          <t>Property</t>
        </is>
      </c>
      <c r="D70" s="9" t="inlineStr">
        <is>
          <t>North America</t>
        </is>
      </c>
      <c r="E70" s="9" t="inlineStr">
        <is>
          <t>Priya Nair</t>
        </is>
      </c>
      <c r="F70" s="9" t="inlineStr">
        <is>
          <t>Excess of Loss</t>
        </is>
      </c>
      <c r="G70" s="9" t="n">
        <v>2024</v>
      </c>
      <c r="H70" s="12" t="n">
        <v>8400000</v>
      </c>
      <c r="I70" s="12" t="n">
        <v>701236.8</v>
      </c>
      <c r="J70" s="12" t="n">
        <v>79720.68000000001</v>
      </c>
      <c r="K70" s="12" t="n">
        <v>701236.8</v>
      </c>
      <c r="L70" s="12" t="n">
        <v>82489.44</v>
      </c>
      <c r="M70" s="9" t="n">
        <v>10</v>
      </c>
      <c r="N70" s="12" t="n">
        <v>292549.43</v>
      </c>
      <c r="O70" s="12" t="n">
        <v>375621.46</v>
      </c>
      <c r="P70" s="12" t="n">
        <v>8400000</v>
      </c>
      <c r="Q70" s="9" t="inlineStr">
        <is>
          <t>Low</t>
        </is>
      </c>
      <c r="R70" s="11">
        <f>IFERROR(O70/K70,0)</f>
        <v/>
      </c>
    </row>
    <row r="71">
      <c r="A71" s="9" t="inlineStr">
        <is>
          <t>T0156</t>
        </is>
      </c>
      <c r="B71" s="9" t="inlineStr">
        <is>
          <t>Orion Assurance</t>
        </is>
      </c>
      <c r="C71" s="9" t="inlineStr">
        <is>
          <t>Property</t>
        </is>
      </c>
      <c r="D71" s="9" t="inlineStr">
        <is>
          <t>North America</t>
        </is>
      </c>
      <c r="E71" s="9" t="inlineStr">
        <is>
          <t>Hannah Weber</t>
        </is>
      </c>
      <c r="F71" s="9" t="inlineStr">
        <is>
          <t>Excess of Loss</t>
        </is>
      </c>
      <c r="G71" s="9" t="n">
        <v>2023</v>
      </c>
      <c r="H71" s="12" t="n">
        <v>18800000</v>
      </c>
      <c r="I71" s="12" t="n">
        <v>3219157.8</v>
      </c>
      <c r="J71" s="12" t="n">
        <v>323976.72</v>
      </c>
      <c r="K71" s="12" t="n">
        <v>3219157.8</v>
      </c>
      <c r="L71" s="12" t="n">
        <v>330306.12</v>
      </c>
      <c r="M71" s="9" t="n">
        <v>13</v>
      </c>
      <c r="N71" s="12" t="n">
        <v>1208321.03</v>
      </c>
      <c r="O71" s="12" t="n">
        <v>1208321.03</v>
      </c>
      <c r="P71" s="12" t="n">
        <v>18800000</v>
      </c>
      <c r="Q71" s="9" t="inlineStr">
        <is>
          <t>Low</t>
        </is>
      </c>
      <c r="R71" s="11">
        <f>IFERROR(O71/K71,0)</f>
        <v/>
      </c>
    </row>
    <row r="72">
      <c r="A72" s="9" t="inlineStr">
        <is>
          <t>T0158</t>
        </is>
      </c>
      <c r="B72" s="9" t="inlineStr">
        <is>
          <t>Cobalt Indemnity</t>
        </is>
      </c>
      <c r="C72" s="9" t="inlineStr">
        <is>
          <t>Unmapped</t>
        </is>
      </c>
      <c r="D72" s="9" t="inlineStr">
        <is>
          <t>North America</t>
        </is>
      </c>
      <c r="E72" s="9" t="inlineStr">
        <is>
          <t>Sophie Laurent</t>
        </is>
      </c>
      <c r="F72" s="9" t="inlineStr">
        <is>
          <t>Excess of Loss</t>
        </is>
      </c>
      <c r="G72" s="9" t="n">
        <v>2025</v>
      </c>
      <c r="H72" s="12" t="n">
        <v>6800000</v>
      </c>
      <c r="I72" s="12" t="n">
        <v>576442.2</v>
      </c>
      <c r="J72" s="12" t="n">
        <v>53457.24000000001</v>
      </c>
      <c r="K72" s="12" t="n">
        <v>576442.2</v>
      </c>
      <c r="L72" s="12" t="n">
        <v>68046.12</v>
      </c>
      <c r="M72" s="9" t="n">
        <v>7</v>
      </c>
      <c r="N72" s="12" t="n">
        <v>156462.32</v>
      </c>
      <c r="O72" s="12" t="n">
        <v>318273.63</v>
      </c>
      <c r="P72" s="12" t="n">
        <v>6800000</v>
      </c>
      <c r="Q72" s="9" t="inlineStr">
        <is>
          <t>Low</t>
        </is>
      </c>
      <c r="R72" s="11">
        <f>IFERROR(O72/K72,0)</f>
        <v/>
      </c>
    </row>
    <row r="73">
      <c r="A73" s="9" t="inlineStr">
        <is>
          <t>T0170</t>
        </is>
      </c>
      <c r="B73" s="9" t="inlineStr">
        <is>
          <t>Evergreen General</t>
        </is>
      </c>
      <c r="C73" s="9" t="inlineStr">
        <is>
          <t>Specialty</t>
        </is>
      </c>
      <c r="D73" s="9" t="inlineStr">
        <is>
          <t>North America</t>
        </is>
      </c>
      <c r="E73" s="9" t="inlineStr">
        <is>
          <t>Sophie Laurent</t>
        </is>
      </c>
      <c r="F73" s="9" t="inlineStr">
        <is>
          <t>Excess of Loss</t>
        </is>
      </c>
      <c r="G73" s="9" t="n">
        <v>2025</v>
      </c>
      <c r="H73" s="12" t="n">
        <v>11400000</v>
      </c>
      <c r="I73" s="12" t="n">
        <v>1109405.04</v>
      </c>
      <c r="J73" s="12" t="n">
        <v>89416.92</v>
      </c>
      <c r="K73" s="12" t="n">
        <v>1109405.04</v>
      </c>
      <c r="L73" s="12" t="n">
        <v>129787.08</v>
      </c>
      <c r="M73" s="9" t="n">
        <v>8</v>
      </c>
      <c r="N73" s="12" t="n">
        <v>238302.1</v>
      </c>
      <c r="O73" s="12" t="n">
        <v>554458.86</v>
      </c>
      <c r="P73" s="12" t="n">
        <v>11400000</v>
      </c>
      <c r="Q73" s="9" t="inlineStr">
        <is>
          <t>Low</t>
        </is>
      </c>
      <c r="R73" s="11">
        <f>IFERROR(O73/K73,0)</f>
        <v/>
      </c>
    </row>
    <row r="74">
      <c r="A74" s="9" t="inlineStr">
        <is>
          <t>T0173</t>
        </is>
      </c>
      <c r="B74" s="9" t="inlineStr">
        <is>
          <t>Cobalt General</t>
        </is>
      </c>
      <c r="C74" s="9" t="inlineStr">
        <is>
          <t>Professional</t>
        </is>
      </c>
      <c r="D74" s="9" t="inlineStr">
        <is>
          <t>North America</t>
        </is>
      </c>
      <c r="E74" s="9" t="inlineStr">
        <is>
          <t>Carlos Ibarra</t>
        </is>
      </c>
      <c r="F74" s="9" t="inlineStr">
        <is>
          <t>Excess of Loss</t>
        </is>
      </c>
      <c r="G74" s="9" t="n">
        <v>2024</v>
      </c>
      <c r="H74" s="12" t="n">
        <v>10500000</v>
      </c>
      <c r="I74" s="12" t="n">
        <v>818075.3999999999</v>
      </c>
      <c r="J74" s="12" t="n">
        <v>49093.08</v>
      </c>
      <c r="K74" s="12" t="n">
        <v>818075.3999999999</v>
      </c>
      <c r="L74" s="12" t="n">
        <v>61990.68000000001</v>
      </c>
      <c r="M74" s="9" t="n">
        <v>3</v>
      </c>
      <c r="N74" s="12" t="n">
        <v>312834.2</v>
      </c>
      <c r="O74" s="12" t="n">
        <v>332892.11</v>
      </c>
      <c r="P74" s="12" t="n">
        <v>10500000</v>
      </c>
      <c r="Q74" s="9" t="inlineStr">
        <is>
          <t>Low</t>
        </is>
      </c>
      <c r="R74" s="11">
        <f>IFERROR(O74/K74,0)</f>
        <v/>
      </c>
    </row>
    <row r="75">
      <c r="A75" s="9" t="inlineStr">
        <is>
          <t>T0174</t>
        </is>
      </c>
      <c r="B75" s="9" t="inlineStr">
        <is>
          <t>Cobalt Indemnity</t>
        </is>
      </c>
      <c r="C75" s="9" t="inlineStr">
        <is>
          <t>Casualty</t>
        </is>
      </c>
      <c r="D75" s="9" t="inlineStr">
        <is>
          <t>North America</t>
        </is>
      </c>
      <c r="E75" s="9" t="inlineStr">
        <is>
          <t>Carlos Ibarra</t>
        </is>
      </c>
      <c r="F75" s="9" t="inlineStr">
        <is>
          <t>Proportional</t>
        </is>
      </c>
      <c r="G75" s="9" t="n">
        <v>2026</v>
      </c>
      <c r="H75" s="12" t="n">
        <v>53000000</v>
      </c>
      <c r="I75" s="12" t="n">
        <v>3293899.08</v>
      </c>
      <c r="J75" s="12" t="n">
        <v>305035.44</v>
      </c>
      <c r="K75" s="12" t="n">
        <v>3239000.76</v>
      </c>
      <c r="L75" s="12" t="n">
        <v>976795.3853968539</v>
      </c>
      <c r="M75" s="9" t="n">
        <v>3</v>
      </c>
      <c r="N75" s="12" t="n">
        <v>774555.15</v>
      </c>
      <c r="O75" s="12" t="n">
        <v>2697316.28</v>
      </c>
      <c r="P75" s="12" t="n">
        <v>13250000</v>
      </c>
      <c r="Q75" s="9" t="inlineStr">
        <is>
          <t>Low</t>
        </is>
      </c>
      <c r="R75" s="11">
        <f>IFERROR(O75/K75,0)</f>
        <v/>
      </c>
    </row>
    <row r="76">
      <c r="A76" s="9" t="inlineStr">
        <is>
          <t>T0175</t>
        </is>
      </c>
      <c r="B76" s="9" t="inlineStr">
        <is>
          <t>Evergreen Assurance</t>
        </is>
      </c>
      <c r="C76" s="9" t="inlineStr">
        <is>
          <t>Casualty</t>
        </is>
      </c>
      <c r="D76" s="9" t="inlineStr">
        <is>
          <t>North America</t>
        </is>
      </c>
      <c r="E76" s="9" t="inlineStr">
        <is>
          <t>Sophie Laurent</t>
        </is>
      </c>
      <c r="F76" s="9" t="inlineStr">
        <is>
          <t>Excess of Loss</t>
        </is>
      </c>
      <c r="G76" s="9" t="n">
        <v>2021</v>
      </c>
      <c r="H76" s="12" t="n">
        <v>12200000</v>
      </c>
      <c r="I76" s="12" t="n">
        <v>1253821.92</v>
      </c>
      <c r="J76" s="12" t="n">
        <v>122637.6</v>
      </c>
      <c r="K76" s="12" t="n">
        <v>1253821.92</v>
      </c>
      <c r="L76" s="12" t="n">
        <v>134612.28</v>
      </c>
      <c r="M76" s="9" t="n">
        <v>12</v>
      </c>
      <c r="N76" s="12" t="n">
        <v>963924.01</v>
      </c>
      <c r="O76" s="12" t="n">
        <v>963924.01</v>
      </c>
      <c r="P76" s="12" t="n">
        <v>12200000</v>
      </c>
      <c r="Q76" s="9" t="inlineStr">
        <is>
          <t>Low</t>
        </is>
      </c>
      <c r="R76" s="11">
        <f>IFERROR(O76/K76,0)</f>
        <v/>
      </c>
    </row>
    <row r="77">
      <c r="A77" s="9" t="inlineStr">
        <is>
          <t>T0176</t>
        </is>
      </c>
      <c r="B77" s="9" t="inlineStr">
        <is>
          <t>Evergreen Assurance</t>
        </is>
      </c>
      <c r="C77" s="9" t="inlineStr">
        <is>
          <t>Professional</t>
        </is>
      </c>
      <c r="D77" s="9" t="inlineStr">
        <is>
          <t>North America</t>
        </is>
      </c>
      <c r="E77" s="9" t="inlineStr">
        <is>
          <t>Kenji Sato</t>
        </is>
      </c>
      <c r="F77" s="9" t="inlineStr">
        <is>
          <t>Facultative</t>
        </is>
      </c>
      <c r="G77" s="9" t="n">
        <v>2022</v>
      </c>
      <c r="H77" s="12" t="n">
        <v>13400000</v>
      </c>
      <c r="I77" s="12" t="n">
        <v>993803.28</v>
      </c>
      <c r="J77" s="12" t="n">
        <v>56420.88</v>
      </c>
      <c r="K77" s="12" t="n">
        <v>993803.28</v>
      </c>
      <c r="L77" s="12" t="n">
        <v>180987.36</v>
      </c>
      <c r="M77" s="9" t="n">
        <v>5</v>
      </c>
      <c r="N77" s="12" t="n">
        <v>965832.35</v>
      </c>
      <c r="O77" s="12" t="n">
        <v>965832.35</v>
      </c>
      <c r="P77" s="12" t="n">
        <v>13400000</v>
      </c>
      <c r="Q77" s="9" t="inlineStr">
        <is>
          <t>Low</t>
        </is>
      </c>
      <c r="R77" s="11">
        <f>IFERROR(O77/K77,0)</f>
        <v/>
      </c>
    </row>
    <row r="78">
      <c r="A78" s="9" t="inlineStr">
        <is>
          <t>T0177</t>
        </is>
      </c>
      <c r="B78" s="9" t="inlineStr">
        <is>
          <t>Atlas Assurance</t>
        </is>
      </c>
      <c r="C78" s="9" t="inlineStr">
        <is>
          <t>Professional</t>
        </is>
      </c>
      <c r="D78" s="9" t="inlineStr">
        <is>
          <t>North America</t>
        </is>
      </c>
      <c r="E78" s="9" t="inlineStr">
        <is>
          <t>James Whitfield</t>
        </is>
      </c>
      <c r="F78" s="9" t="inlineStr">
        <is>
          <t>Excess of Loss</t>
        </is>
      </c>
      <c r="G78" s="9" t="n">
        <v>2022</v>
      </c>
      <c r="H78" s="12" t="n">
        <v>3500000</v>
      </c>
      <c r="I78" s="12" t="n">
        <v>509627.16</v>
      </c>
      <c r="J78" s="12" t="n">
        <v>30867.84</v>
      </c>
      <c r="K78" s="12" t="n">
        <v>509627.16</v>
      </c>
      <c r="L78" s="12" t="n">
        <v>38612.64</v>
      </c>
      <c r="M78" s="9" t="n">
        <v>12</v>
      </c>
      <c r="N78" s="12" t="n">
        <v>152264.51</v>
      </c>
      <c r="O78" s="12" t="n">
        <v>152264.51</v>
      </c>
      <c r="P78" s="12" t="n">
        <v>3500000</v>
      </c>
      <c r="Q78" s="9" t="inlineStr">
        <is>
          <t>Low</t>
        </is>
      </c>
      <c r="R78" s="11">
        <f>IFERROR(O78/K78,0)</f>
        <v/>
      </c>
    </row>
    <row r="79">
      <c r="A79" s="9" t="inlineStr">
        <is>
          <t>T0178</t>
        </is>
      </c>
      <c r="B79" s="9" t="inlineStr">
        <is>
          <t>Vantage General</t>
        </is>
      </c>
      <c r="C79" s="9" t="inlineStr">
        <is>
          <t>Financial Lines</t>
        </is>
      </c>
      <c r="D79" s="9" t="inlineStr">
        <is>
          <t>North America</t>
        </is>
      </c>
      <c r="E79" s="9" t="inlineStr">
        <is>
          <t>Sophie Laurent</t>
        </is>
      </c>
      <c r="F79" s="9" t="inlineStr">
        <is>
          <t>Excess of Loss</t>
        </is>
      </c>
      <c r="G79" s="9" t="n">
        <v>2025</v>
      </c>
      <c r="H79" s="12" t="n">
        <v>15500000</v>
      </c>
      <c r="I79" s="12" t="n">
        <v>1323751.22</v>
      </c>
      <c r="J79" s="12" t="n">
        <v>101147.42</v>
      </c>
      <c r="K79" s="12" t="n">
        <v>1207421.57</v>
      </c>
      <c r="L79" s="12" t="n">
        <v>141348.5969788439</v>
      </c>
      <c r="M79" s="9" t="n">
        <v>8</v>
      </c>
      <c r="N79" s="12" t="n">
        <v>248954.74</v>
      </c>
      <c r="O79" s="12" t="n">
        <v>642545.6</v>
      </c>
      <c r="P79" s="12" t="n">
        <v>15500000</v>
      </c>
      <c r="Q79" s="9" t="inlineStr">
        <is>
          <t>Low</t>
        </is>
      </c>
      <c r="R79" s="11">
        <f>IFERROR(O79/K79,0)</f>
        <v/>
      </c>
    </row>
    <row r="80">
      <c r="A80" s="9" t="inlineStr">
        <is>
          <t>T0181</t>
        </is>
      </c>
      <c r="B80" s="9" t="inlineStr">
        <is>
          <t>Harbor Assurance</t>
        </is>
      </c>
      <c r="C80" s="9" t="inlineStr">
        <is>
          <t>Casualty</t>
        </is>
      </c>
      <c r="D80" s="9" t="inlineStr">
        <is>
          <t>North America</t>
        </is>
      </c>
      <c r="E80" s="9" t="inlineStr">
        <is>
          <t>Priya Nair</t>
        </is>
      </c>
      <c r="F80" s="9" t="inlineStr">
        <is>
          <t>Proportional</t>
        </is>
      </c>
      <c r="G80" s="9" t="n">
        <v>2024</v>
      </c>
      <c r="H80" s="12" t="n">
        <v>9100000</v>
      </c>
      <c r="I80" s="12" t="n">
        <v>839650.5600000001</v>
      </c>
      <c r="J80" s="12" t="n">
        <v>74027.28</v>
      </c>
      <c r="K80" s="12" t="n">
        <v>839650.5600000001</v>
      </c>
      <c r="L80" s="12" t="n">
        <v>268314.96</v>
      </c>
      <c r="M80" s="9" t="n">
        <v>11</v>
      </c>
      <c r="N80" s="12" t="n">
        <v>759350.97</v>
      </c>
      <c r="O80" s="12" t="n">
        <v>760181.78</v>
      </c>
      <c r="P80" s="12" t="n">
        <v>1820000</v>
      </c>
      <c r="Q80" s="9" t="inlineStr">
        <is>
          <t>Low</t>
        </is>
      </c>
      <c r="R80" s="11">
        <f>IFERROR(O80/K80,0)</f>
        <v/>
      </c>
    </row>
    <row r="81">
      <c r="A81" s="9" t="inlineStr">
        <is>
          <t>T0182</t>
        </is>
      </c>
      <c r="B81" s="9" t="inlineStr">
        <is>
          <t>Northwind Indemnity</t>
        </is>
      </c>
      <c r="C81" s="9" t="inlineStr">
        <is>
          <t>Specialty</t>
        </is>
      </c>
      <c r="D81" s="9" t="inlineStr">
        <is>
          <t>North America</t>
        </is>
      </c>
      <c r="E81" s="9" t="inlineStr">
        <is>
          <t>Sophie Laurent</t>
        </is>
      </c>
      <c r="F81" s="9" t="inlineStr">
        <is>
          <t>Excess of Loss</t>
        </is>
      </c>
      <c r="G81" s="9" t="n">
        <v>2025</v>
      </c>
      <c r="H81" s="12" t="n">
        <v>6600000</v>
      </c>
      <c r="I81" s="12" t="n">
        <v>1070080.11</v>
      </c>
      <c r="J81" s="12" t="n">
        <v>87293.14</v>
      </c>
      <c r="K81" s="12" t="n">
        <v>979285.4299999999</v>
      </c>
      <c r="L81" s="12" t="n">
        <v>79486.6010086615</v>
      </c>
      <c r="M81" s="9" t="n">
        <v>8</v>
      </c>
      <c r="N81" s="12" t="n">
        <v>526343.63</v>
      </c>
      <c r="O81" s="12" t="n">
        <v>805737.7999999999</v>
      </c>
      <c r="P81" s="12" t="n">
        <v>6600000</v>
      </c>
      <c r="Q81" s="9" t="inlineStr">
        <is>
          <t>Low</t>
        </is>
      </c>
      <c r="R81" s="11">
        <f>IFERROR(O81/K81,0)</f>
        <v/>
      </c>
    </row>
    <row r="82">
      <c r="A82" s="9" t="inlineStr">
        <is>
          <t>T0191</t>
        </is>
      </c>
      <c r="B82" s="9" t="inlineStr">
        <is>
          <t>Atlas Assurance</t>
        </is>
      </c>
      <c r="C82" s="9" t="inlineStr">
        <is>
          <t>Specialty</t>
        </is>
      </c>
      <c r="D82" s="9" t="inlineStr">
        <is>
          <t>North America</t>
        </is>
      </c>
      <c r="E82" s="9" t="inlineStr">
        <is>
          <t>Kenji Sato</t>
        </is>
      </c>
      <c r="F82" s="9" t="inlineStr">
        <is>
          <t>Facultative</t>
        </is>
      </c>
      <c r="G82" s="9" t="n">
        <v>2022</v>
      </c>
      <c r="H82" s="12" t="n">
        <v>12700000</v>
      </c>
      <c r="I82" s="12" t="n">
        <v>1511504.52</v>
      </c>
      <c r="J82" s="12" t="n">
        <v>78976.79999999999</v>
      </c>
      <c r="K82" s="12" t="n">
        <v>1511504.52</v>
      </c>
      <c r="L82" s="12" t="n">
        <v>301314.24</v>
      </c>
      <c r="M82" s="9" t="n">
        <v>4</v>
      </c>
      <c r="N82" s="12" t="n">
        <v>521067.97</v>
      </c>
      <c r="O82" s="12" t="n">
        <v>521067.97</v>
      </c>
      <c r="P82" s="12" t="n">
        <v>12700000</v>
      </c>
      <c r="Q82" s="9" t="inlineStr">
        <is>
          <t>Low</t>
        </is>
      </c>
      <c r="R82" s="11">
        <f>IFERROR(O82/K82,0)</f>
        <v/>
      </c>
    </row>
    <row r="83">
      <c r="A83" s="9" t="inlineStr">
        <is>
          <t>T0197</t>
        </is>
      </c>
      <c r="B83" s="9" t="inlineStr">
        <is>
          <t>Harbor Insurance</t>
        </is>
      </c>
      <c r="C83" s="9" t="inlineStr">
        <is>
          <t>Financial Lines</t>
        </is>
      </c>
      <c r="D83" s="9" t="inlineStr">
        <is>
          <t>North America</t>
        </is>
      </c>
      <c r="E83" s="9" t="inlineStr">
        <is>
          <t>Omar Haddad</t>
        </is>
      </c>
      <c r="F83" s="9" t="inlineStr">
        <is>
          <t>Proportional</t>
        </is>
      </c>
      <c r="G83" s="9" t="n">
        <v>2021</v>
      </c>
      <c r="H83" s="12" t="n">
        <v>4900000</v>
      </c>
      <c r="I83" s="12" t="n">
        <v>544022.16</v>
      </c>
      <c r="J83" s="12" t="n">
        <v>57647.75999999999</v>
      </c>
      <c r="K83" s="12" t="n">
        <v>544022.16</v>
      </c>
      <c r="L83" s="12" t="n">
        <v>156425.16</v>
      </c>
      <c r="M83" s="9" t="n">
        <v>5</v>
      </c>
      <c r="N83" s="12" t="n">
        <v>206044.75</v>
      </c>
      <c r="O83" s="12" t="n">
        <v>391970.41</v>
      </c>
      <c r="P83" s="12" t="n">
        <v>1470000</v>
      </c>
      <c r="Q83" s="9" t="inlineStr">
        <is>
          <t>Low</t>
        </is>
      </c>
      <c r="R83" s="11">
        <f>IFERROR(O83/K83,0)</f>
        <v/>
      </c>
    </row>
    <row r="84">
      <c r="A84" s="9" t="inlineStr">
        <is>
          <t>T0200</t>
        </is>
      </c>
      <c r="B84" s="9" t="inlineStr">
        <is>
          <t>Lumen Insurance</t>
        </is>
      </c>
      <c r="C84" s="9" t="inlineStr">
        <is>
          <t>Specialty</t>
        </is>
      </c>
      <c r="D84" s="9" t="inlineStr">
        <is>
          <t>North America</t>
        </is>
      </c>
      <c r="E84" s="9" t="inlineStr">
        <is>
          <t>Carlos Ibarra</t>
        </is>
      </c>
      <c r="F84" s="9" t="inlineStr">
        <is>
          <t>Excess of Loss</t>
        </is>
      </c>
      <c r="G84" s="9" t="n">
        <v>2025</v>
      </c>
      <c r="H84" s="12" t="n">
        <v>62800000</v>
      </c>
      <c r="I84" s="12" t="n">
        <v>11313303.12</v>
      </c>
      <c r="J84" s="12" t="n">
        <v>711228.6000000001</v>
      </c>
      <c r="K84" s="12" t="n">
        <v>11313303.12</v>
      </c>
      <c r="L84" s="12" t="n">
        <v>759502.2</v>
      </c>
      <c r="M84" s="9" t="n">
        <v>9</v>
      </c>
      <c r="N84" s="12" t="n">
        <v>5740090.23</v>
      </c>
      <c r="O84" s="12" t="n">
        <v>7713224.05</v>
      </c>
      <c r="P84" s="12" t="n">
        <v>62800000</v>
      </c>
      <c r="Q84" s="9" t="inlineStr">
        <is>
          <t>Low</t>
        </is>
      </c>
      <c r="R84" s="11">
        <f>IFERROR(O84/K84,0)</f>
        <v/>
      </c>
    </row>
    <row r="85">
      <c r="A85" s="9" t="inlineStr">
        <is>
          <t>T0201</t>
        </is>
      </c>
      <c r="B85" s="9" t="inlineStr">
        <is>
          <t>Evergreen Indemnity</t>
        </is>
      </c>
      <c r="C85" s="9" t="inlineStr">
        <is>
          <t>Property</t>
        </is>
      </c>
      <c r="D85" s="9" t="inlineStr">
        <is>
          <t>North America</t>
        </is>
      </c>
      <c r="E85" s="9" t="inlineStr">
        <is>
          <t>Aarav Mehta</t>
        </is>
      </c>
      <c r="F85" s="9" t="inlineStr">
        <is>
          <t>Proportional</t>
        </is>
      </c>
      <c r="G85" s="9" t="n">
        <v>2025</v>
      </c>
      <c r="H85" s="12" t="n">
        <v>5700000</v>
      </c>
      <c r="I85" s="12" t="n">
        <v>629758.92</v>
      </c>
      <c r="J85" s="12" t="n">
        <v>44175.48</v>
      </c>
      <c r="K85" s="12" t="n">
        <v>629758.92</v>
      </c>
      <c r="L85" s="12" t="n">
        <v>156339.84</v>
      </c>
      <c r="M85" s="9" t="n">
        <v>13</v>
      </c>
      <c r="N85" s="12" t="n">
        <v>184132.82</v>
      </c>
      <c r="O85" s="12" t="n">
        <v>337019.52</v>
      </c>
      <c r="P85" s="12" t="n">
        <v>1425000</v>
      </c>
      <c r="Q85" s="9" t="inlineStr">
        <is>
          <t>Low</t>
        </is>
      </c>
      <c r="R85" s="11">
        <f>IFERROR(O85/K85,0)</f>
        <v/>
      </c>
    </row>
    <row r="86">
      <c r="A86" s="9" t="inlineStr">
        <is>
          <t>T0202</t>
        </is>
      </c>
      <c r="B86" s="9" t="inlineStr">
        <is>
          <t>Evergreen General</t>
        </is>
      </c>
      <c r="C86" s="9" t="inlineStr">
        <is>
          <t>Property</t>
        </is>
      </c>
      <c r="D86" s="9" t="inlineStr">
        <is>
          <t>North America</t>
        </is>
      </c>
      <c r="E86" s="9" t="inlineStr">
        <is>
          <t>Omar Haddad</t>
        </is>
      </c>
      <c r="F86" s="9" t="inlineStr">
        <is>
          <t>Excess of Loss</t>
        </is>
      </c>
      <c r="G86" s="9" t="n">
        <v>2026</v>
      </c>
      <c r="H86" s="12" t="n">
        <v>6200000</v>
      </c>
      <c r="I86" s="12" t="n">
        <v>148261.32</v>
      </c>
      <c r="J86" s="12" t="n">
        <v>12216.12</v>
      </c>
      <c r="K86" s="12" t="n">
        <v>86485.77</v>
      </c>
      <c r="L86" s="12" t="n">
        <v>5667.993333333333</v>
      </c>
      <c r="M86" s="9" t="n">
        <v>0</v>
      </c>
      <c r="N86" s="12" t="n">
        <v>0</v>
      </c>
      <c r="O86" s="12" t="n">
        <v>0</v>
      </c>
      <c r="P86" s="12" t="n">
        <v>6200000</v>
      </c>
      <c r="Q86" s="9" t="inlineStr">
        <is>
          <t>Low</t>
        </is>
      </c>
      <c r="R86" s="11">
        <f>IFERROR(O86/K86,0)</f>
        <v/>
      </c>
    </row>
    <row r="87">
      <c r="A87" s="9" t="inlineStr">
        <is>
          <t>T0204</t>
        </is>
      </c>
      <c r="B87" s="9" t="inlineStr">
        <is>
          <t>Atlas Assurance</t>
        </is>
      </c>
      <c r="C87" s="9" t="inlineStr">
        <is>
          <t>Property</t>
        </is>
      </c>
      <c r="D87" s="9" t="inlineStr">
        <is>
          <t>North America</t>
        </is>
      </c>
      <c r="E87" s="9" t="inlineStr">
        <is>
          <t>Priya Nair</t>
        </is>
      </c>
      <c r="F87" s="9" t="inlineStr">
        <is>
          <t>Proportional</t>
        </is>
      </c>
      <c r="G87" s="9" t="n">
        <v>2025</v>
      </c>
      <c r="H87" s="12" t="n">
        <v>17400000</v>
      </c>
      <c r="I87" s="12" t="n">
        <v>1412913.72</v>
      </c>
      <c r="J87" s="12" t="n">
        <v>113340.6</v>
      </c>
      <c r="K87" s="12" t="n">
        <v>1412913.72</v>
      </c>
      <c r="L87" s="12" t="n">
        <v>356172.48</v>
      </c>
      <c r="M87" s="9" t="n">
        <v>9</v>
      </c>
      <c r="N87" s="12" t="n">
        <v>675220.96</v>
      </c>
      <c r="O87" s="12" t="n">
        <v>2480847.89</v>
      </c>
      <c r="P87" s="12" t="n">
        <v>2610000</v>
      </c>
      <c r="Q87" s="9" t="inlineStr">
        <is>
          <t>Low</t>
        </is>
      </c>
      <c r="R87" s="11">
        <f>IFERROR(O87/K87,0)</f>
        <v/>
      </c>
    </row>
    <row r="88">
      <c r="A88" s="9" t="inlineStr">
        <is>
          <t>T0205</t>
        </is>
      </c>
      <c r="B88" s="9" t="inlineStr">
        <is>
          <t>Harbor Assurance</t>
        </is>
      </c>
      <c r="C88" s="9" t="inlineStr">
        <is>
          <t>Casualty</t>
        </is>
      </c>
      <c r="D88" s="9" t="inlineStr">
        <is>
          <t>North America</t>
        </is>
      </c>
      <c r="E88" s="9" t="inlineStr">
        <is>
          <t>Sophie Laurent</t>
        </is>
      </c>
      <c r="F88" s="9" t="inlineStr">
        <is>
          <t>Proportional</t>
        </is>
      </c>
      <c r="G88" s="9" t="n">
        <v>2023</v>
      </c>
      <c r="H88" s="12" t="n">
        <v>19900000</v>
      </c>
      <c r="I88" s="12" t="n">
        <v>2279213.28</v>
      </c>
      <c r="J88" s="12" t="n">
        <v>213111.24</v>
      </c>
      <c r="K88" s="12" t="n">
        <v>2279213.28</v>
      </c>
      <c r="L88" s="12" t="n">
        <v>529656.6000000001</v>
      </c>
      <c r="M88" s="9" t="n">
        <v>22</v>
      </c>
      <c r="N88" s="12" t="n">
        <v>1552153.72</v>
      </c>
      <c r="O88" s="12" t="n">
        <v>1552153.72</v>
      </c>
      <c r="P88" s="12" t="n">
        <v>4975000</v>
      </c>
      <c r="Q88" s="9" t="inlineStr">
        <is>
          <t>Low</t>
        </is>
      </c>
      <c r="R88" s="11">
        <f>IFERROR(O88/K88,0)</f>
        <v/>
      </c>
    </row>
    <row r="89">
      <c r="A89" s="9" t="inlineStr">
        <is>
          <t>T0209</t>
        </is>
      </c>
      <c r="B89" s="9" t="inlineStr">
        <is>
          <t>Harbor Indemnity</t>
        </is>
      </c>
      <c r="C89" s="9" t="inlineStr">
        <is>
          <t>Specialty</t>
        </is>
      </c>
      <c r="D89" s="9" t="inlineStr">
        <is>
          <t>North America</t>
        </is>
      </c>
      <c r="E89" s="9" t="inlineStr">
        <is>
          <t>Sophie Laurent</t>
        </is>
      </c>
      <c r="F89" s="9" t="inlineStr">
        <is>
          <t>Excess of Loss</t>
        </is>
      </c>
      <c r="G89" s="9" t="n">
        <v>2025</v>
      </c>
      <c r="H89" s="12" t="n">
        <v>7500000</v>
      </c>
      <c r="I89" s="12" t="n">
        <v>757117.13</v>
      </c>
      <c r="J89" s="12" t="n">
        <v>75424.25</v>
      </c>
      <c r="K89" s="12" t="n">
        <v>724997.01</v>
      </c>
      <c r="L89" s="12" t="n">
        <v>79610.09073987165</v>
      </c>
      <c r="M89" s="9" t="n">
        <v>10</v>
      </c>
      <c r="N89" s="12" t="n">
        <v>78651.17</v>
      </c>
      <c r="O89" s="12" t="n">
        <v>317197.5</v>
      </c>
      <c r="P89" s="12" t="n">
        <v>7500000</v>
      </c>
      <c r="Q89" s="9" t="inlineStr">
        <is>
          <t>Low</t>
        </is>
      </c>
      <c r="R89" s="11">
        <f>IFERROR(O89/K89,0)</f>
        <v/>
      </c>
    </row>
    <row r="90">
      <c r="A90" s="9" t="inlineStr">
        <is>
          <t>T0210</t>
        </is>
      </c>
      <c r="B90" s="9" t="inlineStr">
        <is>
          <t>Meridian General</t>
        </is>
      </c>
      <c r="C90" s="9" t="inlineStr">
        <is>
          <t>Property</t>
        </is>
      </c>
      <c r="D90" s="9" t="inlineStr">
        <is>
          <t>North America</t>
        </is>
      </c>
      <c r="E90" s="9" t="inlineStr">
        <is>
          <t>Hannah Weber</t>
        </is>
      </c>
      <c r="F90" s="9" t="inlineStr">
        <is>
          <t>Excess of Loss</t>
        </is>
      </c>
      <c r="G90" s="9" t="n">
        <v>2022</v>
      </c>
      <c r="H90" s="12" t="n">
        <v>7300000</v>
      </c>
      <c r="I90" s="12" t="n">
        <v>657145.6799999999</v>
      </c>
      <c r="J90" s="12" t="n">
        <v>42408.60000000001</v>
      </c>
      <c r="K90" s="12" t="n">
        <v>657145.6799999999</v>
      </c>
      <c r="L90" s="12" t="n">
        <v>64932.35999999999</v>
      </c>
      <c r="M90" s="9" t="n">
        <v>11</v>
      </c>
      <c r="N90" s="12" t="n">
        <v>457849.34</v>
      </c>
      <c r="O90" s="12" t="n">
        <v>582775.27</v>
      </c>
      <c r="P90" s="12" t="n">
        <v>7300000</v>
      </c>
      <c r="Q90" s="9" t="inlineStr">
        <is>
          <t>Low</t>
        </is>
      </c>
      <c r="R90" s="11">
        <f>IFERROR(O90/K90,0)</f>
        <v/>
      </c>
    </row>
    <row r="91">
      <c r="A91" s="9" t="inlineStr">
        <is>
          <t>T0214</t>
        </is>
      </c>
      <c r="B91" s="9" t="inlineStr">
        <is>
          <t>Cobalt Indemnity</t>
        </is>
      </c>
      <c r="C91" s="9" t="inlineStr">
        <is>
          <t>Casualty</t>
        </is>
      </c>
      <c r="D91" s="9" t="inlineStr">
        <is>
          <t>North America</t>
        </is>
      </c>
      <c r="E91" s="9" t="inlineStr">
        <is>
          <t>Carlos Ibarra</t>
        </is>
      </c>
      <c r="F91" s="9" t="inlineStr">
        <is>
          <t>Facultative</t>
        </is>
      </c>
      <c r="G91" s="9" t="n">
        <v>2024</v>
      </c>
      <c r="H91" s="12" t="n">
        <v>13800000</v>
      </c>
      <c r="I91" s="12" t="n">
        <v>1594859.16</v>
      </c>
      <c r="J91" s="12" t="n">
        <v>148245.84</v>
      </c>
      <c r="K91" s="12" t="n">
        <v>1594859.16</v>
      </c>
      <c r="L91" s="12" t="n">
        <v>291373.2</v>
      </c>
      <c r="M91" s="9" t="n">
        <v>6</v>
      </c>
      <c r="N91" s="12" t="n">
        <v>731626.3099999999</v>
      </c>
      <c r="O91" s="12" t="n">
        <v>747803.29</v>
      </c>
      <c r="P91" s="12" t="n">
        <v>13800000</v>
      </c>
      <c r="Q91" s="9" t="inlineStr">
        <is>
          <t>Low</t>
        </is>
      </c>
      <c r="R91" s="11">
        <f>IFERROR(O91/K91,0)</f>
        <v/>
      </c>
    </row>
    <row r="92">
      <c r="A92" s="9" t="inlineStr">
        <is>
          <t>T0215</t>
        </is>
      </c>
      <c r="B92" s="9" t="inlineStr">
        <is>
          <t>Orion General</t>
        </is>
      </c>
      <c r="C92" s="9" t="inlineStr">
        <is>
          <t>Property</t>
        </is>
      </c>
      <c r="D92" s="9" t="inlineStr">
        <is>
          <t>North America</t>
        </is>
      </c>
      <c r="E92" s="9" t="inlineStr">
        <is>
          <t>Aarav Mehta</t>
        </is>
      </c>
      <c r="F92" s="9" t="inlineStr">
        <is>
          <t>Proportional</t>
        </is>
      </c>
      <c r="G92" s="9" t="n">
        <v>2024</v>
      </c>
      <c r="H92" s="12" t="n">
        <v>66000000</v>
      </c>
      <c r="I92" s="12" t="n">
        <v>6637818.600000001</v>
      </c>
      <c r="J92" s="12" t="n">
        <v>475719.48</v>
      </c>
      <c r="K92" s="12" t="n">
        <v>6637818.600000001</v>
      </c>
      <c r="L92" s="12" t="n">
        <v>1566749.64</v>
      </c>
      <c r="M92" s="9" t="n">
        <v>9</v>
      </c>
      <c r="N92" s="12" t="n">
        <v>2505938.99</v>
      </c>
      <c r="O92" s="12" t="n">
        <v>3449869.4</v>
      </c>
      <c r="P92" s="12" t="n">
        <v>16500000</v>
      </c>
      <c r="Q92" s="9" t="inlineStr">
        <is>
          <t>Low</t>
        </is>
      </c>
      <c r="R92" s="11">
        <f>IFERROR(O92/K92,0)</f>
        <v/>
      </c>
    </row>
    <row r="93">
      <c r="A93" s="9" t="inlineStr">
        <is>
          <t>T0216</t>
        </is>
      </c>
      <c r="B93" s="9" t="inlineStr">
        <is>
          <t>Northwind Assurance</t>
        </is>
      </c>
      <c r="C93" s="9" t="inlineStr">
        <is>
          <t>Specialty</t>
        </is>
      </c>
      <c r="D93" s="9" t="inlineStr">
        <is>
          <t>North America</t>
        </is>
      </c>
      <c r="E93" s="9" t="inlineStr">
        <is>
          <t>Hannah Weber</t>
        </is>
      </c>
      <c r="F93" s="9" t="inlineStr">
        <is>
          <t>Facultative</t>
        </is>
      </c>
      <c r="G93" s="9" t="n">
        <v>2023</v>
      </c>
      <c r="H93" s="12" t="n">
        <v>4400000</v>
      </c>
      <c r="I93" s="12" t="n">
        <v>742504.2</v>
      </c>
      <c r="J93" s="12" t="n">
        <v>41516.16</v>
      </c>
      <c r="K93" s="12" t="n">
        <v>742504.2</v>
      </c>
      <c r="L93" s="12" t="n">
        <v>133431.6</v>
      </c>
      <c r="M93" s="9" t="n">
        <v>7</v>
      </c>
      <c r="N93" s="12" t="n">
        <v>387777.28</v>
      </c>
      <c r="O93" s="12" t="n">
        <v>445679.52</v>
      </c>
      <c r="P93" s="12" t="n">
        <v>4400000</v>
      </c>
      <c r="Q93" s="9" t="inlineStr">
        <is>
          <t>Low</t>
        </is>
      </c>
      <c r="R93" s="11">
        <f>IFERROR(O93/K93,0)</f>
        <v/>
      </c>
    </row>
    <row r="94">
      <c r="A94" s="9" t="inlineStr">
        <is>
          <t>T0219</t>
        </is>
      </c>
      <c r="B94" s="9" t="inlineStr">
        <is>
          <t>Orion Assurance</t>
        </is>
      </c>
      <c r="C94" s="9" t="inlineStr">
        <is>
          <t>Property</t>
        </is>
      </c>
      <c r="D94" s="9" t="inlineStr">
        <is>
          <t>North America</t>
        </is>
      </c>
      <c r="E94" s="9" t="inlineStr">
        <is>
          <t>Omar Haddad</t>
        </is>
      </c>
      <c r="F94" s="9" t="inlineStr">
        <is>
          <t>Facultative</t>
        </is>
      </c>
      <c r="G94" s="9" t="n">
        <v>2022</v>
      </c>
      <c r="H94" s="12" t="n">
        <v>4100000</v>
      </c>
      <c r="I94" s="12" t="n">
        <v>359340.6</v>
      </c>
      <c r="J94" s="12" t="n">
        <v>41216.28</v>
      </c>
      <c r="K94" s="12" t="n">
        <v>359340.6</v>
      </c>
      <c r="L94" s="12" t="n">
        <v>53990.64</v>
      </c>
      <c r="M94" s="9" t="n">
        <v>9</v>
      </c>
      <c r="N94" s="12" t="n">
        <v>310030.73</v>
      </c>
      <c r="O94" s="12" t="n">
        <v>310030.73</v>
      </c>
      <c r="P94" s="12" t="n">
        <v>4100000</v>
      </c>
      <c r="Q94" s="9" t="inlineStr">
        <is>
          <t>Low</t>
        </is>
      </c>
      <c r="R94" s="11">
        <f>IFERROR(O94/K94,0)</f>
        <v/>
      </c>
    </row>
    <row r="95">
      <c r="A95" s="9" t="inlineStr">
        <is>
          <t>T0221</t>
        </is>
      </c>
      <c r="B95" s="9" t="inlineStr">
        <is>
          <t>Northwind Indemnity</t>
        </is>
      </c>
      <c r="C95" s="9" t="inlineStr">
        <is>
          <t>Casualty</t>
        </is>
      </c>
      <c r="D95" s="9" t="inlineStr">
        <is>
          <t>North America</t>
        </is>
      </c>
      <c r="E95" s="9" t="inlineStr">
        <is>
          <t>Unassigned</t>
        </is>
      </c>
      <c r="F95" s="9" t="inlineStr">
        <is>
          <t>Proportional</t>
        </is>
      </c>
      <c r="G95" s="9" t="n">
        <v>2024</v>
      </c>
      <c r="H95" s="12" t="n">
        <v>17400000</v>
      </c>
      <c r="I95" s="12" t="n">
        <v>1674352.8</v>
      </c>
      <c r="J95" s="12" t="n">
        <v>135994.68</v>
      </c>
      <c r="K95" s="12" t="n">
        <v>1674352.8</v>
      </c>
      <c r="L95" s="12" t="n">
        <v>442347.48</v>
      </c>
      <c r="M95" s="9" t="n">
        <v>5</v>
      </c>
      <c r="N95" s="12" t="n">
        <v>467456.05</v>
      </c>
      <c r="O95" s="12" t="n">
        <v>667726.78</v>
      </c>
      <c r="P95" s="12" t="n">
        <v>4350000</v>
      </c>
      <c r="Q95" s="9" t="inlineStr">
        <is>
          <t>Low</t>
        </is>
      </c>
      <c r="R95" s="11">
        <f>IFERROR(O95/K95,0)</f>
        <v/>
      </c>
    </row>
    <row r="96">
      <c r="A96" s="9" t="inlineStr">
        <is>
          <t>T0223</t>
        </is>
      </c>
      <c r="B96" s="9" t="inlineStr">
        <is>
          <t>Northwind Indemnity</t>
        </is>
      </c>
      <c r="C96" s="9" t="inlineStr">
        <is>
          <t>Property</t>
        </is>
      </c>
      <c r="D96" s="9" t="inlineStr">
        <is>
          <t>North America</t>
        </is>
      </c>
      <c r="E96" s="9" t="inlineStr">
        <is>
          <t>Aarav Mehta</t>
        </is>
      </c>
      <c r="F96" s="9" t="inlineStr">
        <is>
          <t>Excess of Loss</t>
        </is>
      </c>
      <c r="G96" s="9" t="n">
        <v>2022</v>
      </c>
      <c r="H96" s="12" t="n">
        <v>12300000</v>
      </c>
      <c r="I96" s="12" t="n">
        <v>1036878.84</v>
      </c>
      <c r="J96" s="12" t="n">
        <v>118552.68</v>
      </c>
      <c r="K96" s="12" t="n">
        <v>1036878.84</v>
      </c>
      <c r="L96" s="12" t="n">
        <v>84768</v>
      </c>
      <c r="M96" s="9" t="n">
        <v>7</v>
      </c>
      <c r="N96" s="12" t="n">
        <v>1114480.05</v>
      </c>
      <c r="O96" s="12" t="n">
        <v>1114480.05</v>
      </c>
      <c r="P96" s="12" t="n">
        <v>12300000</v>
      </c>
      <c r="Q96" s="9" t="inlineStr">
        <is>
          <t>Low</t>
        </is>
      </c>
      <c r="R96" s="11">
        <f>IFERROR(O96/K96,0)</f>
        <v/>
      </c>
    </row>
    <row r="97">
      <c r="A97" s="9" t="inlineStr">
        <is>
          <t>T0226</t>
        </is>
      </c>
      <c r="B97" s="9" t="inlineStr">
        <is>
          <t>Northwind Insurance</t>
        </is>
      </c>
      <c r="C97" s="9" t="inlineStr">
        <is>
          <t>Property</t>
        </is>
      </c>
      <c r="D97" s="9" t="inlineStr">
        <is>
          <t>North America</t>
        </is>
      </c>
      <c r="E97" s="9" t="inlineStr">
        <is>
          <t>Sophie Laurent</t>
        </is>
      </c>
      <c r="F97" s="9" t="inlineStr">
        <is>
          <t>Proportional</t>
        </is>
      </c>
      <c r="G97" s="9" t="n">
        <v>2024</v>
      </c>
      <c r="H97" s="12" t="n">
        <v>13300000</v>
      </c>
      <c r="I97" s="12" t="n">
        <v>1660626.6</v>
      </c>
      <c r="J97" s="12" t="n">
        <v>146005.08</v>
      </c>
      <c r="K97" s="12" t="n">
        <v>1660626.6</v>
      </c>
      <c r="L97" s="12" t="n">
        <v>420346.32</v>
      </c>
      <c r="M97" s="9" t="n">
        <v>8</v>
      </c>
      <c r="N97" s="12" t="n">
        <v>1927094.5</v>
      </c>
      <c r="O97" s="12" t="n">
        <v>2020090.61</v>
      </c>
      <c r="P97" s="12" t="n">
        <v>3990000</v>
      </c>
      <c r="Q97" s="9" t="inlineStr">
        <is>
          <t>Low</t>
        </is>
      </c>
      <c r="R97" s="11">
        <f>IFERROR(O97/K97,0)</f>
        <v/>
      </c>
    </row>
    <row r="98">
      <c r="A98" s="9" t="inlineStr">
        <is>
          <t>T0227</t>
        </is>
      </c>
      <c r="B98" s="9" t="inlineStr">
        <is>
          <t>Meridian Mutual</t>
        </is>
      </c>
      <c r="C98" s="9" t="inlineStr">
        <is>
          <t>Specialty</t>
        </is>
      </c>
      <c r="D98" s="9" t="inlineStr">
        <is>
          <t>North America</t>
        </is>
      </c>
      <c r="E98" s="9" t="inlineStr">
        <is>
          <t>Aarav Mehta</t>
        </is>
      </c>
      <c r="F98" s="9" t="inlineStr">
        <is>
          <t>Proportional</t>
        </is>
      </c>
      <c r="G98" s="9" t="n">
        <v>2026</v>
      </c>
      <c r="H98" s="12" t="n">
        <v>5000000</v>
      </c>
      <c r="I98" s="12" t="n">
        <v>701491.9500000001</v>
      </c>
      <c r="J98" s="12" t="n">
        <v>53564.31</v>
      </c>
      <c r="K98" s="12" t="n">
        <v>623548.4</v>
      </c>
      <c r="L98" s="12" t="n">
        <v>182161.52</v>
      </c>
      <c r="M98" s="9" t="n">
        <v>4</v>
      </c>
      <c r="N98" s="12" t="n">
        <v>132093.18</v>
      </c>
      <c r="O98" s="12" t="n">
        <v>270688.71</v>
      </c>
      <c r="P98" s="12" t="n">
        <v>1000000</v>
      </c>
      <c r="Q98" s="9" t="inlineStr">
        <is>
          <t>Low</t>
        </is>
      </c>
      <c r="R98" s="11">
        <f>IFERROR(O98/K98,0)</f>
        <v/>
      </c>
    </row>
    <row r="99">
      <c r="A99" s="9" t="inlineStr">
        <is>
          <t>T0228</t>
        </is>
      </c>
      <c r="B99" s="9" t="inlineStr">
        <is>
          <t>Orion General</t>
        </is>
      </c>
      <c r="C99" s="9" t="inlineStr">
        <is>
          <t>Property</t>
        </is>
      </c>
      <c r="D99" s="9" t="inlineStr">
        <is>
          <t>North America</t>
        </is>
      </c>
      <c r="E99" s="9" t="inlineStr">
        <is>
          <t>James Whitfield</t>
        </is>
      </c>
      <c r="F99" s="9" t="inlineStr">
        <is>
          <t>Excess of Loss</t>
        </is>
      </c>
      <c r="G99" s="9" t="n">
        <v>2026</v>
      </c>
      <c r="H99" s="12" t="n">
        <v>7300000</v>
      </c>
      <c r="I99" s="12" t="n">
        <v>170615.19</v>
      </c>
      <c r="J99" s="12" t="n">
        <v>15679.02</v>
      </c>
      <c r="K99" s="12" t="n">
        <v>155449.4</v>
      </c>
      <c r="L99" s="12" t="n">
        <v>17113.48251375508</v>
      </c>
      <c r="M99" s="9" t="n">
        <v>1</v>
      </c>
      <c r="N99" s="12" t="n">
        <v>38918.62</v>
      </c>
      <c r="O99" s="12" t="n">
        <v>123450.94</v>
      </c>
      <c r="P99" s="12" t="n">
        <v>7300000</v>
      </c>
      <c r="Q99" s="9" t="inlineStr">
        <is>
          <t>Low</t>
        </is>
      </c>
      <c r="R99" s="11">
        <f>IFERROR(O99/K99,0)</f>
        <v/>
      </c>
    </row>
    <row r="100">
      <c r="A100" s="9" t="inlineStr">
        <is>
          <t>T0229</t>
        </is>
      </c>
      <c r="B100" s="9" t="inlineStr">
        <is>
          <t>Lumen Insurance</t>
        </is>
      </c>
      <c r="C100" s="9" t="inlineStr">
        <is>
          <t>Property</t>
        </is>
      </c>
      <c r="D100" s="9" t="inlineStr">
        <is>
          <t>North America</t>
        </is>
      </c>
      <c r="E100" s="9" t="inlineStr">
        <is>
          <t>Aarav Mehta</t>
        </is>
      </c>
      <c r="F100" s="9" t="inlineStr">
        <is>
          <t>Proportional</t>
        </is>
      </c>
      <c r="G100" s="9" t="n">
        <v>2022</v>
      </c>
      <c r="H100" s="12" t="n">
        <v>7200000</v>
      </c>
      <c r="I100" s="12" t="n">
        <v>545523</v>
      </c>
      <c r="J100" s="12" t="n">
        <v>54576.72</v>
      </c>
      <c r="K100" s="12" t="n">
        <v>545523</v>
      </c>
      <c r="L100" s="12" t="n">
        <v>137040.96</v>
      </c>
      <c r="M100" s="9" t="n">
        <v>11</v>
      </c>
      <c r="N100" s="12" t="n">
        <v>507400.88</v>
      </c>
      <c r="O100" s="12" t="n">
        <v>509656.3</v>
      </c>
      <c r="P100" s="12" t="n">
        <v>2880000</v>
      </c>
      <c r="Q100" s="9" t="inlineStr">
        <is>
          <t>Low</t>
        </is>
      </c>
      <c r="R100" s="11">
        <f>IFERROR(O100/K100,0)</f>
        <v/>
      </c>
    </row>
    <row r="101">
      <c r="A101" s="9" t="inlineStr">
        <is>
          <t>T0232</t>
        </is>
      </c>
      <c r="B101" s="9" t="inlineStr">
        <is>
          <t>Orion General</t>
        </is>
      </c>
      <c r="C101" s="9" t="inlineStr">
        <is>
          <t>Property</t>
        </is>
      </c>
      <c r="D101" s="9" t="inlineStr">
        <is>
          <t>North America</t>
        </is>
      </c>
      <c r="E101" s="9" t="inlineStr">
        <is>
          <t>Carlos Ibarra</t>
        </is>
      </c>
      <c r="F101" s="9" t="inlineStr">
        <is>
          <t>Excess of Loss</t>
        </is>
      </c>
      <c r="G101" s="9" t="n">
        <v>2021</v>
      </c>
      <c r="H101" s="12" t="n">
        <v>7500000</v>
      </c>
      <c r="I101" s="12" t="n">
        <v>694864.2</v>
      </c>
      <c r="J101" s="12" t="n">
        <v>71783.28</v>
      </c>
      <c r="K101" s="12" t="n">
        <v>694864.2</v>
      </c>
      <c r="L101" s="12" t="n">
        <v>39320.28</v>
      </c>
      <c r="M101" s="9" t="n">
        <v>15</v>
      </c>
      <c r="N101" s="12" t="n">
        <v>662254.62</v>
      </c>
      <c r="O101" s="12" t="n">
        <v>796020.2</v>
      </c>
      <c r="P101" s="12" t="n">
        <v>7500000</v>
      </c>
      <c r="Q101" s="9" t="inlineStr">
        <is>
          <t>Low</t>
        </is>
      </c>
      <c r="R101" s="11">
        <f>IFERROR(O101/K101,0)</f>
        <v/>
      </c>
    </row>
    <row r="102">
      <c r="A102" s="9" t="inlineStr">
        <is>
          <t>T0233</t>
        </is>
      </c>
      <c r="B102" s="9" t="inlineStr">
        <is>
          <t>Harbor Indemnity</t>
        </is>
      </c>
      <c r="C102" s="9" t="inlineStr">
        <is>
          <t>Financial Lines</t>
        </is>
      </c>
      <c r="D102" s="9" t="inlineStr">
        <is>
          <t>North America</t>
        </is>
      </c>
      <c r="E102" s="9" t="inlineStr">
        <is>
          <t>Unassigned</t>
        </is>
      </c>
      <c r="F102" s="9" t="inlineStr">
        <is>
          <t>Excess of Loss</t>
        </is>
      </c>
      <c r="G102" s="9" t="n">
        <v>2024</v>
      </c>
      <c r="H102" s="12" t="n">
        <v>12400000</v>
      </c>
      <c r="I102" s="12" t="n">
        <v>2471010.72</v>
      </c>
      <c r="J102" s="12" t="n">
        <v>260309.64</v>
      </c>
      <c r="K102" s="12" t="n">
        <v>2471010.72</v>
      </c>
      <c r="L102" s="12" t="n">
        <v>140043.84</v>
      </c>
      <c r="M102" s="9" t="n">
        <v>10</v>
      </c>
      <c r="N102" s="12" t="n">
        <v>1529301.85</v>
      </c>
      <c r="O102" s="12" t="n">
        <v>1846663.19</v>
      </c>
      <c r="P102" s="12" t="n">
        <v>12400000</v>
      </c>
      <c r="Q102" s="9" t="inlineStr">
        <is>
          <t>Low</t>
        </is>
      </c>
      <c r="R102" s="11">
        <f>IFERROR(O102/K102,0)</f>
        <v/>
      </c>
    </row>
    <row r="103">
      <c r="A103" s="9" t="inlineStr">
        <is>
          <t>T0236</t>
        </is>
      </c>
      <c r="B103" s="9" t="inlineStr">
        <is>
          <t>Orion General</t>
        </is>
      </c>
      <c r="C103" s="9" t="inlineStr">
        <is>
          <t>Casualty</t>
        </is>
      </c>
      <c r="D103" s="9" t="inlineStr">
        <is>
          <t>North America</t>
        </is>
      </c>
      <c r="E103" s="9" t="inlineStr">
        <is>
          <t>Omar Haddad</t>
        </is>
      </c>
      <c r="F103" s="9" t="inlineStr">
        <is>
          <t>Facultative</t>
        </is>
      </c>
      <c r="G103" s="9" t="n">
        <v>2023</v>
      </c>
      <c r="H103" s="12" t="n">
        <v>5100000</v>
      </c>
      <c r="I103" s="12" t="n">
        <v>664860.36</v>
      </c>
      <c r="J103" s="12" t="n">
        <v>74171.64</v>
      </c>
      <c r="K103" s="12" t="n">
        <v>664860.36</v>
      </c>
      <c r="L103" s="12" t="n">
        <v>118219.44</v>
      </c>
      <c r="M103" s="9" t="n">
        <v>15</v>
      </c>
      <c r="N103" s="12" t="n">
        <v>318343.25</v>
      </c>
      <c r="O103" s="12" t="n">
        <v>332928.68</v>
      </c>
      <c r="P103" s="12" t="n">
        <v>5100000</v>
      </c>
      <c r="Q103" s="9" t="inlineStr">
        <is>
          <t>Low</t>
        </is>
      </c>
      <c r="R103" s="11">
        <f>IFERROR(O103/K103,0)</f>
        <v/>
      </c>
    </row>
    <row r="104">
      <c r="A104" s="9" t="inlineStr">
        <is>
          <t>T0237</t>
        </is>
      </c>
      <c r="B104" s="9" t="inlineStr">
        <is>
          <t>Summit General</t>
        </is>
      </c>
      <c r="C104" s="9" t="inlineStr">
        <is>
          <t>Financial Lines</t>
        </is>
      </c>
      <c r="D104" s="9" t="inlineStr">
        <is>
          <t>North America</t>
        </is>
      </c>
      <c r="E104" s="9" t="inlineStr">
        <is>
          <t>Aarav Mehta</t>
        </is>
      </c>
      <c r="F104" s="9" t="inlineStr">
        <is>
          <t>Proportional</t>
        </is>
      </c>
      <c r="G104" s="9" t="n">
        <v>2024</v>
      </c>
      <c r="H104" s="12" t="n">
        <v>29200000</v>
      </c>
      <c r="I104" s="12" t="n">
        <v>2385754.44</v>
      </c>
      <c r="J104" s="12" t="n">
        <v>235541.16</v>
      </c>
      <c r="K104" s="12" t="n">
        <v>2385754.44</v>
      </c>
      <c r="L104" s="12" t="n">
        <v>549065.88</v>
      </c>
      <c r="M104" s="9" t="n">
        <v>5</v>
      </c>
      <c r="N104" s="12" t="n">
        <v>1290974.61</v>
      </c>
      <c r="O104" s="12" t="n">
        <v>1318035.11</v>
      </c>
      <c r="P104" s="12" t="n">
        <v>4380000</v>
      </c>
      <c r="Q104" s="9" t="inlineStr">
        <is>
          <t>Low</t>
        </is>
      </c>
      <c r="R104" s="11">
        <f>IFERROR(O104/K104,0)</f>
        <v/>
      </c>
    </row>
    <row r="105">
      <c r="A105" s="9" t="inlineStr">
        <is>
          <t>T0238</t>
        </is>
      </c>
      <c r="B105" s="9" t="inlineStr">
        <is>
          <t>Atlas Indemnity</t>
        </is>
      </c>
      <c r="C105" s="9" t="inlineStr">
        <is>
          <t>Casualty</t>
        </is>
      </c>
      <c r="D105" s="9" t="inlineStr">
        <is>
          <t>North America</t>
        </is>
      </c>
      <c r="E105" s="9" t="inlineStr">
        <is>
          <t>Kenji Sato</t>
        </is>
      </c>
      <c r="F105" s="9" t="inlineStr">
        <is>
          <t>Proportional</t>
        </is>
      </c>
      <c r="G105" s="9" t="n">
        <v>2023</v>
      </c>
      <c r="H105" s="12" t="n">
        <v>5700000</v>
      </c>
      <c r="I105" s="12" t="n">
        <v>418000.92</v>
      </c>
      <c r="J105" s="12" t="n">
        <v>41672.52</v>
      </c>
      <c r="K105" s="12" t="n">
        <v>418000.92</v>
      </c>
      <c r="L105" s="12" t="n">
        <v>97819.68000000002</v>
      </c>
      <c r="M105" s="9" t="n">
        <v>13</v>
      </c>
      <c r="N105" s="12" t="n">
        <v>171535.89</v>
      </c>
      <c r="O105" s="12" t="n">
        <v>173952.08</v>
      </c>
      <c r="P105" s="12" t="n">
        <v>2850000</v>
      </c>
      <c r="Q105" s="9" t="inlineStr">
        <is>
          <t>Low</t>
        </is>
      </c>
      <c r="R105" s="11">
        <f>IFERROR(O105/K105,0)</f>
        <v/>
      </c>
    </row>
    <row r="106">
      <c r="A106" s="9" t="inlineStr">
        <is>
          <t>T0239</t>
        </is>
      </c>
      <c r="B106" s="9" t="inlineStr">
        <is>
          <t>Evergreen General</t>
        </is>
      </c>
      <c r="C106" s="9" t="inlineStr">
        <is>
          <t>Professional</t>
        </is>
      </c>
      <c r="D106" s="9" t="inlineStr">
        <is>
          <t>North America</t>
        </is>
      </c>
      <c r="E106" s="9" t="inlineStr">
        <is>
          <t>Kenji Sato</t>
        </is>
      </c>
      <c r="F106" s="9" t="inlineStr">
        <is>
          <t>Proportional</t>
        </is>
      </c>
      <c r="G106" s="9" t="n">
        <v>2024</v>
      </c>
      <c r="H106" s="12" t="n">
        <v>39300000</v>
      </c>
      <c r="I106" s="12" t="n">
        <v>3579750.12</v>
      </c>
      <c r="J106" s="12" t="n">
        <v>336472.8</v>
      </c>
      <c r="K106" s="12" t="n">
        <v>3579750.12</v>
      </c>
      <c r="L106" s="12" t="n">
        <v>799576.5600000001</v>
      </c>
      <c r="M106" s="9" t="n">
        <v>13</v>
      </c>
      <c r="N106" s="12" t="n">
        <v>1014213.49</v>
      </c>
      <c r="O106" s="12" t="n">
        <v>1032502.53</v>
      </c>
      <c r="P106" s="12" t="n">
        <v>9825000</v>
      </c>
      <c r="Q106" s="9" t="inlineStr">
        <is>
          <t>Low</t>
        </is>
      </c>
      <c r="R106" s="11">
        <f>IFERROR(O106/K106,0)</f>
        <v/>
      </c>
    </row>
    <row r="107">
      <c r="A107" s="9" t="inlineStr">
        <is>
          <t>T0242</t>
        </is>
      </c>
      <c r="B107" s="9" t="inlineStr">
        <is>
          <t>Harbor General</t>
        </is>
      </c>
      <c r="C107" s="9" t="inlineStr">
        <is>
          <t>Specialty</t>
        </is>
      </c>
      <c r="D107" s="9" t="inlineStr">
        <is>
          <t>North America</t>
        </is>
      </c>
      <c r="E107" s="9" t="inlineStr">
        <is>
          <t>Hannah Weber</t>
        </is>
      </c>
      <c r="F107" s="9" t="inlineStr">
        <is>
          <t>Proportional</t>
        </is>
      </c>
      <c r="G107" s="9" t="n">
        <v>2024</v>
      </c>
      <c r="H107" s="12" t="n">
        <v>15600000</v>
      </c>
      <c r="I107" s="12" t="n">
        <v>2628890.04</v>
      </c>
      <c r="J107" s="12" t="n">
        <v>261673.56</v>
      </c>
      <c r="K107" s="12" t="n">
        <v>2628890.04</v>
      </c>
      <c r="L107" s="12" t="n">
        <v>600847.92</v>
      </c>
      <c r="M107" s="9" t="n">
        <v>9</v>
      </c>
      <c r="N107" s="12" t="n">
        <v>2456420.92</v>
      </c>
      <c r="O107" s="12" t="n">
        <v>2456420.92</v>
      </c>
      <c r="P107" s="12" t="n">
        <v>2340000</v>
      </c>
      <c r="Q107" s="9" t="inlineStr">
        <is>
          <t>Low</t>
        </is>
      </c>
      <c r="R107" s="11">
        <f>IFERROR(O107/K107,0)</f>
        <v/>
      </c>
    </row>
    <row r="108">
      <c r="A108" s="9" t="inlineStr">
        <is>
          <t>T0243</t>
        </is>
      </c>
      <c r="B108" s="9" t="inlineStr">
        <is>
          <t>Orion Assurance</t>
        </is>
      </c>
      <c r="C108" s="9" t="inlineStr">
        <is>
          <t>Specialty</t>
        </is>
      </c>
      <c r="D108" s="9" t="inlineStr">
        <is>
          <t>North America</t>
        </is>
      </c>
      <c r="E108" s="9" t="inlineStr">
        <is>
          <t>Priya Nair</t>
        </is>
      </c>
      <c r="F108" s="9" t="inlineStr">
        <is>
          <t>Excess of Loss</t>
        </is>
      </c>
      <c r="G108" s="9" t="n">
        <v>2025</v>
      </c>
      <c r="H108" s="12" t="n">
        <v>26100000</v>
      </c>
      <c r="I108" s="12" t="n">
        <v>3099128.7</v>
      </c>
      <c r="J108" s="12" t="n">
        <v>234505.3</v>
      </c>
      <c r="K108" s="12" t="n">
        <v>3037146.13</v>
      </c>
      <c r="L108" s="12" t="n">
        <v>157427.7882073365</v>
      </c>
      <c r="M108" s="9" t="n">
        <v>8</v>
      </c>
      <c r="N108" s="12" t="n">
        <v>550924.23</v>
      </c>
      <c r="O108" s="12" t="n">
        <v>1406898.41</v>
      </c>
      <c r="P108" s="12" t="n">
        <v>26100000</v>
      </c>
      <c r="Q108" s="9" t="inlineStr">
        <is>
          <t>Low</t>
        </is>
      </c>
      <c r="R108" s="11">
        <f>IFERROR(O108/K108,0)</f>
        <v/>
      </c>
    </row>
    <row r="109">
      <c r="A109" s="9" t="inlineStr">
        <is>
          <t>T0244</t>
        </is>
      </c>
      <c r="B109" s="9" t="inlineStr">
        <is>
          <t>Lumen Insurance</t>
        </is>
      </c>
      <c r="C109" s="9" t="inlineStr">
        <is>
          <t>Casualty</t>
        </is>
      </c>
      <c r="D109" s="9" t="inlineStr">
        <is>
          <t>North America</t>
        </is>
      </c>
      <c r="E109" s="9" t="inlineStr">
        <is>
          <t>Kenji Sato</t>
        </is>
      </c>
      <c r="F109" s="9" t="inlineStr">
        <is>
          <t>Proportional</t>
        </is>
      </c>
      <c r="G109" s="9" t="n">
        <v>2025</v>
      </c>
      <c r="H109" s="12" t="n">
        <v>23000000</v>
      </c>
      <c r="I109" s="12" t="n">
        <v>1854126.72</v>
      </c>
      <c r="J109" s="12" t="n">
        <v>169233.12</v>
      </c>
      <c r="K109" s="12" t="n">
        <v>1745969.33</v>
      </c>
      <c r="L109" s="12" t="n">
        <v>411629.9594715203</v>
      </c>
      <c r="M109" s="9" t="n">
        <v>10</v>
      </c>
      <c r="N109" s="12" t="n">
        <v>1345014.24</v>
      </c>
      <c r="O109" s="12" t="n">
        <v>1950845.82</v>
      </c>
      <c r="P109" s="12" t="n">
        <v>4600000</v>
      </c>
      <c r="Q109" s="9" t="inlineStr">
        <is>
          <t>Low</t>
        </is>
      </c>
      <c r="R109" s="11">
        <f>IFERROR(O109/K109,0)</f>
        <v/>
      </c>
    </row>
    <row r="110">
      <c r="A110" s="9" t="inlineStr">
        <is>
          <t>T0248</t>
        </is>
      </c>
      <c r="B110" s="9" t="inlineStr">
        <is>
          <t>Evergreen General</t>
        </is>
      </c>
      <c r="C110" s="9" t="inlineStr">
        <is>
          <t>Specialty</t>
        </is>
      </c>
      <c r="D110" s="9" t="inlineStr">
        <is>
          <t>North America</t>
        </is>
      </c>
      <c r="E110" s="9" t="inlineStr">
        <is>
          <t>Sophie Laurent</t>
        </is>
      </c>
      <c r="F110" s="9" t="inlineStr">
        <is>
          <t>Proportional</t>
        </is>
      </c>
      <c r="G110" s="9" t="n">
        <v>2026</v>
      </c>
      <c r="H110" s="12" t="n">
        <v>27400000</v>
      </c>
      <c r="I110" s="12" t="n">
        <v>1011541.5</v>
      </c>
      <c r="J110" s="12" t="n">
        <v>55872.2</v>
      </c>
      <c r="K110" s="12" t="n">
        <v>903643.74</v>
      </c>
      <c r="L110" s="12" t="n">
        <v>286826.4193333333</v>
      </c>
      <c r="M110" s="9" t="n">
        <v>5</v>
      </c>
      <c r="N110" s="12" t="n">
        <v>46321.56</v>
      </c>
      <c r="O110" s="12" t="n">
        <v>278052.38</v>
      </c>
      <c r="P110" s="12" t="n">
        <v>13700000</v>
      </c>
      <c r="Q110" s="9" t="inlineStr">
        <is>
          <t>Low</t>
        </is>
      </c>
      <c r="R110" s="11">
        <f>IFERROR(O110/K110,0)</f>
        <v/>
      </c>
    </row>
    <row r="111">
      <c r="A111" s="9" t="inlineStr">
        <is>
          <t>T0249</t>
        </is>
      </c>
      <c r="B111" s="9" t="inlineStr">
        <is>
          <t>Crown General</t>
        </is>
      </c>
      <c r="C111" s="9" t="inlineStr">
        <is>
          <t>Specialty</t>
        </is>
      </c>
      <c r="D111" s="9" t="inlineStr">
        <is>
          <t>North America</t>
        </is>
      </c>
      <c r="E111" s="9" t="inlineStr">
        <is>
          <t>Aarav Mehta</t>
        </is>
      </c>
      <c r="F111" s="9" t="inlineStr">
        <is>
          <t>Excess of Loss</t>
        </is>
      </c>
      <c r="G111" s="9" t="n">
        <v>2024</v>
      </c>
      <c r="H111" s="12" t="n">
        <v>39900000</v>
      </c>
      <c r="I111" s="12" t="n">
        <v>3034535.88</v>
      </c>
      <c r="J111" s="12" t="n">
        <v>259204.8</v>
      </c>
      <c r="K111" s="12" t="n">
        <v>3034535.88</v>
      </c>
      <c r="L111" s="12" t="n">
        <v>261312.72</v>
      </c>
      <c r="M111" s="9" t="n">
        <v>9</v>
      </c>
      <c r="N111" s="12" t="n">
        <v>2029210.31</v>
      </c>
      <c r="O111" s="12" t="n">
        <v>2525224.34</v>
      </c>
      <c r="P111" s="12" t="n">
        <v>39900000</v>
      </c>
      <c r="Q111" s="9" t="inlineStr">
        <is>
          <t>Low</t>
        </is>
      </c>
      <c r="R111" s="11">
        <f>IFERROR(O111/K111,0)</f>
        <v/>
      </c>
    </row>
    <row r="112">
      <c r="A112" s="9" t="inlineStr">
        <is>
          <t>T0252</t>
        </is>
      </c>
      <c r="B112" s="9" t="inlineStr">
        <is>
          <t>Atlas Indemnity</t>
        </is>
      </c>
      <c r="C112" s="9" t="inlineStr">
        <is>
          <t>Specialty</t>
        </is>
      </c>
      <c r="D112" s="9" t="inlineStr">
        <is>
          <t>North America</t>
        </is>
      </c>
      <c r="E112" s="9" t="inlineStr">
        <is>
          <t>James Whitfield</t>
        </is>
      </c>
      <c r="F112" s="9" t="inlineStr">
        <is>
          <t>Excess of Loss</t>
        </is>
      </c>
      <c r="G112" s="9" t="n">
        <v>2023</v>
      </c>
      <c r="H112" s="12" t="n">
        <v>9800000</v>
      </c>
      <c r="I112" s="12" t="n">
        <v>1334983.08</v>
      </c>
      <c r="J112" s="12" t="n">
        <v>98210.64</v>
      </c>
      <c r="K112" s="12" t="n">
        <v>1334983.08</v>
      </c>
      <c r="L112" s="12" t="n">
        <v>100798.32</v>
      </c>
      <c r="M112" s="9" t="n">
        <v>9</v>
      </c>
      <c r="N112" s="12" t="n">
        <v>863167.33</v>
      </c>
      <c r="O112" s="12" t="n">
        <v>937317.64</v>
      </c>
      <c r="P112" s="12" t="n">
        <v>9800000</v>
      </c>
      <c r="Q112" s="9" t="inlineStr">
        <is>
          <t>Low</t>
        </is>
      </c>
      <c r="R112" s="11">
        <f>IFERROR(O112/K112,0)</f>
        <v/>
      </c>
    </row>
    <row r="113">
      <c r="A113" s="9" t="inlineStr">
        <is>
          <t>T0253</t>
        </is>
      </c>
      <c r="B113" s="9" t="inlineStr">
        <is>
          <t>Evergreen General</t>
        </is>
      </c>
      <c r="C113" s="9" t="inlineStr">
        <is>
          <t>Professional</t>
        </is>
      </c>
      <c r="D113" s="9" t="inlineStr">
        <is>
          <t>North America</t>
        </is>
      </c>
      <c r="E113" s="9" t="inlineStr">
        <is>
          <t>Kenji Sato</t>
        </is>
      </c>
      <c r="F113" s="9" t="inlineStr">
        <is>
          <t>Excess of Loss</t>
        </is>
      </c>
      <c r="G113" s="9" t="n">
        <v>2023</v>
      </c>
      <c r="H113" s="12" t="n">
        <v>2000000</v>
      </c>
      <c r="I113" s="12" t="n">
        <v>398856.12</v>
      </c>
      <c r="J113" s="12" t="n">
        <v>45135</v>
      </c>
      <c r="K113" s="12" t="n">
        <v>398856.12</v>
      </c>
      <c r="L113" s="12" t="n">
        <v>41784.12</v>
      </c>
      <c r="M113" s="9" t="n">
        <v>14</v>
      </c>
      <c r="N113" s="12" t="n">
        <v>290686.55</v>
      </c>
      <c r="O113" s="12" t="n">
        <v>326686.96</v>
      </c>
      <c r="P113" s="12" t="n">
        <v>2000000</v>
      </c>
      <c r="Q113" s="9" t="inlineStr">
        <is>
          <t>Low</t>
        </is>
      </c>
      <c r="R113" s="11">
        <f>IFERROR(O113/K113,0)</f>
        <v/>
      </c>
    </row>
    <row r="114">
      <c r="A114" s="9" t="inlineStr">
        <is>
          <t>T0266</t>
        </is>
      </c>
      <c r="B114" s="9" t="inlineStr">
        <is>
          <t>Crown Mutual</t>
        </is>
      </c>
      <c r="C114" s="9" t="inlineStr">
        <is>
          <t>Property</t>
        </is>
      </c>
      <c r="D114" s="9" t="inlineStr">
        <is>
          <t>North America</t>
        </is>
      </c>
      <c r="E114" s="9" t="inlineStr">
        <is>
          <t>James Whitfield</t>
        </is>
      </c>
      <c r="F114" s="9" t="inlineStr">
        <is>
          <t>Proportional</t>
        </is>
      </c>
      <c r="G114" s="9" t="n">
        <v>2022</v>
      </c>
      <c r="H114" s="12" t="n">
        <v>20500000</v>
      </c>
      <c r="I114" s="12" t="n">
        <v>1941550.8</v>
      </c>
      <c r="J114" s="12" t="n">
        <v>140647.68</v>
      </c>
      <c r="K114" s="12" t="n">
        <v>1941550.8</v>
      </c>
      <c r="L114" s="12" t="n">
        <v>599989.3200000001</v>
      </c>
      <c r="M114" s="9" t="n">
        <v>4</v>
      </c>
      <c r="N114" s="12" t="n">
        <v>851742.9</v>
      </c>
      <c r="O114" s="12" t="n">
        <v>1211411.4</v>
      </c>
      <c r="P114" s="12" t="n">
        <v>3075000</v>
      </c>
      <c r="Q114" s="9" t="inlineStr">
        <is>
          <t>Low</t>
        </is>
      </c>
      <c r="R114" s="11">
        <f>IFERROR(O114/K114,0)</f>
        <v/>
      </c>
    </row>
    <row r="115">
      <c r="A115" s="9" t="inlineStr">
        <is>
          <t>T0267</t>
        </is>
      </c>
      <c r="B115" s="9" t="inlineStr">
        <is>
          <t>Evergreen Assurance</t>
        </is>
      </c>
      <c r="C115" s="9" t="inlineStr">
        <is>
          <t>Specialty</t>
        </is>
      </c>
      <c r="D115" s="9" t="inlineStr">
        <is>
          <t>North America</t>
        </is>
      </c>
      <c r="E115" s="9" t="inlineStr">
        <is>
          <t>Sophie Laurent</t>
        </is>
      </c>
      <c r="F115" s="9" t="inlineStr">
        <is>
          <t>Excess of Loss</t>
        </is>
      </c>
      <c r="G115" s="9" t="n">
        <v>2022</v>
      </c>
      <c r="H115" s="12" t="n">
        <v>32100000</v>
      </c>
      <c r="I115" s="12" t="n">
        <v>2915673.48</v>
      </c>
      <c r="J115" s="12" t="n">
        <v>167497.32</v>
      </c>
      <c r="K115" s="12" t="n">
        <v>2915673.48</v>
      </c>
      <c r="L115" s="12" t="n">
        <v>283026.72</v>
      </c>
      <c r="M115" s="9" t="n">
        <v>7</v>
      </c>
      <c r="N115" s="12" t="n">
        <v>1209070</v>
      </c>
      <c r="O115" s="12" t="n">
        <v>1246982.46</v>
      </c>
      <c r="P115" s="12" t="n">
        <v>32100000</v>
      </c>
      <c r="Q115" s="9" t="inlineStr">
        <is>
          <t>Low</t>
        </is>
      </c>
      <c r="R115" s="11">
        <f>IFERROR(O115/K115,0)</f>
        <v/>
      </c>
    </row>
    <row r="116">
      <c r="A116" s="9" t="inlineStr">
        <is>
          <t>T0268</t>
        </is>
      </c>
      <c r="B116" s="9" t="inlineStr">
        <is>
          <t>Evergreen Assurance</t>
        </is>
      </c>
      <c r="C116" s="9" t="inlineStr">
        <is>
          <t>Specialty</t>
        </is>
      </c>
      <c r="D116" s="9" t="inlineStr">
        <is>
          <t>North America</t>
        </is>
      </c>
      <c r="E116" s="9" t="inlineStr">
        <is>
          <t>Kenji Sato</t>
        </is>
      </c>
      <c r="F116" s="9" t="inlineStr">
        <is>
          <t>Proportional</t>
        </is>
      </c>
      <c r="G116" s="9" t="n">
        <v>2023</v>
      </c>
      <c r="H116" s="12" t="n">
        <v>5200000</v>
      </c>
      <c r="I116" s="12" t="n">
        <v>744676.92</v>
      </c>
      <c r="J116" s="12" t="n">
        <v>79761.12</v>
      </c>
      <c r="K116" s="12" t="n">
        <v>744676.92</v>
      </c>
      <c r="L116" s="12" t="n">
        <v>223741.56</v>
      </c>
      <c r="M116" s="9" t="n">
        <v>6</v>
      </c>
      <c r="N116" s="12" t="n">
        <v>443465.25</v>
      </c>
      <c r="O116" s="12" t="n">
        <v>703832.16</v>
      </c>
      <c r="P116" s="12" t="n">
        <v>1300000</v>
      </c>
      <c r="Q116" s="9" t="inlineStr">
        <is>
          <t>Low</t>
        </is>
      </c>
      <c r="R116" s="11">
        <f>IFERROR(O116/K116,0)</f>
        <v/>
      </c>
    </row>
    <row r="117">
      <c r="A117" s="9" t="inlineStr">
        <is>
          <t>T0269</t>
        </is>
      </c>
      <c r="B117" s="9" t="inlineStr">
        <is>
          <t>Evergreen Indemnity</t>
        </is>
      </c>
      <c r="C117" s="9" t="inlineStr">
        <is>
          <t>Property</t>
        </is>
      </c>
      <c r="D117" s="9" t="inlineStr">
        <is>
          <t>North America</t>
        </is>
      </c>
      <c r="E117" s="9" t="inlineStr">
        <is>
          <t>Kenji Sato</t>
        </is>
      </c>
      <c r="F117" s="9" t="inlineStr">
        <is>
          <t>Proportional</t>
        </is>
      </c>
      <c r="G117" s="9" t="n">
        <v>2025</v>
      </c>
      <c r="H117" s="12" t="n">
        <v>15400000</v>
      </c>
      <c r="I117" s="12" t="n">
        <v>1211766.12</v>
      </c>
      <c r="J117" s="12" t="n">
        <v>67623.24000000001</v>
      </c>
      <c r="K117" s="12" t="n">
        <v>1211766.12</v>
      </c>
      <c r="L117" s="12" t="n">
        <v>302617.92</v>
      </c>
      <c r="M117" s="9" t="n">
        <v>10</v>
      </c>
      <c r="N117" s="12" t="n">
        <v>651755.6800000001</v>
      </c>
      <c r="O117" s="12" t="n">
        <v>899062.05</v>
      </c>
      <c r="P117" s="12" t="n">
        <v>3080000</v>
      </c>
      <c r="Q117" s="9" t="inlineStr">
        <is>
          <t>Low</t>
        </is>
      </c>
      <c r="R117" s="11">
        <f>IFERROR(O117/K117,0)</f>
        <v/>
      </c>
    </row>
    <row r="118">
      <c r="A118" s="9" t="inlineStr">
        <is>
          <t>T0272</t>
        </is>
      </c>
      <c r="B118" s="9" t="inlineStr">
        <is>
          <t>Evergreen Indemnity</t>
        </is>
      </c>
      <c r="C118" s="9" t="inlineStr">
        <is>
          <t>Casualty</t>
        </is>
      </c>
      <c r="D118" s="9" t="inlineStr">
        <is>
          <t>North America</t>
        </is>
      </c>
      <c r="E118" s="9" t="inlineStr">
        <is>
          <t>James Whitfield</t>
        </is>
      </c>
      <c r="F118" s="9" t="inlineStr">
        <is>
          <t>Proportional</t>
        </is>
      </c>
      <c r="G118" s="9" t="n">
        <v>2024</v>
      </c>
      <c r="H118" s="12" t="n">
        <v>62200000</v>
      </c>
      <c r="I118" s="12" t="n">
        <v>4586650.800000001</v>
      </c>
      <c r="J118" s="12" t="n">
        <v>258953.28</v>
      </c>
      <c r="K118" s="12" t="n">
        <v>4586650.800000001</v>
      </c>
      <c r="L118" s="12" t="n">
        <v>1291204.44</v>
      </c>
      <c r="M118" s="9" t="n">
        <v>6</v>
      </c>
      <c r="N118" s="12" t="n">
        <v>7890466.21</v>
      </c>
      <c r="O118" s="12" t="n">
        <v>7890466.21</v>
      </c>
      <c r="P118" s="12" t="n">
        <v>18660000</v>
      </c>
      <c r="Q118" s="9" t="inlineStr">
        <is>
          <t>Low</t>
        </is>
      </c>
      <c r="R118" s="11">
        <f>IFERROR(O118/K118,0)</f>
        <v/>
      </c>
    </row>
    <row r="119">
      <c r="A119" s="9" t="inlineStr">
        <is>
          <t>T0275</t>
        </is>
      </c>
      <c r="B119" s="9" t="inlineStr">
        <is>
          <t>Harbor General</t>
        </is>
      </c>
      <c r="C119" s="9" t="inlineStr">
        <is>
          <t>Casualty</t>
        </is>
      </c>
      <c r="D119" s="9" t="inlineStr">
        <is>
          <t>North America</t>
        </is>
      </c>
      <c r="E119" s="9" t="inlineStr">
        <is>
          <t>Carlos Ibarra</t>
        </is>
      </c>
      <c r="F119" s="9" t="inlineStr">
        <is>
          <t>Excess of Loss</t>
        </is>
      </c>
      <c r="G119" s="9" t="n">
        <v>2024</v>
      </c>
      <c r="H119" s="12" t="n">
        <v>10700000</v>
      </c>
      <c r="I119" s="12" t="n">
        <v>1210144.68</v>
      </c>
      <c r="J119" s="12" t="n">
        <v>124626</v>
      </c>
      <c r="K119" s="12" t="n">
        <v>1210144.68</v>
      </c>
      <c r="L119" s="12" t="n">
        <v>141988.68</v>
      </c>
      <c r="M119" s="9" t="n">
        <v>10</v>
      </c>
      <c r="N119" s="12" t="n">
        <v>1554262.82</v>
      </c>
      <c r="O119" s="12" t="n">
        <v>1554262.82</v>
      </c>
      <c r="P119" s="12" t="n">
        <v>10700000</v>
      </c>
      <c r="Q119" s="9" t="inlineStr">
        <is>
          <t>Low</t>
        </is>
      </c>
      <c r="R119" s="11">
        <f>IFERROR(O119/K119,0)</f>
        <v/>
      </c>
    </row>
    <row r="120">
      <c r="A120" s="9" t="inlineStr">
        <is>
          <t>T0276</t>
        </is>
      </c>
      <c r="B120" s="9" t="inlineStr">
        <is>
          <t>Harbor General</t>
        </is>
      </c>
      <c r="C120" s="9" t="inlineStr">
        <is>
          <t>Financial Lines</t>
        </is>
      </c>
      <c r="D120" s="9" t="inlineStr">
        <is>
          <t>North America</t>
        </is>
      </c>
      <c r="E120" s="9" t="inlineStr">
        <is>
          <t>Omar Haddad</t>
        </is>
      </c>
      <c r="F120" s="9" t="inlineStr">
        <is>
          <t>Proportional</t>
        </is>
      </c>
      <c r="G120" s="9" t="n">
        <v>2024</v>
      </c>
      <c r="H120" s="12" t="n">
        <v>34200000</v>
      </c>
      <c r="I120" s="12" t="n">
        <v>4693145.88</v>
      </c>
      <c r="J120" s="12" t="n">
        <v>296734.56</v>
      </c>
      <c r="K120" s="12" t="n">
        <v>4693145.88</v>
      </c>
      <c r="L120" s="12" t="n">
        <v>1372621.32</v>
      </c>
      <c r="M120" s="9" t="n">
        <v>10</v>
      </c>
      <c r="N120" s="12" t="n">
        <v>1308240.06</v>
      </c>
      <c r="O120" s="12" t="n">
        <v>2003372.71</v>
      </c>
      <c r="P120" s="12" t="n">
        <v>13680000</v>
      </c>
      <c r="Q120" s="9" t="inlineStr">
        <is>
          <t>Low</t>
        </is>
      </c>
      <c r="R120" s="11">
        <f>IFERROR(O120/K120,0)</f>
        <v/>
      </c>
    </row>
    <row r="121">
      <c r="A121" s="9" t="inlineStr">
        <is>
          <t>T0278</t>
        </is>
      </c>
      <c r="B121" s="9" t="inlineStr">
        <is>
          <t>Summit General</t>
        </is>
      </c>
      <c r="C121" s="9" t="inlineStr">
        <is>
          <t>Casualty</t>
        </is>
      </c>
      <c r="D121" s="9" t="inlineStr">
        <is>
          <t>North America</t>
        </is>
      </c>
      <c r="E121" s="9" t="inlineStr">
        <is>
          <t>Priya Nair</t>
        </is>
      </c>
      <c r="F121" s="9" t="inlineStr">
        <is>
          <t>Proportional</t>
        </is>
      </c>
      <c r="G121" s="9" t="n">
        <v>2022</v>
      </c>
      <c r="H121" s="12" t="n">
        <v>30400000</v>
      </c>
      <c r="I121" s="12" t="n">
        <v>2190578.28</v>
      </c>
      <c r="J121" s="12" t="n">
        <v>188124</v>
      </c>
      <c r="K121" s="12" t="n">
        <v>2190578.28</v>
      </c>
      <c r="L121" s="12" t="n">
        <v>553541.52</v>
      </c>
      <c r="M121" s="9" t="n">
        <v>7</v>
      </c>
      <c r="N121" s="12" t="n">
        <v>1016915.2</v>
      </c>
      <c r="O121" s="12" t="n">
        <v>1016915.2</v>
      </c>
      <c r="P121" s="12" t="n">
        <v>4560000</v>
      </c>
      <c r="Q121" s="9" t="inlineStr">
        <is>
          <t>Low</t>
        </is>
      </c>
      <c r="R121" s="11">
        <f>IFERROR(O121/K121,0)</f>
        <v/>
      </c>
    </row>
    <row r="122">
      <c r="A122" s="9" t="inlineStr">
        <is>
          <t>T0280</t>
        </is>
      </c>
      <c r="B122" s="9" t="inlineStr">
        <is>
          <t>Evergreen Assurance</t>
        </is>
      </c>
      <c r="C122" s="9" t="inlineStr">
        <is>
          <t>Property</t>
        </is>
      </c>
      <c r="D122" s="9" t="inlineStr">
        <is>
          <t>North America</t>
        </is>
      </c>
      <c r="E122" s="9" t="inlineStr">
        <is>
          <t>Carlos Ibarra</t>
        </is>
      </c>
      <c r="F122" s="9" t="inlineStr">
        <is>
          <t>Proportional</t>
        </is>
      </c>
      <c r="G122" s="9" t="n">
        <v>2025</v>
      </c>
      <c r="H122" s="12" t="n">
        <v>9600000</v>
      </c>
      <c r="I122" s="12" t="n">
        <v>715466.52</v>
      </c>
      <c r="J122" s="12" t="n">
        <v>46869.60000000001</v>
      </c>
      <c r="K122" s="12" t="n">
        <v>715466.52</v>
      </c>
      <c r="L122" s="12" t="n">
        <v>226103.64</v>
      </c>
      <c r="M122" s="9" t="n">
        <v>10</v>
      </c>
      <c r="N122" s="12" t="n">
        <v>263505.24</v>
      </c>
      <c r="O122" s="12" t="n">
        <v>402110.48</v>
      </c>
      <c r="P122" s="12" t="n">
        <v>1920000</v>
      </c>
      <c r="Q122" s="9" t="inlineStr">
        <is>
          <t>Low</t>
        </is>
      </c>
      <c r="R122" s="11">
        <f>IFERROR(O122/K122,0)</f>
        <v/>
      </c>
    </row>
    <row r="123">
      <c r="A123" s="9" t="inlineStr">
        <is>
          <t>T0282</t>
        </is>
      </c>
      <c r="B123" s="9" t="inlineStr">
        <is>
          <t>Cobalt Indemnity</t>
        </is>
      </c>
      <c r="C123" s="9" t="inlineStr">
        <is>
          <t>Property</t>
        </is>
      </c>
      <c r="D123" s="9" t="inlineStr">
        <is>
          <t>North America</t>
        </is>
      </c>
      <c r="E123" s="9" t="inlineStr">
        <is>
          <t>Hannah Weber</t>
        </is>
      </c>
      <c r="F123" s="9" t="inlineStr">
        <is>
          <t>Facultative</t>
        </is>
      </c>
      <c r="G123" s="9" t="n">
        <v>2022</v>
      </c>
      <c r="H123" s="12" t="n">
        <v>17700000</v>
      </c>
      <c r="I123" s="12" t="n">
        <v>1456075.8</v>
      </c>
      <c r="J123" s="12" t="n">
        <v>116721.84</v>
      </c>
      <c r="K123" s="12" t="n">
        <v>1456075.8</v>
      </c>
      <c r="L123" s="12" t="n">
        <v>228426</v>
      </c>
      <c r="M123" s="9" t="n">
        <v>10</v>
      </c>
      <c r="N123" s="12" t="n">
        <v>1111683.89</v>
      </c>
      <c r="O123" s="12" t="n">
        <v>1207744.63</v>
      </c>
      <c r="P123" s="12" t="n">
        <v>17700000</v>
      </c>
      <c r="Q123" s="9" t="inlineStr">
        <is>
          <t>Low</t>
        </is>
      </c>
      <c r="R123" s="11">
        <f>IFERROR(O123/K123,0)</f>
        <v/>
      </c>
    </row>
    <row r="124">
      <c r="A124" s="9" t="inlineStr">
        <is>
          <t>T0285</t>
        </is>
      </c>
      <c r="B124" s="9" t="inlineStr">
        <is>
          <t>Orion General</t>
        </is>
      </c>
      <c r="C124" s="9" t="inlineStr">
        <is>
          <t>Specialty</t>
        </is>
      </c>
      <c r="D124" s="9" t="inlineStr">
        <is>
          <t>North America</t>
        </is>
      </c>
      <c r="E124" s="9" t="inlineStr">
        <is>
          <t>Hannah Weber</t>
        </is>
      </c>
      <c r="F124" s="9" t="inlineStr">
        <is>
          <t>Excess of Loss</t>
        </is>
      </c>
      <c r="G124" s="9" t="n">
        <v>2024</v>
      </c>
      <c r="H124" s="12" t="n">
        <v>13400000</v>
      </c>
      <c r="I124" s="12" t="n">
        <v>1182304.32</v>
      </c>
      <c r="J124" s="12" t="n">
        <v>89467.31999999999</v>
      </c>
      <c r="K124" s="12" t="n">
        <v>1182304.32</v>
      </c>
      <c r="L124" s="12" t="n">
        <v>94207.44</v>
      </c>
      <c r="M124" s="9" t="n">
        <v>14</v>
      </c>
      <c r="N124" s="12" t="n">
        <v>909885.15</v>
      </c>
      <c r="O124" s="12" t="n">
        <v>984549.35</v>
      </c>
      <c r="P124" s="12" t="n">
        <v>13400000</v>
      </c>
      <c r="Q124" s="9" t="inlineStr">
        <is>
          <t>Low</t>
        </is>
      </c>
      <c r="R124" s="11">
        <f>IFERROR(O124/K124,0)</f>
        <v/>
      </c>
    </row>
    <row r="125">
      <c r="A125" s="9" t="inlineStr">
        <is>
          <t>T0290</t>
        </is>
      </c>
      <c r="B125" s="9" t="inlineStr">
        <is>
          <t>Evergreen General</t>
        </is>
      </c>
      <c r="C125" s="9" t="inlineStr">
        <is>
          <t>Casualty</t>
        </is>
      </c>
      <c r="D125" s="9" t="inlineStr">
        <is>
          <t>North America</t>
        </is>
      </c>
      <c r="E125" s="9" t="inlineStr">
        <is>
          <t>Kenji Sato</t>
        </is>
      </c>
      <c r="F125" s="9" t="inlineStr">
        <is>
          <t>Excess of Loss</t>
        </is>
      </c>
      <c r="G125" s="9" t="n">
        <v>2023</v>
      </c>
      <c r="H125" s="12" t="n">
        <v>12600000</v>
      </c>
      <c r="I125" s="12" t="n">
        <v>976480.7999999999</v>
      </c>
      <c r="J125" s="12" t="n">
        <v>75234.12</v>
      </c>
      <c r="K125" s="12" t="n">
        <v>976480.7999999999</v>
      </c>
      <c r="L125" s="12" t="n">
        <v>83773.68000000001</v>
      </c>
      <c r="M125" s="9" t="n">
        <v>6</v>
      </c>
      <c r="N125" s="12" t="n">
        <v>317662.23</v>
      </c>
      <c r="O125" s="12" t="n">
        <v>327098.19</v>
      </c>
      <c r="P125" s="12" t="n">
        <v>12600000</v>
      </c>
      <c r="Q125" s="9" t="inlineStr">
        <is>
          <t>Low</t>
        </is>
      </c>
      <c r="R125" s="11">
        <f>IFERROR(O125/K125,0)</f>
        <v/>
      </c>
    </row>
    <row r="126">
      <c r="A126" s="9" t="inlineStr">
        <is>
          <t>T0295</t>
        </is>
      </c>
      <c r="B126" s="9" t="inlineStr">
        <is>
          <t>Evergreen General</t>
        </is>
      </c>
      <c r="C126" s="9" t="inlineStr">
        <is>
          <t>Property</t>
        </is>
      </c>
      <c r="D126" s="9" t="inlineStr">
        <is>
          <t>North America</t>
        </is>
      </c>
      <c r="E126" s="9" t="inlineStr">
        <is>
          <t>Aarav Mehta</t>
        </is>
      </c>
      <c r="F126" s="9" t="inlineStr">
        <is>
          <t>Excess of Loss</t>
        </is>
      </c>
      <c r="G126" s="9" t="n">
        <v>2023</v>
      </c>
      <c r="H126" s="12" t="n">
        <v>12400000</v>
      </c>
      <c r="I126" s="12" t="n">
        <v>1969852.8</v>
      </c>
      <c r="J126" s="12" t="n">
        <v>109022.16</v>
      </c>
      <c r="K126" s="12" t="n">
        <v>1969852.8</v>
      </c>
      <c r="L126" s="12" t="n">
        <v>170455.56</v>
      </c>
      <c r="M126" s="9" t="n">
        <v>7</v>
      </c>
      <c r="N126" s="12" t="n">
        <v>3215533.01</v>
      </c>
      <c r="O126" s="12" t="n">
        <v>3215533.01</v>
      </c>
      <c r="P126" s="12" t="n">
        <v>12400000</v>
      </c>
      <c r="Q126" s="9" t="inlineStr">
        <is>
          <t>Medium</t>
        </is>
      </c>
      <c r="R126" s="11">
        <f>IFERROR(O126/K126,0)</f>
        <v/>
      </c>
    </row>
    <row r="127">
      <c r="A127" s="9" t="inlineStr">
        <is>
          <t>T0296</t>
        </is>
      </c>
      <c r="B127" s="9" t="inlineStr">
        <is>
          <t>Cobalt Indemnity</t>
        </is>
      </c>
      <c r="C127" s="9" t="inlineStr">
        <is>
          <t>Property</t>
        </is>
      </c>
      <c r="D127" s="9" t="inlineStr">
        <is>
          <t>North America</t>
        </is>
      </c>
      <c r="E127" s="9" t="inlineStr">
        <is>
          <t>Priya Nair</t>
        </is>
      </c>
      <c r="F127" s="9" t="inlineStr">
        <is>
          <t>Proportional</t>
        </is>
      </c>
      <c r="G127" s="9" t="n">
        <v>2022</v>
      </c>
      <c r="H127" s="12" t="n">
        <v>8800000</v>
      </c>
      <c r="I127" s="12" t="n">
        <v>985021.08</v>
      </c>
      <c r="J127" s="12" t="n">
        <v>81434.39999999999</v>
      </c>
      <c r="K127" s="12" t="n">
        <v>985021.08</v>
      </c>
      <c r="L127" s="12" t="n">
        <v>273958.68</v>
      </c>
      <c r="M127" s="9" t="n">
        <v>10</v>
      </c>
      <c r="N127" s="12" t="n">
        <v>545349</v>
      </c>
      <c r="O127" s="12" t="n">
        <v>657507.3</v>
      </c>
      <c r="P127" s="12" t="n">
        <v>2200000</v>
      </c>
      <c r="Q127" s="9" t="inlineStr">
        <is>
          <t>Low</t>
        </is>
      </c>
      <c r="R127" s="11">
        <f>IFERROR(O127/K127,0)</f>
        <v/>
      </c>
    </row>
    <row r="128">
      <c r="A128" s="9" t="inlineStr">
        <is>
          <t>T0297</t>
        </is>
      </c>
      <c r="B128" s="9" t="inlineStr">
        <is>
          <t>Meridian General</t>
        </is>
      </c>
      <c r="C128" s="9" t="inlineStr">
        <is>
          <t>Unmapped</t>
        </is>
      </c>
      <c r="D128" s="9" t="inlineStr">
        <is>
          <t>North America</t>
        </is>
      </c>
      <c r="E128" s="9" t="inlineStr">
        <is>
          <t>James Whitfield</t>
        </is>
      </c>
      <c r="F128" s="9" t="inlineStr">
        <is>
          <t>Proportional</t>
        </is>
      </c>
      <c r="G128" s="9" t="n">
        <v>2026</v>
      </c>
      <c r="H128" s="12" t="n">
        <v>13100000</v>
      </c>
      <c r="I128" s="12" t="n">
        <v>1226170.88</v>
      </c>
      <c r="J128" s="12" t="n">
        <v>76788.64</v>
      </c>
      <c r="K128" s="12" t="n">
        <v>1108662.84</v>
      </c>
      <c r="L128" s="12" t="n">
        <v>245471.9919237671</v>
      </c>
      <c r="M128" s="9" t="n">
        <v>10</v>
      </c>
      <c r="N128" s="12" t="n">
        <v>528899.8099999999</v>
      </c>
      <c r="O128" s="12" t="n">
        <v>1046054.77</v>
      </c>
      <c r="P128" s="12" t="n">
        <v>5240000</v>
      </c>
      <c r="Q128" s="9" t="inlineStr">
        <is>
          <t>Low</t>
        </is>
      </c>
      <c r="R128" s="11">
        <f>IFERROR(O128/K128,0)</f>
        <v/>
      </c>
    </row>
    <row r="129">
      <c r="A129" s="9" t="inlineStr">
        <is>
          <t>T0300</t>
        </is>
      </c>
      <c r="B129" s="9" t="inlineStr">
        <is>
          <t>Evergreen Assurance</t>
        </is>
      </c>
      <c r="C129" s="9" t="inlineStr">
        <is>
          <t>Specialty</t>
        </is>
      </c>
      <c r="D129" s="9" t="inlineStr">
        <is>
          <t>North America</t>
        </is>
      </c>
      <c r="E129" s="9" t="inlineStr">
        <is>
          <t>Unassigned</t>
        </is>
      </c>
      <c r="F129" s="9" t="inlineStr">
        <is>
          <t>Facultative</t>
        </is>
      </c>
      <c r="G129" s="9" t="n">
        <v>2024</v>
      </c>
      <c r="H129" s="12" t="n">
        <v>37300000</v>
      </c>
      <c r="I129" s="12" t="n">
        <v>3881581.08</v>
      </c>
      <c r="J129" s="12" t="n">
        <v>279212.88</v>
      </c>
      <c r="K129" s="12" t="n">
        <v>3881581.08</v>
      </c>
      <c r="L129" s="12" t="n">
        <v>706520.52</v>
      </c>
      <c r="M129" s="9" t="n">
        <v>9</v>
      </c>
      <c r="N129" s="12" t="n">
        <v>2611854.45</v>
      </c>
      <c r="O129" s="12" t="n">
        <v>2809739.47</v>
      </c>
      <c r="P129" s="12" t="n">
        <v>37300000</v>
      </c>
      <c r="Q129" s="9" t="inlineStr">
        <is>
          <t>Low</t>
        </is>
      </c>
      <c r="R129" s="11">
        <f>IFERROR(O129/K129,0)</f>
        <v/>
      </c>
    </row>
    <row r="130">
      <c r="A130" s="9" t="inlineStr">
        <is>
          <t>T0303</t>
        </is>
      </c>
      <c r="B130" s="9" t="inlineStr">
        <is>
          <t>Evergreen General</t>
        </is>
      </c>
      <c r="C130" s="9" t="inlineStr">
        <is>
          <t>Property</t>
        </is>
      </c>
      <c r="D130" s="9" t="inlineStr">
        <is>
          <t>North America</t>
        </is>
      </c>
      <c r="E130" s="9" t="inlineStr">
        <is>
          <t>Priya Nair</t>
        </is>
      </c>
      <c r="F130" s="9" t="inlineStr">
        <is>
          <t>Excess of Loss</t>
        </is>
      </c>
      <c r="G130" s="9" t="n">
        <v>2024</v>
      </c>
      <c r="H130" s="12" t="n">
        <v>2800000</v>
      </c>
      <c r="I130" s="12" t="n">
        <v>370583.28</v>
      </c>
      <c r="J130" s="12" t="n">
        <v>29415.48</v>
      </c>
      <c r="K130" s="12" t="n">
        <v>370583.28</v>
      </c>
      <c r="L130" s="12" t="n">
        <v>23224.68</v>
      </c>
      <c r="M130" s="9" t="n">
        <v>4</v>
      </c>
      <c r="N130" s="12" t="n">
        <v>223794.86</v>
      </c>
      <c r="O130" s="12" t="n">
        <v>391846.89</v>
      </c>
      <c r="P130" s="12" t="n">
        <v>2800000</v>
      </c>
      <c r="Q130" s="9" t="inlineStr">
        <is>
          <t>Low</t>
        </is>
      </c>
      <c r="R130" s="11">
        <f>IFERROR(O130/K130,0)</f>
        <v/>
      </c>
    </row>
    <row r="131">
      <c r="A131" s="9" t="inlineStr">
        <is>
          <t>T0304</t>
        </is>
      </c>
      <c r="B131" s="9" t="inlineStr">
        <is>
          <t>Evergreen Indemnity</t>
        </is>
      </c>
      <c r="C131" s="9" t="inlineStr">
        <is>
          <t>Property</t>
        </is>
      </c>
      <c r="D131" s="9" t="inlineStr">
        <is>
          <t>North America</t>
        </is>
      </c>
      <c r="E131" s="9" t="inlineStr">
        <is>
          <t>Aarav Mehta</t>
        </is>
      </c>
      <c r="F131" s="9" t="inlineStr">
        <is>
          <t>Excess of Loss</t>
        </is>
      </c>
      <c r="G131" s="9" t="n">
        <v>2023</v>
      </c>
      <c r="H131" s="12" t="n">
        <v>6600000</v>
      </c>
      <c r="I131" s="12" t="n">
        <v>1033107.96</v>
      </c>
      <c r="J131" s="12" t="n">
        <v>90717.12</v>
      </c>
      <c r="K131" s="12" t="n">
        <v>1033107.96</v>
      </c>
      <c r="L131" s="12" t="n">
        <v>71485.08</v>
      </c>
      <c r="M131" s="9" t="n">
        <v>12</v>
      </c>
      <c r="N131" s="12" t="n">
        <v>1293928.19</v>
      </c>
      <c r="O131" s="12" t="n">
        <v>1293928.19</v>
      </c>
      <c r="P131" s="12" t="n">
        <v>6600000</v>
      </c>
      <c r="Q131" s="9" t="inlineStr">
        <is>
          <t>Low</t>
        </is>
      </c>
      <c r="R131" s="11">
        <f>IFERROR(O131/K131,0)</f>
        <v/>
      </c>
    </row>
    <row r="132">
      <c r="A132" s="9" t="inlineStr">
        <is>
          <t>T0305</t>
        </is>
      </c>
      <c r="B132" s="9" t="inlineStr">
        <is>
          <t>Harbor Indemnity</t>
        </is>
      </c>
      <c r="C132" s="9" t="inlineStr">
        <is>
          <t>Casualty</t>
        </is>
      </c>
      <c r="D132" s="9" t="inlineStr">
        <is>
          <t>North America</t>
        </is>
      </c>
      <c r="E132" s="9" t="inlineStr">
        <is>
          <t>Aarav Mehta</t>
        </is>
      </c>
      <c r="F132" s="9" t="inlineStr">
        <is>
          <t>Proportional</t>
        </is>
      </c>
      <c r="G132" s="9" t="n">
        <v>2024</v>
      </c>
      <c r="H132" s="12" t="n">
        <v>27700000</v>
      </c>
      <c r="I132" s="12" t="n">
        <v>2335167.24</v>
      </c>
      <c r="J132" s="12" t="n">
        <v>213376.92</v>
      </c>
      <c r="K132" s="12" t="n">
        <v>2335167.24</v>
      </c>
      <c r="L132" s="12" t="n">
        <v>708938.3999999999</v>
      </c>
      <c r="M132" s="9" t="n">
        <v>8</v>
      </c>
      <c r="N132" s="12" t="n">
        <v>2593990.57</v>
      </c>
      <c r="O132" s="12" t="n">
        <v>3324745.79</v>
      </c>
      <c r="P132" s="12" t="n">
        <v>6925000</v>
      </c>
      <c r="Q132" s="9" t="inlineStr">
        <is>
          <t>Low</t>
        </is>
      </c>
      <c r="R132" s="11">
        <f>IFERROR(O132/K132,0)</f>
        <v/>
      </c>
    </row>
    <row r="133">
      <c r="A133" s="9" t="inlineStr">
        <is>
          <t>T0306</t>
        </is>
      </c>
      <c r="B133" s="9" t="inlineStr">
        <is>
          <t>Northwind Indemnity</t>
        </is>
      </c>
      <c r="C133" s="9" t="inlineStr">
        <is>
          <t>Specialty</t>
        </is>
      </c>
      <c r="D133" s="9" t="inlineStr">
        <is>
          <t>North America</t>
        </is>
      </c>
      <c r="E133" s="9" t="inlineStr">
        <is>
          <t>Unassigned</t>
        </is>
      </c>
      <c r="F133" s="9" t="inlineStr">
        <is>
          <t>Excess of Loss</t>
        </is>
      </c>
      <c r="G133" s="9" t="n">
        <v>2026</v>
      </c>
      <c r="H133" s="12" t="n">
        <v>16200000</v>
      </c>
      <c r="I133" s="12" t="n">
        <v>1043486.22</v>
      </c>
      <c r="J133" s="12" t="n">
        <v>119033.46</v>
      </c>
      <c r="K133" s="12" t="n">
        <v>944934.74</v>
      </c>
      <c r="L133" s="12" t="n">
        <v>94342.33496725313</v>
      </c>
      <c r="M133" s="9" t="n">
        <v>6</v>
      </c>
      <c r="N133" s="12" t="n">
        <v>76979.78999999999</v>
      </c>
      <c r="O133" s="12" t="n">
        <v>171195.59</v>
      </c>
      <c r="P133" s="12" t="n">
        <v>16200000</v>
      </c>
      <c r="Q133" s="9" t="inlineStr">
        <is>
          <t>Low</t>
        </is>
      </c>
      <c r="R133" s="11">
        <f>IFERROR(O133/K133,0)</f>
        <v/>
      </c>
    </row>
    <row r="134">
      <c r="A134" s="9" t="inlineStr">
        <is>
          <t>T0308</t>
        </is>
      </c>
      <c r="B134" s="9" t="inlineStr">
        <is>
          <t>Orion Assurance</t>
        </is>
      </c>
      <c r="C134" s="9" t="inlineStr">
        <is>
          <t>Financial Lines</t>
        </is>
      </c>
      <c r="D134" s="9" t="inlineStr">
        <is>
          <t>North America</t>
        </is>
      </c>
      <c r="E134" s="9" t="inlineStr">
        <is>
          <t>Unassigned</t>
        </is>
      </c>
      <c r="F134" s="9" t="inlineStr">
        <is>
          <t>Excess of Loss</t>
        </is>
      </c>
      <c r="G134" s="9" t="n">
        <v>2023</v>
      </c>
      <c r="H134" s="12" t="n">
        <v>8800000</v>
      </c>
      <c r="I134" s="12" t="n">
        <v>945611.28</v>
      </c>
      <c r="J134" s="12" t="n">
        <v>75573.24000000001</v>
      </c>
      <c r="K134" s="12" t="n">
        <v>945611.28</v>
      </c>
      <c r="L134" s="12" t="n">
        <v>95676.72</v>
      </c>
      <c r="M134" s="9" t="n">
        <v>9</v>
      </c>
      <c r="N134" s="12" t="n">
        <v>669969.46</v>
      </c>
      <c r="O134" s="12" t="n">
        <v>669969.46</v>
      </c>
      <c r="P134" s="12" t="n">
        <v>8800000</v>
      </c>
      <c r="Q134" s="9" t="inlineStr">
        <is>
          <t>Low</t>
        </is>
      </c>
      <c r="R134" s="11">
        <f>IFERROR(O134/K134,0)</f>
        <v/>
      </c>
    </row>
    <row r="135">
      <c r="A135" s="9" t="inlineStr">
        <is>
          <t>T0312</t>
        </is>
      </c>
      <c r="B135" s="9" t="inlineStr">
        <is>
          <t>Evergreen Assurance</t>
        </is>
      </c>
      <c r="C135" s="9" t="inlineStr">
        <is>
          <t>Professional</t>
        </is>
      </c>
      <c r="D135" s="9" t="inlineStr">
        <is>
          <t>North America</t>
        </is>
      </c>
      <c r="E135" s="9" t="inlineStr">
        <is>
          <t>Sophie Laurent</t>
        </is>
      </c>
      <c r="F135" s="9" t="inlineStr">
        <is>
          <t>Excess of Loss</t>
        </is>
      </c>
      <c r="G135" s="9" t="n">
        <v>2026</v>
      </c>
      <c r="H135" s="12" t="n">
        <v>9300000</v>
      </c>
      <c r="I135" s="12" t="n">
        <v>387602.2</v>
      </c>
      <c r="J135" s="12" t="n">
        <v>22836.35</v>
      </c>
      <c r="K135" s="12" t="n">
        <v>359178.04</v>
      </c>
      <c r="L135" s="12" t="n">
        <v>34401.75879437217</v>
      </c>
      <c r="M135" s="9" t="n">
        <v>5</v>
      </c>
      <c r="N135" s="12" t="n">
        <v>71281.39</v>
      </c>
      <c r="O135" s="12" t="n">
        <v>216820.37</v>
      </c>
      <c r="P135" s="12" t="n">
        <v>9300000</v>
      </c>
      <c r="Q135" s="9" t="inlineStr">
        <is>
          <t>Low</t>
        </is>
      </c>
      <c r="R135" s="11">
        <f>IFERROR(O135/K135,0)</f>
        <v/>
      </c>
    </row>
    <row r="136">
      <c r="A136" s="9" t="inlineStr">
        <is>
          <t>T0313</t>
        </is>
      </c>
      <c r="B136" s="9" t="inlineStr">
        <is>
          <t>Evergreen General</t>
        </is>
      </c>
      <c r="C136" s="9" t="inlineStr">
        <is>
          <t>Casualty</t>
        </is>
      </c>
      <c r="D136" s="9" t="inlineStr">
        <is>
          <t>North America</t>
        </is>
      </c>
      <c r="E136" s="9" t="inlineStr">
        <is>
          <t>Sophie Laurent</t>
        </is>
      </c>
      <c r="F136" s="9" t="inlineStr">
        <is>
          <t>Proportional</t>
        </is>
      </c>
      <c r="G136" s="9" t="n">
        <v>2026</v>
      </c>
      <c r="H136" s="12" t="n">
        <v>15000000</v>
      </c>
      <c r="I136" s="12" t="n">
        <v>886306.04</v>
      </c>
      <c r="J136" s="12" t="n">
        <v>96174.8</v>
      </c>
      <c r="K136" s="12" t="n">
        <v>694273.0600000001</v>
      </c>
      <c r="L136" s="12" t="n">
        <v>186984.7360764857</v>
      </c>
      <c r="M136" s="9" t="n">
        <v>2</v>
      </c>
      <c r="N136" s="12" t="n">
        <v>52218.34</v>
      </c>
      <c r="O136" s="12" t="n">
        <v>283073.52</v>
      </c>
      <c r="P136" s="12" t="n">
        <v>7500000</v>
      </c>
      <c r="Q136" s="9" t="inlineStr">
        <is>
          <t>Low</t>
        </is>
      </c>
      <c r="R136" s="11">
        <f>IFERROR(O136/K136,0)</f>
        <v/>
      </c>
    </row>
    <row r="137">
      <c r="A137" s="9" t="inlineStr">
        <is>
          <t>T0314</t>
        </is>
      </c>
      <c r="B137" s="9" t="inlineStr">
        <is>
          <t>Orion General</t>
        </is>
      </c>
      <c r="C137" s="9" t="inlineStr">
        <is>
          <t>Casualty</t>
        </is>
      </c>
      <c r="D137" s="9" t="inlineStr">
        <is>
          <t>North America</t>
        </is>
      </c>
      <c r="E137" s="9" t="inlineStr">
        <is>
          <t>Omar Haddad</t>
        </is>
      </c>
      <c r="F137" s="9" t="inlineStr">
        <is>
          <t>Proportional</t>
        </is>
      </c>
      <c r="G137" s="9" t="n">
        <v>2021</v>
      </c>
      <c r="H137" s="12" t="n">
        <v>4900000</v>
      </c>
      <c r="I137" s="12" t="n">
        <v>722575.6799999999</v>
      </c>
      <c r="J137" s="12" t="n">
        <v>45742.08</v>
      </c>
      <c r="K137" s="12" t="n">
        <v>722575.6799999999</v>
      </c>
      <c r="L137" s="12" t="n">
        <v>217222.92</v>
      </c>
      <c r="M137" s="9" t="n">
        <v>12</v>
      </c>
      <c r="N137" s="12" t="n">
        <v>470648.96</v>
      </c>
      <c r="O137" s="12" t="n">
        <v>543508.54</v>
      </c>
      <c r="P137" s="12" t="n">
        <v>2450000</v>
      </c>
      <c r="Q137" s="9" t="inlineStr">
        <is>
          <t>Low</t>
        </is>
      </c>
      <c r="R137" s="11">
        <f>IFERROR(O137/K137,0)</f>
        <v/>
      </c>
    </row>
    <row r="138">
      <c r="A138" s="9" t="inlineStr">
        <is>
          <t>T0315</t>
        </is>
      </c>
      <c r="B138" s="9" t="inlineStr">
        <is>
          <t>Atlas Indemnity</t>
        </is>
      </c>
      <c r="C138" s="9" t="inlineStr">
        <is>
          <t>Casualty</t>
        </is>
      </c>
      <c r="D138" s="9" t="inlineStr">
        <is>
          <t>North America</t>
        </is>
      </c>
      <c r="E138" s="9" t="inlineStr">
        <is>
          <t>Priya Nair</t>
        </is>
      </c>
      <c r="F138" s="9" t="inlineStr">
        <is>
          <t>Proportional</t>
        </is>
      </c>
      <c r="G138" s="9" t="n">
        <v>2022</v>
      </c>
      <c r="H138" s="12" t="n">
        <v>4200000</v>
      </c>
      <c r="I138" s="12" t="n">
        <v>704079.72</v>
      </c>
      <c r="J138" s="12" t="n">
        <v>83301.48</v>
      </c>
      <c r="K138" s="12" t="n">
        <v>704079.72</v>
      </c>
      <c r="L138" s="12" t="n">
        <v>194857.56</v>
      </c>
      <c r="M138" s="9" t="n">
        <v>10</v>
      </c>
      <c r="N138" s="12" t="n">
        <v>160755.68</v>
      </c>
      <c r="O138" s="12" t="n">
        <v>209938.1</v>
      </c>
      <c r="P138" s="12" t="n">
        <v>420000</v>
      </c>
      <c r="Q138" s="9" t="inlineStr">
        <is>
          <t>Low</t>
        </is>
      </c>
      <c r="R138" s="11">
        <f>IFERROR(O138/K138,0)</f>
        <v/>
      </c>
    </row>
    <row r="139">
      <c r="A139" s="9" t="inlineStr">
        <is>
          <t>T0316</t>
        </is>
      </c>
      <c r="B139" s="9" t="inlineStr">
        <is>
          <t>Evergreen General</t>
        </is>
      </c>
      <c r="C139" s="9" t="inlineStr">
        <is>
          <t>Property</t>
        </is>
      </c>
      <c r="D139" s="9" t="inlineStr">
        <is>
          <t>North America</t>
        </is>
      </c>
      <c r="E139" s="9" t="inlineStr">
        <is>
          <t>Hannah Weber</t>
        </is>
      </c>
      <c r="F139" s="9" t="inlineStr">
        <is>
          <t>Proportional</t>
        </is>
      </c>
      <c r="G139" s="9" t="n">
        <v>2021</v>
      </c>
      <c r="H139" s="12" t="n">
        <v>13900000</v>
      </c>
      <c r="I139" s="12" t="n">
        <v>990839.4099999999</v>
      </c>
      <c r="J139" s="12" t="n">
        <v>51813.96</v>
      </c>
      <c r="K139" s="12" t="n">
        <v>990839.4099999999</v>
      </c>
      <c r="L139" s="12" t="n">
        <v>277752.53</v>
      </c>
      <c r="M139" s="9" t="n">
        <v>11</v>
      </c>
      <c r="N139" s="12" t="n">
        <v>923586.8200000001</v>
      </c>
      <c r="O139" s="12" t="n">
        <v>1359225.07</v>
      </c>
      <c r="P139" s="12" t="n">
        <v>2780000</v>
      </c>
      <c r="Q139" s="9" t="inlineStr">
        <is>
          <t>Low</t>
        </is>
      </c>
      <c r="R139" s="11">
        <f>IFERROR(O139/K139,0)</f>
        <v/>
      </c>
    </row>
    <row r="140">
      <c r="A140" s="9" t="inlineStr">
        <is>
          <t>T0317</t>
        </is>
      </c>
      <c r="B140" s="9" t="inlineStr">
        <is>
          <t>Cobalt General</t>
        </is>
      </c>
      <c r="C140" s="9" t="inlineStr">
        <is>
          <t>Professional</t>
        </is>
      </c>
      <c r="D140" s="9" t="inlineStr">
        <is>
          <t>North America</t>
        </is>
      </c>
      <c r="E140" s="9" t="inlineStr">
        <is>
          <t>Kenji Sato</t>
        </is>
      </c>
      <c r="F140" s="9" t="inlineStr">
        <is>
          <t>Proportional</t>
        </is>
      </c>
      <c r="G140" s="9" t="n">
        <v>2021</v>
      </c>
      <c r="H140" s="12" t="n">
        <v>17800000</v>
      </c>
      <c r="I140" s="12" t="n">
        <v>1814847.24</v>
      </c>
      <c r="J140" s="12" t="n">
        <v>155379.12</v>
      </c>
      <c r="K140" s="12" t="n">
        <v>1814847.24</v>
      </c>
      <c r="L140" s="12" t="n">
        <v>518194.5599999999</v>
      </c>
      <c r="M140" s="9" t="n">
        <v>7</v>
      </c>
      <c r="N140" s="12" t="n">
        <v>1184561.69</v>
      </c>
      <c r="O140" s="12" t="n">
        <v>1184561.69</v>
      </c>
      <c r="P140" s="12" t="n">
        <v>7120000</v>
      </c>
      <c r="Q140" s="9" t="inlineStr">
        <is>
          <t>Low</t>
        </is>
      </c>
      <c r="R140" s="11">
        <f>IFERROR(O140/K140,0)</f>
        <v/>
      </c>
    </row>
    <row r="141">
      <c r="A141" s="9" t="inlineStr">
        <is>
          <t>T0320</t>
        </is>
      </c>
      <c r="B141" s="9" t="inlineStr">
        <is>
          <t>Orion Assurance</t>
        </is>
      </c>
      <c r="C141" s="9" t="inlineStr">
        <is>
          <t>Professional</t>
        </is>
      </c>
      <c r="D141" s="9" t="inlineStr">
        <is>
          <t>North America</t>
        </is>
      </c>
      <c r="E141" s="9" t="inlineStr">
        <is>
          <t>Priya Nair</t>
        </is>
      </c>
      <c r="F141" s="9" t="inlineStr">
        <is>
          <t>Excess of Loss</t>
        </is>
      </c>
      <c r="G141" s="9" t="n">
        <v>2026</v>
      </c>
      <c r="H141" s="12" t="n">
        <v>5100000</v>
      </c>
      <c r="I141" s="12" t="n">
        <v>371227.38</v>
      </c>
      <c r="J141" s="12" t="n">
        <v>36751.8</v>
      </c>
      <c r="K141" s="12" t="n">
        <v>319668.02</v>
      </c>
      <c r="L141" s="12" t="n">
        <v>35154.41315004729</v>
      </c>
      <c r="M141" s="9" t="n">
        <v>4</v>
      </c>
      <c r="N141" s="12" t="n">
        <v>66588.06</v>
      </c>
      <c r="O141" s="12" t="n">
        <v>211525.93</v>
      </c>
      <c r="P141" s="12" t="n">
        <v>5100000</v>
      </c>
      <c r="Q141" s="9" t="inlineStr">
        <is>
          <t>Low</t>
        </is>
      </c>
      <c r="R141" s="11">
        <f>IFERROR(O141/K141,0)</f>
        <v/>
      </c>
    </row>
    <row r="142">
      <c r="A142" s="9" t="inlineStr">
        <is>
          <t>T0323</t>
        </is>
      </c>
      <c r="B142" s="9" t="inlineStr">
        <is>
          <t>Meridian Mutual</t>
        </is>
      </c>
      <c r="C142" s="9" t="inlineStr">
        <is>
          <t>Specialty</t>
        </is>
      </c>
      <c r="D142" s="9" t="inlineStr">
        <is>
          <t>North America</t>
        </is>
      </c>
      <c r="E142" s="9" t="inlineStr">
        <is>
          <t>Priya Nair</t>
        </is>
      </c>
      <c r="F142" s="9" t="inlineStr">
        <is>
          <t>Excess of Loss</t>
        </is>
      </c>
      <c r="G142" s="9" t="n">
        <v>2023</v>
      </c>
      <c r="H142" s="12" t="n">
        <v>10100000</v>
      </c>
      <c r="I142" s="12" t="n">
        <v>1045470.36</v>
      </c>
      <c r="J142" s="12" t="n">
        <v>120681.84</v>
      </c>
      <c r="K142" s="12" t="n">
        <v>1045470.36</v>
      </c>
      <c r="L142" s="12" t="n">
        <v>112264.44</v>
      </c>
      <c r="M142" s="9" t="n">
        <v>6</v>
      </c>
      <c r="N142" s="12" t="n">
        <v>354802.01</v>
      </c>
      <c r="O142" s="12" t="n">
        <v>354802.01</v>
      </c>
      <c r="P142" s="12" t="n">
        <v>10100000</v>
      </c>
      <c r="Q142" s="9" t="inlineStr">
        <is>
          <t>Low</t>
        </is>
      </c>
      <c r="R142" s="11">
        <f>IFERROR(O142/K142,0)</f>
        <v/>
      </c>
    </row>
    <row r="143">
      <c r="A143" s="9" t="inlineStr">
        <is>
          <t>T0324</t>
        </is>
      </c>
      <c r="B143" s="9" t="inlineStr">
        <is>
          <t>Orion Assurance</t>
        </is>
      </c>
      <c r="C143" s="9" t="inlineStr">
        <is>
          <t>Financial Lines</t>
        </is>
      </c>
      <c r="D143" s="9" t="inlineStr">
        <is>
          <t>North America</t>
        </is>
      </c>
      <c r="E143" s="9" t="inlineStr">
        <is>
          <t>Aarav Mehta</t>
        </is>
      </c>
      <c r="F143" s="9" t="inlineStr">
        <is>
          <t>Excess of Loss</t>
        </is>
      </c>
      <c r="G143" s="9" t="n">
        <v>2023</v>
      </c>
      <c r="H143" s="12" t="n">
        <v>58800000</v>
      </c>
      <c r="I143" s="12" t="n">
        <v>5562233.16</v>
      </c>
      <c r="J143" s="12" t="n">
        <v>605193.12</v>
      </c>
      <c r="K143" s="12" t="n">
        <v>5562233.16</v>
      </c>
      <c r="L143" s="12" t="n">
        <v>492633.12</v>
      </c>
      <c r="M143" s="9" t="n">
        <v>8</v>
      </c>
      <c r="N143" s="12" t="n">
        <v>1652259.84</v>
      </c>
      <c r="O143" s="12" t="n">
        <v>1702536.19</v>
      </c>
      <c r="P143" s="12" t="n">
        <v>58800000</v>
      </c>
      <c r="Q143" s="9" t="inlineStr">
        <is>
          <t>Low</t>
        </is>
      </c>
      <c r="R143" s="11">
        <f>IFERROR(O143/K143,0)</f>
        <v/>
      </c>
    </row>
    <row r="144">
      <c r="A144" s="9" t="inlineStr">
        <is>
          <t>T0325</t>
        </is>
      </c>
      <c r="B144" s="9" t="inlineStr">
        <is>
          <t>Harbor Indemnity</t>
        </is>
      </c>
      <c r="C144" s="9" t="inlineStr">
        <is>
          <t>Property</t>
        </is>
      </c>
      <c r="D144" s="9" t="inlineStr">
        <is>
          <t>North America</t>
        </is>
      </c>
      <c r="E144" s="9" t="inlineStr">
        <is>
          <t>Carlos Ibarra</t>
        </is>
      </c>
      <c r="F144" s="9" t="inlineStr">
        <is>
          <t>Excess of Loss</t>
        </is>
      </c>
      <c r="G144" s="9" t="n">
        <v>2026</v>
      </c>
      <c r="H144" s="12" t="n">
        <v>7800000</v>
      </c>
      <c r="I144" s="12" t="n">
        <v>206183.88</v>
      </c>
      <c r="J144" s="12" t="n">
        <v>12148.32</v>
      </c>
      <c r="K144" s="12" t="n">
        <v>154637.91</v>
      </c>
      <c r="L144" s="12" t="n">
        <v>8001.960000000002</v>
      </c>
      <c r="M144" s="9" t="n">
        <v>7</v>
      </c>
      <c r="N144" s="12" t="n">
        <v>42470.29</v>
      </c>
      <c r="O144" s="12" t="n">
        <v>123029.41</v>
      </c>
      <c r="P144" s="12" t="n">
        <v>7800000</v>
      </c>
      <c r="Q144" s="9" t="inlineStr">
        <is>
          <t>Low</t>
        </is>
      </c>
      <c r="R144" s="11">
        <f>IFERROR(O144/K144,0)</f>
        <v/>
      </c>
    </row>
    <row r="145">
      <c r="A145" s="9" t="inlineStr">
        <is>
          <t>T0326</t>
        </is>
      </c>
      <c r="B145" s="9" t="inlineStr">
        <is>
          <t>Meridian Mutual</t>
        </is>
      </c>
      <c r="C145" s="9" t="inlineStr">
        <is>
          <t>Specialty</t>
        </is>
      </c>
      <c r="D145" s="9" t="inlineStr">
        <is>
          <t>North America</t>
        </is>
      </c>
      <c r="E145" s="9" t="inlineStr">
        <is>
          <t>Omar Haddad</t>
        </is>
      </c>
      <c r="F145" s="9" t="inlineStr">
        <is>
          <t>Facultative</t>
        </is>
      </c>
      <c r="G145" s="9" t="n">
        <v>2022</v>
      </c>
      <c r="H145" s="12" t="n">
        <v>6800000</v>
      </c>
      <c r="I145" s="12" t="n">
        <v>574169.52</v>
      </c>
      <c r="J145" s="12" t="n">
        <v>55072.44</v>
      </c>
      <c r="K145" s="12" t="n">
        <v>574169.52</v>
      </c>
      <c r="L145" s="12" t="n">
        <v>101041.92</v>
      </c>
      <c r="M145" s="9" t="n">
        <v>7</v>
      </c>
      <c r="N145" s="12" t="n">
        <v>366327.45</v>
      </c>
      <c r="O145" s="12" t="n">
        <v>372073.14</v>
      </c>
      <c r="P145" s="12" t="n">
        <v>6800000</v>
      </c>
      <c r="Q145" s="9" t="inlineStr">
        <is>
          <t>Low</t>
        </is>
      </c>
      <c r="R145" s="11">
        <f>IFERROR(O145/K145,0)</f>
        <v/>
      </c>
    </row>
    <row r="146">
      <c r="A146" s="9" t="inlineStr">
        <is>
          <t>T0328</t>
        </is>
      </c>
      <c r="B146" s="9" t="inlineStr">
        <is>
          <t>Crown General</t>
        </is>
      </c>
      <c r="C146" s="9" t="inlineStr">
        <is>
          <t>Casualty</t>
        </is>
      </c>
      <c r="D146" s="9" t="inlineStr">
        <is>
          <t>North America</t>
        </is>
      </c>
      <c r="E146" s="9" t="inlineStr">
        <is>
          <t>Priya Nair</t>
        </is>
      </c>
      <c r="F146" s="9" t="inlineStr">
        <is>
          <t>Proportional</t>
        </is>
      </c>
      <c r="G146" s="9" t="n">
        <v>2024</v>
      </c>
      <c r="H146" s="12" t="n">
        <v>4300000</v>
      </c>
      <c r="I146" s="12" t="n">
        <v>709663.92</v>
      </c>
      <c r="J146" s="12" t="n">
        <v>45182.16</v>
      </c>
      <c r="K146" s="12" t="n">
        <v>709663.92</v>
      </c>
      <c r="L146" s="12" t="n">
        <v>192463.8</v>
      </c>
      <c r="M146" s="9" t="n">
        <v>13</v>
      </c>
      <c r="N146" s="12" t="n">
        <v>326237.96</v>
      </c>
      <c r="O146" s="12" t="n">
        <v>339620.83</v>
      </c>
      <c r="P146" s="12" t="n">
        <v>645000</v>
      </c>
      <c r="Q146" s="9" t="inlineStr">
        <is>
          <t>Low</t>
        </is>
      </c>
      <c r="R146" s="11">
        <f>IFERROR(O146/K146,0)</f>
        <v/>
      </c>
    </row>
    <row r="147">
      <c r="A147" s="9" t="inlineStr">
        <is>
          <t>T0329</t>
        </is>
      </c>
      <c r="B147" s="9" t="inlineStr">
        <is>
          <t>Harbor Mutual</t>
        </is>
      </c>
      <c r="C147" s="9" t="inlineStr">
        <is>
          <t>Property</t>
        </is>
      </c>
      <c r="D147" s="9" t="inlineStr">
        <is>
          <t>North America</t>
        </is>
      </c>
      <c r="E147" s="9" t="inlineStr">
        <is>
          <t>Priya Nair</t>
        </is>
      </c>
      <c r="F147" s="9" t="inlineStr">
        <is>
          <t>Proportional</t>
        </is>
      </c>
      <c r="G147" s="9" t="n">
        <v>2024</v>
      </c>
      <c r="H147" s="12" t="n">
        <v>12800000</v>
      </c>
      <c r="I147" s="12" t="n">
        <v>1015041.84</v>
      </c>
      <c r="J147" s="12" t="n">
        <v>92104.79999999999</v>
      </c>
      <c r="K147" s="12" t="n">
        <v>1015041.84</v>
      </c>
      <c r="L147" s="12" t="n">
        <v>316213.68</v>
      </c>
      <c r="M147" s="9" t="n">
        <v>10</v>
      </c>
      <c r="N147" s="12" t="n">
        <v>592785.85</v>
      </c>
      <c r="O147" s="12" t="n">
        <v>706229.71</v>
      </c>
      <c r="P147" s="12" t="n">
        <v>1920000</v>
      </c>
      <c r="Q147" s="9" t="inlineStr">
        <is>
          <t>Low</t>
        </is>
      </c>
      <c r="R147" s="11">
        <f>IFERROR(O147/K147,0)</f>
        <v/>
      </c>
    </row>
    <row r="148">
      <c r="A148" s="9" t="inlineStr">
        <is>
          <t>T0330</t>
        </is>
      </c>
      <c r="B148" s="9" t="inlineStr">
        <is>
          <t>Cobalt Indemnity</t>
        </is>
      </c>
      <c r="C148" s="9" t="inlineStr">
        <is>
          <t>Professional</t>
        </is>
      </c>
      <c r="D148" s="9" t="inlineStr">
        <is>
          <t>North America</t>
        </is>
      </c>
      <c r="E148" s="9" t="inlineStr">
        <is>
          <t>Hannah Weber</t>
        </is>
      </c>
      <c r="F148" s="9" t="inlineStr">
        <is>
          <t>Excess of Loss</t>
        </is>
      </c>
      <c r="G148" s="9" t="n">
        <v>2024</v>
      </c>
      <c r="H148" s="12" t="n">
        <v>2400000</v>
      </c>
      <c r="I148" s="12" t="n">
        <v>367398.6</v>
      </c>
      <c r="J148" s="12" t="n">
        <v>37570.92</v>
      </c>
      <c r="K148" s="12" t="n">
        <v>367398.6</v>
      </c>
      <c r="L148" s="12" t="n">
        <v>38386.2</v>
      </c>
      <c r="M148" s="9" t="n">
        <v>6</v>
      </c>
      <c r="N148" s="12" t="n">
        <v>361345.24</v>
      </c>
      <c r="O148" s="12" t="n">
        <v>361345.24</v>
      </c>
      <c r="P148" s="12" t="n">
        <v>2400000</v>
      </c>
      <c r="Q148" s="9" t="inlineStr">
        <is>
          <t>Low</t>
        </is>
      </c>
      <c r="R148" s="11">
        <f>IFERROR(O148/K148,0)</f>
        <v/>
      </c>
    </row>
    <row r="149">
      <c r="A149" s="9" t="inlineStr">
        <is>
          <t>T0334</t>
        </is>
      </c>
      <c r="B149" s="9" t="inlineStr">
        <is>
          <t>Orion General</t>
        </is>
      </c>
      <c r="C149" s="9" t="inlineStr">
        <is>
          <t>Property</t>
        </is>
      </c>
      <c r="D149" s="9" t="inlineStr">
        <is>
          <t>North America</t>
        </is>
      </c>
      <c r="E149" s="9" t="inlineStr">
        <is>
          <t>Hannah Weber</t>
        </is>
      </c>
      <c r="F149" s="9" t="inlineStr">
        <is>
          <t>Facultative</t>
        </is>
      </c>
      <c r="G149" s="9" t="n">
        <v>2023</v>
      </c>
      <c r="H149" s="12" t="n">
        <v>8600000</v>
      </c>
      <c r="I149" s="12" t="n">
        <v>1434987.12</v>
      </c>
      <c r="J149" s="12" t="n">
        <v>156351.84</v>
      </c>
      <c r="K149" s="12" t="n">
        <v>1434987.12</v>
      </c>
      <c r="L149" s="12" t="n">
        <v>242609.64</v>
      </c>
      <c r="M149" s="9" t="n">
        <v>10</v>
      </c>
      <c r="N149" s="12" t="n">
        <v>958821.12</v>
      </c>
      <c r="O149" s="12" t="n">
        <v>1070522.94</v>
      </c>
      <c r="P149" s="12" t="n">
        <v>8600000</v>
      </c>
      <c r="Q149" s="9" t="inlineStr">
        <is>
          <t>Low</t>
        </is>
      </c>
      <c r="R149" s="11">
        <f>IFERROR(O149/K149,0)</f>
        <v/>
      </c>
    </row>
    <row r="150">
      <c r="A150" s="9" t="inlineStr">
        <is>
          <t>T0336</t>
        </is>
      </c>
      <c r="B150" s="9" t="inlineStr">
        <is>
          <t>Evergreen Assurance</t>
        </is>
      </c>
      <c r="C150" s="9" t="inlineStr">
        <is>
          <t>Property</t>
        </is>
      </c>
      <c r="D150" s="9" t="inlineStr">
        <is>
          <t>North America</t>
        </is>
      </c>
      <c r="E150" s="9" t="inlineStr">
        <is>
          <t>Sophie Laurent</t>
        </is>
      </c>
      <c r="F150" s="9" t="inlineStr">
        <is>
          <t>Facultative</t>
        </is>
      </c>
      <c r="G150" s="9" t="n">
        <v>2022</v>
      </c>
      <c r="H150" s="12" t="n">
        <v>6000000</v>
      </c>
      <c r="I150" s="12" t="n">
        <v>843290.52</v>
      </c>
      <c r="J150" s="12" t="n">
        <v>71423.16</v>
      </c>
      <c r="K150" s="12" t="n">
        <v>843290.52</v>
      </c>
      <c r="L150" s="12" t="n">
        <v>138241.32</v>
      </c>
      <c r="M150" s="9" t="n">
        <v>15</v>
      </c>
      <c r="N150" s="12" t="n">
        <v>1163035.09</v>
      </c>
      <c r="O150" s="12" t="n">
        <v>1335732.82</v>
      </c>
      <c r="P150" s="12" t="n">
        <v>6000000</v>
      </c>
      <c r="Q150" s="9" t="inlineStr">
        <is>
          <t>Medium</t>
        </is>
      </c>
      <c r="R150" s="11">
        <f>IFERROR(O150/K150,0)</f>
        <v/>
      </c>
    </row>
    <row r="151">
      <c r="A151" s="9" t="inlineStr">
        <is>
          <t>T0337</t>
        </is>
      </c>
      <c r="B151" s="9" t="inlineStr">
        <is>
          <t>Harbor Insurance</t>
        </is>
      </c>
      <c r="C151" s="9" t="inlineStr">
        <is>
          <t>Casualty</t>
        </is>
      </c>
      <c r="D151" s="9" t="inlineStr">
        <is>
          <t>North America</t>
        </is>
      </c>
      <c r="E151" s="9" t="inlineStr">
        <is>
          <t>Kenji Sato</t>
        </is>
      </c>
      <c r="F151" s="9" t="inlineStr">
        <is>
          <t>Excess of Loss</t>
        </is>
      </c>
      <c r="G151" s="9" t="n">
        <v>2022</v>
      </c>
      <c r="H151" s="12" t="n">
        <v>2300000</v>
      </c>
      <c r="I151" s="12" t="n">
        <v>215279.88</v>
      </c>
      <c r="J151" s="12" t="n">
        <v>22455.48</v>
      </c>
      <c r="K151" s="12" t="n">
        <v>215279.88</v>
      </c>
      <c r="L151" s="12" t="n">
        <v>23790.96</v>
      </c>
      <c r="M151" s="9" t="n">
        <v>9</v>
      </c>
      <c r="N151" s="12" t="n">
        <v>156647.35</v>
      </c>
      <c r="O151" s="12" t="n">
        <v>156647.35</v>
      </c>
      <c r="P151" s="12" t="n">
        <v>2300000</v>
      </c>
      <c r="Q151" s="9" t="inlineStr">
        <is>
          <t>Low</t>
        </is>
      </c>
      <c r="R151" s="11">
        <f>IFERROR(O151/K151,0)</f>
        <v/>
      </c>
    </row>
    <row r="152">
      <c r="A152" s="9" t="inlineStr">
        <is>
          <t>T0338</t>
        </is>
      </c>
      <c r="B152" s="9" t="inlineStr">
        <is>
          <t>Crown General</t>
        </is>
      </c>
      <c r="C152" s="9" t="inlineStr">
        <is>
          <t>Property</t>
        </is>
      </c>
      <c r="D152" s="9" t="inlineStr">
        <is>
          <t>North America</t>
        </is>
      </c>
      <c r="E152" s="9" t="inlineStr">
        <is>
          <t>Carlos Ibarra</t>
        </is>
      </c>
      <c r="F152" s="9" t="inlineStr">
        <is>
          <t>Facultative</t>
        </is>
      </c>
      <c r="G152" s="9" t="n">
        <v>2024</v>
      </c>
      <c r="H152" s="12" t="n">
        <v>14000000</v>
      </c>
      <c r="I152" s="12" t="n">
        <v>2353312.44</v>
      </c>
      <c r="J152" s="12" t="n">
        <v>258708.24</v>
      </c>
      <c r="K152" s="12" t="n">
        <v>2353312.44</v>
      </c>
      <c r="L152" s="12" t="n">
        <v>395073.84</v>
      </c>
      <c r="M152" s="9" t="n">
        <v>10</v>
      </c>
      <c r="N152" s="12" t="n">
        <v>893599.34</v>
      </c>
      <c r="O152" s="12" t="n">
        <v>1236952.12</v>
      </c>
      <c r="P152" s="12" t="n">
        <v>14000000</v>
      </c>
      <c r="Q152" s="9" t="inlineStr">
        <is>
          <t>Low</t>
        </is>
      </c>
      <c r="R152" s="11">
        <f>IFERROR(O152/K152,0)</f>
        <v/>
      </c>
    </row>
    <row r="153">
      <c r="A153" s="9" t="inlineStr">
        <is>
          <t>T0341</t>
        </is>
      </c>
      <c r="B153" s="9" t="inlineStr">
        <is>
          <t>Cobalt General</t>
        </is>
      </c>
      <c r="C153" s="9" t="inlineStr">
        <is>
          <t>Specialty</t>
        </is>
      </c>
      <c r="D153" s="9" t="inlineStr">
        <is>
          <t>North America</t>
        </is>
      </c>
      <c r="E153" s="9" t="inlineStr">
        <is>
          <t>Carlos Ibarra</t>
        </is>
      </c>
      <c r="F153" s="9" t="inlineStr">
        <is>
          <t>Proportional</t>
        </is>
      </c>
      <c r="G153" s="9" t="n">
        <v>2025</v>
      </c>
      <c r="H153" s="12" t="n">
        <v>9300000</v>
      </c>
      <c r="I153" s="12" t="n">
        <v>775028.88</v>
      </c>
      <c r="J153" s="12" t="n">
        <v>43637.16</v>
      </c>
      <c r="K153" s="12" t="n">
        <v>755653.1599999999</v>
      </c>
      <c r="L153" s="12" t="n">
        <v>190207.0175034241</v>
      </c>
      <c r="M153" s="9" t="n">
        <v>12</v>
      </c>
      <c r="N153" s="12" t="n">
        <v>125094.91</v>
      </c>
      <c r="O153" s="12" t="n">
        <v>221425.08</v>
      </c>
      <c r="P153" s="12" t="n">
        <v>4650000</v>
      </c>
      <c r="Q153" s="9" t="inlineStr">
        <is>
          <t>Low</t>
        </is>
      </c>
      <c r="R153" s="11">
        <f>IFERROR(O153/K153,0)</f>
        <v/>
      </c>
    </row>
    <row r="154">
      <c r="A154" s="9" t="inlineStr">
        <is>
          <t>T0343</t>
        </is>
      </c>
      <c r="B154" s="9" t="inlineStr">
        <is>
          <t>Orion General</t>
        </is>
      </c>
      <c r="C154" s="9" t="inlineStr">
        <is>
          <t>Property</t>
        </is>
      </c>
      <c r="D154" s="9" t="inlineStr">
        <is>
          <t>North America</t>
        </is>
      </c>
      <c r="E154" s="9" t="inlineStr">
        <is>
          <t>James Whitfield</t>
        </is>
      </c>
      <c r="F154" s="9" t="inlineStr">
        <is>
          <t>Excess of Loss</t>
        </is>
      </c>
      <c r="G154" s="9" t="n">
        <v>2024</v>
      </c>
      <c r="H154" s="12" t="n">
        <v>10300000</v>
      </c>
      <c r="I154" s="12" t="n">
        <v>1423189.56</v>
      </c>
      <c r="J154" s="12" t="n">
        <v>169801.08</v>
      </c>
      <c r="K154" s="12" t="n">
        <v>1423189.56</v>
      </c>
      <c r="L154" s="12" t="n">
        <v>143297.4</v>
      </c>
      <c r="M154" s="9" t="n">
        <v>4</v>
      </c>
      <c r="N154" s="12" t="n">
        <v>1091684.8</v>
      </c>
      <c r="O154" s="12" t="n">
        <v>1129362.25</v>
      </c>
      <c r="P154" s="12" t="n">
        <v>10300000</v>
      </c>
      <c r="Q154" s="9" t="inlineStr">
        <is>
          <t>Low</t>
        </is>
      </c>
      <c r="R154" s="11">
        <f>IFERROR(O154/K154,0)</f>
        <v/>
      </c>
    </row>
    <row r="155">
      <c r="A155" s="9" t="inlineStr">
        <is>
          <t>T0344</t>
        </is>
      </c>
      <c r="B155" s="9" t="inlineStr">
        <is>
          <t>Atlas Assurance</t>
        </is>
      </c>
      <c r="C155" s="9" t="inlineStr">
        <is>
          <t>Property</t>
        </is>
      </c>
      <c r="D155" s="9" t="inlineStr">
        <is>
          <t>North America</t>
        </is>
      </c>
      <c r="E155" s="9" t="inlineStr">
        <is>
          <t>Aarav Mehta</t>
        </is>
      </c>
      <c r="F155" s="9" t="inlineStr">
        <is>
          <t>Excess of Loss</t>
        </is>
      </c>
      <c r="G155" s="9" t="n">
        <v>2025</v>
      </c>
      <c r="H155" s="12" t="n">
        <v>19800000</v>
      </c>
      <c r="I155" s="12" t="n">
        <v>1676601.6</v>
      </c>
      <c r="J155" s="12" t="n">
        <v>102930.72</v>
      </c>
      <c r="K155" s="12" t="n">
        <v>1676601.6</v>
      </c>
      <c r="L155" s="12" t="n">
        <v>151416.24</v>
      </c>
      <c r="M155" s="9" t="n">
        <v>12</v>
      </c>
      <c r="N155" s="12" t="n">
        <v>329359.25</v>
      </c>
      <c r="O155" s="12" t="n">
        <v>721790.1</v>
      </c>
      <c r="P155" s="12" t="n">
        <v>19800000</v>
      </c>
      <c r="Q155" s="9" t="inlineStr">
        <is>
          <t>Low</t>
        </is>
      </c>
      <c r="R155" s="11">
        <f>IFERROR(O155/K155,0)</f>
        <v/>
      </c>
    </row>
    <row r="156">
      <c r="A156" s="9" t="inlineStr">
        <is>
          <t>T0349</t>
        </is>
      </c>
      <c r="B156" s="9" t="inlineStr">
        <is>
          <t>Harbor Insurance</t>
        </is>
      </c>
      <c r="C156" s="9" t="inlineStr">
        <is>
          <t>Financial Lines</t>
        </is>
      </c>
      <c r="D156" s="9" t="inlineStr">
        <is>
          <t>North America</t>
        </is>
      </c>
      <c r="E156" s="9" t="inlineStr">
        <is>
          <t>Carlos Ibarra</t>
        </is>
      </c>
      <c r="F156" s="9" t="inlineStr">
        <is>
          <t>Proportional</t>
        </is>
      </c>
      <c r="G156" s="9" t="n">
        <v>2021</v>
      </c>
      <c r="H156" s="12" t="n">
        <v>18400000</v>
      </c>
      <c r="I156" s="12" t="n">
        <v>2729214.72</v>
      </c>
      <c r="J156" s="12" t="n">
        <v>260355.84</v>
      </c>
      <c r="K156" s="12" t="n">
        <v>2729214.72</v>
      </c>
      <c r="L156" s="12" t="n">
        <v>672757.2</v>
      </c>
      <c r="M156" s="9" t="n">
        <v>12</v>
      </c>
      <c r="N156" s="12" t="n">
        <v>958216.9299999999</v>
      </c>
      <c r="O156" s="12" t="n">
        <v>971531.14</v>
      </c>
      <c r="P156" s="12" t="n">
        <v>5520000</v>
      </c>
      <c r="Q156" s="9" t="inlineStr">
        <is>
          <t>Low</t>
        </is>
      </c>
      <c r="R156" s="11">
        <f>IFERROR(O156/K156,0)</f>
        <v/>
      </c>
    </row>
    <row r="157">
      <c r="A157" s="9" t="inlineStr">
        <is>
          <t>T0352</t>
        </is>
      </c>
      <c r="B157" s="9" t="inlineStr">
        <is>
          <t>Evergreen General</t>
        </is>
      </c>
      <c r="C157" s="9" t="inlineStr">
        <is>
          <t>Financial Lines</t>
        </is>
      </c>
      <c r="D157" s="9" t="inlineStr">
        <is>
          <t>North America</t>
        </is>
      </c>
      <c r="E157" s="9" t="inlineStr">
        <is>
          <t>Hannah Weber</t>
        </is>
      </c>
      <c r="F157" s="9" t="inlineStr">
        <is>
          <t>Excess of Loss</t>
        </is>
      </c>
      <c r="G157" s="9" t="n">
        <v>2023</v>
      </c>
      <c r="H157" s="12" t="n">
        <v>48300000</v>
      </c>
      <c r="I157" s="12" t="n">
        <v>5565135.48</v>
      </c>
      <c r="J157" s="12" t="n">
        <v>397649.16</v>
      </c>
      <c r="K157" s="12" t="n">
        <v>5565135.48</v>
      </c>
      <c r="L157" s="12" t="n">
        <v>619081.3200000001</v>
      </c>
      <c r="M157" s="9" t="n">
        <v>6</v>
      </c>
      <c r="N157" s="12" t="n">
        <v>988038.0600000001</v>
      </c>
      <c r="O157" s="12" t="n">
        <v>1078789.49</v>
      </c>
      <c r="P157" s="12" t="n">
        <v>48300000</v>
      </c>
      <c r="Q157" s="9" t="inlineStr">
        <is>
          <t>Low</t>
        </is>
      </c>
      <c r="R157" s="11">
        <f>IFERROR(O157/K157,0)</f>
        <v/>
      </c>
    </row>
    <row r="158">
      <c r="A158" s="9" t="inlineStr">
        <is>
          <t>T0354</t>
        </is>
      </c>
      <c r="B158" s="9" t="inlineStr">
        <is>
          <t>Meridian General</t>
        </is>
      </c>
      <c r="C158" s="9" t="inlineStr">
        <is>
          <t>Casualty</t>
        </is>
      </c>
      <c r="D158" s="9" t="inlineStr">
        <is>
          <t>North America</t>
        </is>
      </c>
      <c r="E158" s="9" t="inlineStr">
        <is>
          <t>Priya Nair</t>
        </is>
      </c>
      <c r="F158" s="9" t="inlineStr">
        <is>
          <t>Excess of Loss</t>
        </is>
      </c>
      <c r="G158" s="9" t="n">
        <v>2022</v>
      </c>
      <c r="H158" s="12" t="n">
        <v>31400000</v>
      </c>
      <c r="I158" s="12" t="n">
        <v>3401751.12</v>
      </c>
      <c r="J158" s="12" t="n">
        <v>329292.84</v>
      </c>
      <c r="K158" s="12" t="n">
        <v>3401751.12</v>
      </c>
      <c r="L158" s="12" t="n">
        <v>373569.72</v>
      </c>
      <c r="M158" s="9" t="n">
        <v>18</v>
      </c>
      <c r="N158" s="12" t="n">
        <v>1321992.74</v>
      </c>
      <c r="O158" s="12" t="n">
        <v>1321992.74</v>
      </c>
      <c r="P158" s="12" t="n">
        <v>31400000</v>
      </c>
      <c r="Q158" s="9" t="inlineStr">
        <is>
          <t>Low</t>
        </is>
      </c>
      <c r="R158" s="11">
        <f>IFERROR(O158/K158,0)</f>
        <v/>
      </c>
    </row>
    <row r="159">
      <c r="A159" s="9" t="inlineStr">
        <is>
          <t>T0358</t>
        </is>
      </c>
      <c r="B159" s="9" t="inlineStr">
        <is>
          <t>Atlas Assurance</t>
        </is>
      </c>
      <c r="C159" s="9" t="inlineStr">
        <is>
          <t>Financial Lines</t>
        </is>
      </c>
      <c r="D159" s="9" t="inlineStr">
        <is>
          <t>North America</t>
        </is>
      </c>
      <c r="E159" s="9" t="inlineStr">
        <is>
          <t>Sophie Laurent</t>
        </is>
      </c>
      <c r="F159" s="9" t="inlineStr">
        <is>
          <t>Proportional</t>
        </is>
      </c>
      <c r="G159" s="9" t="n">
        <v>2025</v>
      </c>
      <c r="H159" s="12" t="n">
        <v>24900000</v>
      </c>
      <c r="I159" s="12" t="n">
        <v>2120624.55</v>
      </c>
      <c r="J159" s="12" t="n">
        <v>116657.86</v>
      </c>
      <c r="K159" s="12" t="n">
        <v>1927840.5</v>
      </c>
      <c r="L159" s="12" t="n">
        <v>464500.2000000001</v>
      </c>
      <c r="M159" s="9" t="n">
        <v>5</v>
      </c>
      <c r="N159" s="12" t="n">
        <v>613508.0600000001</v>
      </c>
      <c r="O159" s="12" t="n">
        <v>1888223.55</v>
      </c>
      <c r="P159" s="12" t="n">
        <v>4980000</v>
      </c>
      <c r="Q159" s="9" t="inlineStr">
        <is>
          <t>Low</t>
        </is>
      </c>
      <c r="R159" s="11">
        <f>IFERROR(O159/K159,0)</f>
        <v/>
      </c>
    </row>
    <row r="160">
      <c r="A160" s="9" t="inlineStr">
        <is>
          <t>T0360</t>
        </is>
      </c>
      <c r="B160" s="9" t="inlineStr">
        <is>
          <t>Atlas Indemnity</t>
        </is>
      </c>
      <c r="C160" s="9" t="inlineStr">
        <is>
          <t>Financial Lines</t>
        </is>
      </c>
      <c r="D160" s="9" t="inlineStr">
        <is>
          <t>North America</t>
        </is>
      </c>
      <c r="E160" s="9" t="inlineStr">
        <is>
          <t>Hannah Weber</t>
        </is>
      </c>
      <c r="F160" s="9" t="inlineStr">
        <is>
          <t>Facultative</t>
        </is>
      </c>
      <c r="G160" s="9" t="n">
        <v>2024</v>
      </c>
      <c r="H160" s="12" t="n">
        <v>12900000</v>
      </c>
      <c r="I160" s="12" t="n">
        <v>1350551.76</v>
      </c>
      <c r="J160" s="12" t="n">
        <v>134594.52</v>
      </c>
      <c r="K160" s="12" t="n">
        <v>1350551.76</v>
      </c>
      <c r="L160" s="12" t="n">
        <v>220983.24</v>
      </c>
      <c r="M160" s="9" t="n">
        <v>9</v>
      </c>
      <c r="N160" s="12" t="n">
        <v>752764.39</v>
      </c>
      <c r="O160" s="12" t="n">
        <v>897375.8899999999</v>
      </c>
      <c r="P160" s="12" t="n">
        <v>12900000</v>
      </c>
      <c r="Q160" s="9" t="inlineStr">
        <is>
          <t>Low</t>
        </is>
      </c>
      <c r="R160" s="11">
        <f>IFERROR(O160/K160,0)</f>
        <v/>
      </c>
    </row>
    <row r="161">
      <c r="A161" s="9" t="inlineStr">
        <is>
          <t>T0362</t>
        </is>
      </c>
      <c r="B161" s="9" t="inlineStr">
        <is>
          <t>Harbor Indemnity</t>
        </is>
      </c>
      <c r="C161" s="9" t="inlineStr">
        <is>
          <t>Specialty</t>
        </is>
      </c>
      <c r="D161" s="9" t="inlineStr">
        <is>
          <t>North America</t>
        </is>
      </c>
      <c r="E161" s="9" t="inlineStr">
        <is>
          <t>Unassigned</t>
        </is>
      </c>
      <c r="F161" s="9" t="inlineStr">
        <is>
          <t>Excess of Loss</t>
        </is>
      </c>
      <c r="G161" s="9" t="n">
        <v>2026</v>
      </c>
      <c r="H161" s="12" t="n">
        <v>4500000</v>
      </c>
      <c r="I161" s="12" t="n">
        <v>119523.9</v>
      </c>
      <c r="J161" s="12" t="n">
        <v>13969.56</v>
      </c>
      <c r="K161" s="12" t="n">
        <v>81674.66</v>
      </c>
      <c r="L161" s="12" t="n">
        <v>4179.936077443925</v>
      </c>
      <c r="M161" s="9" t="n">
        <v>0</v>
      </c>
      <c r="N161" s="12" t="n">
        <v>0</v>
      </c>
      <c r="O161" s="12" t="n">
        <v>0</v>
      </c>
      <c r="P161" s="12" t="n">
        <v>4500000</v>
      </c>
      <c r="Q161" s="9" t="inlineStr">
        <is>
          <t>Low</t>
        </is>
      </c>
      <c r="R161" s="11">
        <f>IFERROR(O161/K161,0)</f>
        <v/>
      </c>
    </row>
    <row r="162">
      <c r="A162" s="9" t="inlineStr">
        <is>
          <t>T0367</t>
        </is>
      </c>
      <c r="B162" s="9" t="inlineStr">
        <is>
          <t>Orion General</t>
        </is>
      </c>
      <c r="C162" s="9" t="inlineStr">
        <is>
          <t>Casualty</t>
        </is>
      </c>
      <c r="D162" s="9" t="inlineStr">
        <is>
          <t>North America</t>
        </is>
      </c>
      <c r="E162" s="9" t="inlineStr">
        <is>
          <t>James Whitfield</t>
        </is>
      </c>
      <c r="F162" s="9" t="inlineStr">
        <is>
          <t>Excess of Loss</t>
        </is>
      </c>
      <c r="G162" s="9" t="n">
        <v>2023</v>
      </c>
      <c r="H162" s="12" t="n">
        <v>11500000</v>
      </c>
      <c r="I162" s="12" t="n">
        <v>1845215.64</v>
      </c>
      <c r="J162" s="12" t="n">
        <v>108448.56</v>
      </c>
      <c r="K162" s="12" t="n">
        <v>1845215.64</v>
      </c>
      <c r="L162" s="12" t="n">
        <v>186728.4</v>
      </c>
      <c r="M162" s="9" t="n">
        <v>5</v>
      </c>
      <c r="N162" s="12" t="n">
        <v>1208957.02</v>
      </c>
      <c r="O162" s="12" t="n">
        <v>1403421.36</v>
      </c>
      <c r="P162" s="12" t="n">
        <v>11500000</v>
      </c>
      <c r="Q162" s="9" t="inlineStr">
        <is>
          <t>Low</t>
        </is>
      </c>
      <c r="R162" s="11">
        <f>IFERROR(O162/K162,0)</f>
        <v/>
      </c>
    </row>
    <row r="163">
      <c r="A163" s="9" t="inlineStr">
        <is>
          <t>T0369</t>
        </is>
      </c>
      <c r="B163" s="9" t="inlineStr">
        <is>
          <t>Atlas Assurance</t>
        </is>
      </c>
      <c r="C163" s="9" t="inlineStr">
        <is>
          <t>Unmapped</t>
        </is>
      </c>
      <c r="D163" s="9" t="inlineStr">
        <is>
          <t>North America</t>
        </is>
      </c>
      <c r="E163" s="9" t="inlineStr">
        <is>
          <t>Hannah Weber</t>
        </is>
      </c>
      <c r="F163" s="9" t="inlineStr">
        <is>
          <t>Proportional</t>
        </is>
      </c>
      <c r="G163" s="9" t="n">
        <v>2024</v>
      </c>
      <c r="H163" s="12" t="n">
        <v>22100000</v>
      </c>
      <c r="I163" s="12" t="n">
        <v>2151036.12</v>
      </c>
      <c r="J163" s="12" t="n">
        <v>165898.8</v>
      </c>
      <c r="K163" s="12" t="n">
        <v>2151036.12</v>
      </c>
      <c r="L163" s="12" t="n">
        <v>584934.24</v>
      </c>
      <c r="M163" s="9" t="n">
        <v>11</v>
      </c>
      <c r="N163" s="12" t="n">
        <v>794369.39</v>
      </c>
      <c r="O163" s="12" t="n">
        <v>794369.39</v>
      </c>
      <c r="P163" s="12" t="n">
        <v>5525000</v>
      </c>
      <c r="Q163" s="9" t="inlineStr">
        <is>
          <t>Low</t>
        </is>
      </c>
      <c r="R163" s="11">
        <f>IFERROR(O163/K163,0)</f>
        <v/>
      </c>
    </row>
    <row r="164">
      <c r="A164" s="9" t="inlineStr">
        <is>
          <t>T0371</t>
        </is>
      </c>
      <c r="B164" s="9" t="inlineStr">
        <is>
          <t>Orion General</t>
        </is>
      </c>
      <c r="C164" s="9" t="inlineStr">
        <is>
          <t>Casualty</t>
        </is>
      </c>
      <c r="D164" s="9" t="inlineStr">
        <is>
          <t>North America</t>
        </is>
      </c>
      <c r="E164" s="9" t="inlineStr">
        <is>
          <t>Omar Haddad</t>
        </is>
      </c>
      <c r="F164" s="9" t="inlineStr">
        <is>
          <t>Proportional</t>
        </is>
      </c>
      <c r="G164" s="9" t="n">
        <v>2022</v>
      </c>
      <c r="H164" s="12" t="n">
        <v>6500000</v>
      </c>
      <c r="I164" s="12" t="n">
        <v>679737.72</v>
      </c>
      <c r="J164" s="12" t="n">
        <v>75781.79999999999</v>
      </c>
      <c r="K164" s="12" t="n">
        <v>679737.72</v>
      </c>
      <c r="L164" s="12" t="n">
        <v>209956.56</v>
      </c>
      <c r="M164" s="9" t="n">
        <v>9</v>
      </c>
      <c r="N164" s="12" t="n">
        <v>424213.65</v>
      </c>
      <c r="O164" s="12" t="n">
        <v>767700.38</v>
      </c>
      <c r="P164" s="12" t="n">
        <v>1950000</v>
      </c>
      <c r="Q164" s="9" t="inlineStr">
        <is>
          <t>Low</t>
        </is>
      </c>
      <c r="R164" s="11">
        <f>IFERROR(O164/K164,0)</f>
        <v/>
      </c>
    </row>
    <row r="165">
      <c r="A165" s="9" t="inlineStr">
        <is>
          <t>T0373</t>
        </is>
      </c>
      <c r="B165" s="9" t="inlineStr">
        <is>
          <t>Harbor Assurance</t>
        </is>
      </c>
      <c r="C165" s="9" t="inlineStr">
        <is>
          <t>Specialty</t>
        </is>
      </c>
      <c r="D165" s="9" t="inlineStr">
        <is>
          <t>North America</t>
        </is>
      </c>
      <c r="E165" s="9" t="inlineStr">
        <is>
          <t>Sophie Laurent</t>
        </is>
      </c>
      <c r="F165" s="9" t="inlineStr">
        <is>
          <t>Proportional</t>
        </is>
      </c>
      <c r="G165" s="9" t="n">
        <v>2026</v>
      </c>
      <c r="H165" s="12" t="n">
        <v>7300000</v>
      </c>
      <c r="I165" s="12" t="n">
        <v>568532.37</v>
      </c>
      <c r="J165" s="12" t="n">
        <v>47726.7</v>
      </c>
      <c r="K165" s="12" t="n">
        <v>514386.4300000001</v>
      </c>
      <c r="L165" s="12" t="n">
        <v>158419.53</v>
      </c>
      <c r="M165" s="9" t="n">
        <v>2</v>
      </c>
      <c r="N165" s="12" t="n">
        <v>455526.89</v>
      </c>
      <c r="O165" s="12" t="n">
        <v>469617.01</v>
      </c>
      <c r="P165" s="12" t="n">
        <v>2190000</v>
      </c>
      <c r="Q165" s="9" t="inlineStr">
        <is>
          <t>Low</t>
        </is>
      </c>
      <c r="R165" s="11">
        <f>IFERROR(O165/K165,0)</f>
        <v/>
      </c>
    </row>
    <row r="166">
      <c r="A166" s="9" t="inlineStr">
        <is>
          <t>T0376</t>
        </is>
      </c>
      <c r="B166" s="9" t="inlineStr">
        <is>
          <t>Evergreen Insurance</t>
        </is>
      </c>
      <c r="C166" s="9" t="inlineStr">
        <is>
          <t>Property</t>
        </is>
      </c>
      <c r="D166" s="9" t="inlineStr">
        <is>
          <t>North America</t>
        </is>
      </c>
      <c r="E166" s="9" t="inlineStr">
        <is>
          <t>James Whitfield</t>
        </is>
      </c>
      <c r="F166" s="9" t="inlineStr">
        <is>
          <t>Proportional</t>
        </is>
      </c>
      <c r="G166" s="9" t="n">
        <v>2022</v>
      </c>
      <c r="H166" s="12" t="n">
        <v>8600000</v>
      </c>
      <c r="I166" s="12" t="n">
        <v>750096.6000000001</v>
      </c>
      <c r="J166" s="12" t="n">
        <v>49878.48</v>
      </c>
      <c r="K166" s="12" t="n">
        <v>750096.6000000001</v>
      </c>
      <c r="L166" s="12" t="n">
        <v>176928.96</v>
      </c>
      <c r="M166" s="9" t="n">
        <v>10</v>
      </c>
      <c r="N166" s="12" t="n">
        <v>273165.23</v>
      </c>
      <c r="O166" s="12" t="n">
        <v>450495.01</v>
      </c>
      <c r="P166" s="12" t="n">
        <v>860000</v>
      </c>
      <c r="Q166" s="9" t="inlineStr">
        <is>
          <t>Low</t>
        </is>
      </c>
      <c r="R166" s="11">
        <f>IFERROR(O166/K166,0)</f>
        <v/>
      </c>
    </row>
    <row r="167">
      <c r="A167" s="9" t="inlineStr">
        <is>
          <t>T0381</t>
        </is>
      </c>
      <c r="B167" s="9" t="inlineStr">
        <is>
          <t>Cobalt Indemnity</t>
        </is>
      </c>
      <c r="C167" s="9" t="inlineStr">
        <is>
          <t>Property</t>
        </is>
      </c>
      <c r="D167" s="9" t="inlineStr">
        <is>
          <t>North America</t>
        </is>
      </c>
      <c r="E167" s="9" t="inlineStr">
        <is>
          <t>James Whitfield</t>
        </is>
      </c>
      <c r="F167" s="9" t="inlineStr">
        <is>
          <t>Excess of Loss</t>
        </is>
      </c>
      <c r="G167" s="9" t="n">
        <v>2024</v>
      </c>
      <c r="H167" s="12" t="n">
        <v>21100000</v>
      </c>
      <c r="I167" s="12" t="n">
        <v>2360609.16</v>
      </c>
      <c r="J167" s="12" t="n">
        <v>218696.04</v>
      </c>
      <c r="K167" s="12" t="n">
        <v>2360609.16</v>
      </c>
      <c r="L167" s="12" t="n">
        <v>263297.52</v>
      </c>
      <c r="M167" s="9" t="n">
        <v>5</v>
      </c>
      <c r="N167" s="12" t="n">
        <v>1647446.65</v>
      </c>
      <c r="O167" s="12" t="n">
        <v>1647446.65</v>
      </c>
      <c r="P167" s="12" t="n">
        <v>21100000</v>
      </c>
      <c r="Q167" s="9" t="inlineStr">
        <is>
          <t>Low</t>
        </is>
      </c>
      <c r="R167" s="11">
        <f>IFERROR(O167/K167,0)</f>
        <v/>
      </c>
    </row>
    <row r="168">
      <c r="A168" s="9" t="inlineStr">
        <is>
          <t>T0383</t>
        </is>
      </c>
      <c r="B168" s="9" t="inlineStr">
        <is>
          <t>Harbor Mutual</t>
        </is>
      </c>
      <c r="C168" s="9" t="inlineStr">
        <is>
          <t>Professional</t>
        </is>
      </c>
      <c r="D168" s="9" t="inlineStr">
        <is>
          <t>North America</t>
        </is>
      </c>
      <c r="E168" s="9" t="inlineStr">
        <is>
          <t>Hannah Weber</t>
        </is>
      </c>
      <c r="F168" s="9" t="inlineStr">
        <is>
          <t>Proportional</t>
        </is>
      </c>
      <c r="G168" s="9" t="n">
        <v>2022</v>
      </c>
      <c r="H168" s="12" t="n">
        <v>20400000</v>
      </c>
      <c r="I168" s="12" t="n">
        <v>2829838.8</v>
      </c>
      <c r="J168" s="12" t="n">
        <v>186165.6</v>
      </c>
      <c r="K168" s="12" t="n">
        <v>2829838.8</v>
      </c>
      <c r="L168" s="12" t="n">
        <v>905234.76</v>
      </c>
      <c r="M168" s="9" t="n">
        <v>6</v>
      </c>
      <c r="N168" s="12" t="n">
        <v>1546525.6</v>
      </c>
      <c r="O168" s="12" t="n">
        <v>1546525.6</v>
      </c>
      <c r="P168" s="12" t="n">
        <v>3060000</v>
      </c>
      <c r="Q168" s="9" t="inlineStr">
        <is>
          <t>Low</t>
        </is>
      </c>
      <c r="R168" s="11">
        <f>IFERROR(O168/K168,0)</f>
        <v/>
      </c>
    </row>
    <row r="169">
      <c r="A169" s="9" t="inlineStr">
        <is>
          <t>T0385</t>
        </is>
      </c>
      <c r="B169" s="9" t="inlineStr">
        <is>
          <t>Crown Mutual</t>
        </is>
      </c>
      <c r="C169" s="9" t="inlineStr">
        <is>
          <t>Financial Lines</t>
        </is>
      </c>
      <c r="D169" s="9" t="inlineStr">
        <is>
          <t>North America</t>
        </is>
      </c>
      <c r="E169" s="9" t="inlineStr">
        <is>
          <t>Carlos Ibarra</t>
        </is>
      </c>
      <c r="F169" s="9" t="inlineStr">
        <is>
          <t>Proportional</t>
        </is>
      </c>
      <c r="G169" s="9" t="n">
        <v>2024</v>
      </c>
      <c r="H169" s="12" t="n">
        <v>43300000</v>
      </c>
      <c r="I169" s="12" t="n">
        <v>4543842</v>
      </c>
      <c r="J169" s="12" t="n">
        <v>298224.12</v>
      </c>
      <c r="K169" s="12" t="n">
        <v>4543842</v>
      </c>
      <c r="L169" s="12" t="n">
        <v>1133380.92</v>
      </c>
      <c r="M169" s="9" t="n">
        <v>6</v>
      </c>
      <c r="N169" s="12" t="n">
        <v>867059.66</v>
      </c>
      <c r="O169" s="12" t="n">
        <v>951833.23</v>
      </c>
      <c r="P169" s="12" t="n">
        <v>12990000</v>
      </c>
      <c r="Q169" s="9" t="inlineStr">
        <is>
          <t>Low</t>
        </is>
      </c>
      <c r="R169" s="11">
        <f>IFERROR(O169/K169,0)</f>
        <v/>
      </c>
    </row>
    <row r="170">
      <c r="A170" s="9" t="inlineStr">
        <is>
          <t>T0387</t>
        </is>
      </c>
      <c r="B170" s="9" t="inlineStr">
        <is>
          <t>Harbor General</t>
        </is>
      </c>
      <c r="C170" s="9" t="inlineStr">
        <is>
          <t>Property</t>
        </is>
      </c>
      <c r="D170" s="9" t="inlineStr">
        <is>
          <t>North America</t>
        </is>
      </c>
      <c r="E170" s="9" t="inlineStr">
        <is>
          <t>Omar Haddad</t>
        </is>
      </c>
      <c r="F170" s="9" t="inlineStr">
        <is>
          <t>Proportional</t>
        </is>
      </c>
      <c r="G170" s="9" t="n">
        <v>2023</v>
      </c>
      <c r="H170" s="12" t="n">
        <v>5900000</v>
      </c>
      <c r="I170" s="12" t="n">
        <v>421047.36</v>
      </c>
      <c r="J170" s="12" t="n">
        <v>37653.36</v>
      </c>
      <c r="K170" s="12" t="n">
        <v>421047.36</v>
      </c>
      <c r="L170" s="12" t="n">
        <v>116024.4</v>
      </c>
      <c r="M170" s="9" t="n">
        <v>6</v>
      </c>
      <c r="N170" s="12" t="n">
        <v>373997.2</v>
      </c>
      <c r="O170" s="12" t="n">
        <v>410241.34</v>
      </c>
      <c r="P170" s="12" t="n">
        <v>2360000</v>
      </c>
      <c r="Q170" s="9" t="inlineStr">
        <is>
          <t>Low</t>
        </is>
      </c>
      <c r="R170" s="11">
        <f>IFERROR(O170/K170,0)</f>
        <v/>
      </c>
    </row>
    <row r="171">
      <c r="A171" s="9" t="inlineStr">
        <is>
          <t>T0388</t>
        </is>
      </c>
      <c r="B171" s="9" t="inlineStr">
        <is>
          <t>Orion General</t>
        </is>
      </c>
      <c r="C171" s="9" t="inlineStr">
        <is>
          <t>Property</t>
        </is>
      </c>
      <c r="D171" s="9" t="inlineStr">
        <is>
          <t>North America</t>
        </is>
      </c>
      <c r="E171" s="9" t="inlineStr">
        <is>
          <t>Priya Nair</t>
        </is>
      </c>
      <c r="F171" s="9" t="inlineStr">
        <is>
          <t>Excess of Loss</t>
        </is>
      </c>
      <c r="G171" s="9" t="n">
        <v>2024</v>
      </c>
      <c r="H171" s="12" t="n">
        <v>45700000</v>
      </c>
      <c r="I171" s="12" t="n">
        <v>7042276.32</v>
      </c>
      <c r="J171" s="12" t="n">
        <v>723493.92</v>
      </c>
      <c r="K171" s="12" t="n">
        <v>7042276.32</v>
      </c>
      <c r="L171" s="12" t="n">
        <v>764563.6799999999</v>
      </c>
      <c r="M171" s="9" t="n">
        <v>14</v>
      </c>
      <c r="N171" s="12" t="n">
        <v>3304472.15</v>
      </c>
      <c r="O171" s="12" t="n">
        <v>4221369.43</v>
      </c>
      <c r="P171" s="12" t="n">
        <v>45700000</v>
      </c>
      <c r="Q171" s="9" t="inlineStr">
        <is>
          <t>Low</t>
        </is>
      </c>
      <c r="R171" s="11">
        <f>IFERROR(O171/K171,0)</f>
        <v/>
      </c>
    </row>
    <row r="172">
      <c r="A172" s="9" t="inlineStr">
        <is>
          <t>T0389</t>
        </is>
      </c>
      <c r="B172" s="9" t="inlineStr">
        <is>
          <t>Harbor General</t>
        </is>
      </c>
      <c r="C172" s="9" t="inlineStr">
        <is>
          <t>Property</t>
        </is>
      </c>
      <c r="D172" s="9" t="inlineStr">
        <is>
          <t>North America</t>
        </is>
      </c>
      <c r="E172" s="9" t="inlineStr">
        <is>
          <t>James Whitfield</t>
        </is>
      </c>
      <c r="F172" s="9" t="inlineStr">
        <is>
          <t>Excess of Loss</t>
        </is>
      </c>
      <c r="G172" s="9" t="n">
        <v>2026</v>
      </c>
      <c r="H172" s="12" t="n">
        <v>19200000</v>
      </c>
      <c r="I172" s="12" t="n">
        <v>1457700.6</v>
      </c>
      <c r="J172" s="12" t="n">
        <v>129266.5</v>
      </c>
      <c r="K172" s="12" t="n">
        <v>1175878.48</v>
      </c>
      <c r="L172" s="12" t="n">
        <v>84049.86671408656</v>
      </c>
      <c r="M172" s="9" t="n">
        <v>2</v>
      </c>
      <c r="N172" s="12" t="n">
        <v>269751.26</v>
      </c>
      <c r="O172" s="12" t="n">
        <v>718698.76</v>
      </c>
      <c r="P172" s="12" t="n">
        <v>19200000</v>
      </c>
      <c r="Q172" s="9" t="inlineStr">
        <is>
          <t>Low</t>
        </is>
      </c>
      <c r="R172" s="11">
        <f>IFERROR(O172/K172,0)</f>
        <v/>
      </c>
    </row>
    <row r="173">
      <c r="A173" s="9" t="inlineStr">
        <is>
          <t>T0392</t>
        </is>
      </c>
      <c r="B173" s="9" t="inlineStr">
        <is>
          <t>Orion General</t>
        </is>
      </c>
      <c r="C173" s="9" t="inlineStr">
        <is>
          <t>Specialty</t>
        </is>
      </c>
      <c r="D173" s="9" t="inlineStr">
        <is>
          <t>North America</t>
        </is>
      </c>
      <c r="E173" s="9" t="inlineStr">
        <is>
          <t>Aarav Mehta</t>
        </is>
      </c>
      <c r="F173" s="9" t="inlineStr">
        <is>
          <t>Proportional</t>
        </is>
      </c>
      <c r="G173" s="9" t="n">
        <v>2021</v>
      </c>
      <c r="H173" s="12" t="n">
        <v>18900000</v>
      </c>
      <c r="I173" s="12" t="n">
        <v>3758645.52</v>
      </c>
      <c r="J173" s="12" t="n">
        <v>448722.12</v>
      </c>
      <c r="K173" s="12" t="n">
        <v>3758645.52</v>
      </c>
      <c r="L173" s="12" t="n">
        <v>948964.7999999999</v>
      </c>
      <c r="M173" s="9" t="n">
        <v>5</v>
      </c>
      <c r="N173" s="12" t="n">
        <v>2330821.44</v>
      </c>
      <c r="O173" s="12" t="n">
        <v>2431355.53</v>
      </c>
      <c r="P173" s="12" t="n">
        <v>1890000</v>
      </c>
      <c r="Q173" s="9" t="inlineStr">
        <is>
          <t>Low</t>
        </is>
      </c>
      <c r="R173" s="11">
        <f>IFERROR(O173/K173,0)</f>
        <v/>
      </c>
    </row>
    <row r="174">
      <c r="A174" s="9" t="inlineStr">
        <is>
          <t>T0393</t>
        </is>
      </c>
      <c r="B174" s="9" t="inlineStr">
        <is>
          <t>Harbor General</t>
        </is>
      </c>
      <c r="C174" s="9" t="inlineStr">
        <is>
          <t>Property</t>
        </is>
      </c>
      <c r="D174" s="9" t="inlineStr">
        <is>
          <t>North America</t>
        </is>
      </c>
      <c r="E174" s="9" t="inlineStr">
        <is>
          <t>Hannah Weber</t>
        </is>
      </c>
      <c r="F174" s="9" t="inlineStr">
        <is>
          <t>Proportional</t>
        </is>
      </c>
      <c r="G174" s="9" t="n">
        <v>2023</v>
      </c>
      <c r="H174" s="12" t="n">
        <v>3500000</v>
      </c>
      <c r="I174" s="12" t="n">
        <v>301034.76</v>
      </c>
      <c r="J174" s="12" t="n">
        <v>16039.08</v>
      </c>
      <c r="K174" s="12" t="n">
        <v>301034.76</v>
      </c>
      <c r="L174" s="12" t="n">
        <v>69965.04000000001</v>
      </c>
      <c r="M174" s="9" t="n">
        <v>10</v>
      </c>
      <c r="N174" s="12" t="n">
        <v>289764.63</v>
      </c>
      <c r="O174" s="12" t="n">
        <v>301992.78</v>
      </c>
      <c r="P174" s="12" t="n">
        <v>1050000</v>
      </c>
      <c r="Q174" s="9" t="inlineStr">
        <is>
          <t>Low</t>
        </is>
      </c>
      <c r="R174" s="11">
        <f>IFERROR(O174/K174,0)</f>
        <v/>
      </c>
    </row>
    <row r="175">
      <c r="A175" s="9" t="inlineStr">
        <is>
          <t>T0394</t>
        </is>
      </c>
      <c r="B175" s="9" t="inlineStr">
        <is>
          <t>Evergreen Indemnity</t>
        </is>
      </c>
      <c r="C175" s="9" t="inlineStr">
        <is>
          <t>Property</t>
        </is>
      </c>
      <c r="D175" s="9" t="inlineStr">
        <is>
          <t>North America</t>
        </is>
      </c>
      <c r="E175" s="9" t="inlineStr">
        <is>
          <t>James Whitfield</t>
        </is>
      </c>
      <c r="F175" s="9" t="inlineStr">
        <is>
          <t>Excess of Loss</t>
        </is>
      </c>
      <c r="G175" s="9" t="n">
        <v>2022</v>
      </c>
      <c r="H175" s="12" t="n">
        <v>14000000</v>
      </c>
      <c r="I175" s="12" t="n">
        <v>1437598.32</v>
      </c>
      <c r="J175" s="12" t="n">
        <v>159044.28</v>
      </c>
      <c r="K175" s="12" t="n">
        <v>1437598.32</v>
      </c>
      <c r="L175" s="12" t="n">
        <v>72202.68000000001</v>
      </c>
      <c r="M175" s="9" t="n">
        <v>14</v>
      </c>
      <c r="N175" s="12" t="n">
        <v>1170211.48</v>
      </c>
      <c r="O175" s="12" t="n">
        <v>1249700.15</v>
      </c>
      <c r="P175" s="12" t="n">
        <v>14000000</v>
      </c>
      <c r="Q175" s="9" t="inlineStr">
        <is>
          <t>Low</t>
        </is>
      </c>
      <c r="R175" s="11">
        <f>IFERROR(O175/K175,0)</f>
        <v/>
      </c>
    </row>
    <row r="176">
      <c r="A176" s="9" t="inlineStr">
        <is>
          <t>T0399</t>
        </is>
      </c>
      <c r="B176" s="9" t="inlineStr">
        <is>
          <t>Northwind Insurance</t>
        </is>
      </c>
      <c r="C176" s="9" t="inlineStr">
        <is>
          <t>Property</t>
        </is>
      </c>
      <c r="D176" s="9" t="inlineStr">
        <is>
          <t>North America</t>
        </is>
      </c>
      <c r="E176" s="9" t="inlineStr">
        <is>
          <t>Kenji Sato</t>
        </is>
      </c>
      <c r="F176" s="9" t="inlineStr">
        <is>
          <t>Excess of Loss</t>
        </is>
      </c>
      <c r="G176" s="9" t="n">
        <v>2021</v>
      </c>
      <c r="H176" s="12" t="n">
        <v>14400000</v>
      </c>
      <c r="I176" s="12" t="n">
        <v>2302822.44</v>
      </c>
      <c r="J176" s="12" t="n">
        <v>197253.48</v>
      </c>
      <c r="K176" s="12" t="n">
        <v>2302822.44</v>
      </c>
      <c r="L176" s="12" t="n">
        <v>157261.8</v>
      </c>
      <c r="M176" s="9" t="n">
        <v>6</v>
      </c>
      <c r="N176" s="12" t="n">
        <v>1968641.01</v>
      </c>
      <c r="O176" s="12" t="n">
        <v>1985498.89</v>
      </c>
      <c r="P176" s="12" t="n">
        <v>14400000</v>
      </c>
      <c r="Q176" s="9" t="inlineStr">
        <is>
          <t>Low</t>
        </is>
      </c>
      <c r="R176" s="11">
        <f>IFERROR(O176/K176,0)</f>
        <v/>
      </c>
    </row>
    <row r="177">
      <c r="A177" s="9" t="inlineStr">
        <is>
          <t>T0400</t>
        </is>
      </c>
      <c r="B177" s="9" t="inlineStr">
        <is>
          <t>Cobalt Indemnity</t>
        </is>
      </c>
      <c r="C177" s="9" t="inlineStr">
        <is>
          <t>Property</t>
        </is>
      </c>
      <c r="D177" s="9" t="inlineStr">
        <is>
          <t>North America</t>
        </is>
      </c>
      <c r="E177" s="9" t="inlineStr">
        <is>
          <t>James Whitfield</t>
        </is>
      </c>
      <c r="F177" s="9" t="inlineStr">
        <is>
          <t>Proportional</t>
        </is>
      </c>
      <c r="G177" s="9" t="n">
        <v>2025</v>
      </c>
      <c r="H177" s="12" t="n">
        <v>55000000</v>
      </c>
      <c r="I177" s="12" t="n">
        <v>4498171.199999999</v>
      </c>
      <c r="J177" s="12" t="n">
        <v>359244</v>
      </c>
      <c r="K177" s="12" t="n">
        <v>4498171.199999999</v>
      </c>
      <c r="L177" s="12" t="n">
        <v>1327737</v>
      </c>
      <c r="M177" s="9" t="n">
        <v>9</v>
      </c>
      <c r="N177" s="12" t="n">
        <v>3565189.25</v>
      </c>
      <c r="O177" s="12" t="n">
        <v>4982706.64</v>
      </c>
      <c r="P177" s="12" t="n">
        <v>11000000</v>
      </c>
      <c r="Q177" s="9" t="inlineStr">
        <is>
          <t>Low</t>
        </is>
      </c>
      <c r="R177" s="11">
        <f>IFERROR(O177/K177,0)</f>
        <v/>
      </c>
    </row>
    <row r="178">
      <c r="A178" s="9" t="inlineStr">
        <is>
          <t>T0401</t>
        </is>
      </c>
      <c r="B178" s="9" t="inlineStr">
        <is>
          <t>Cobalt Indemnity</t>
        </is>
      </c>
      <c r="C178" s="9" t="inlineStr">
        <is>
          <t>Specialty</t>
        </is>
      </c>
      <c r="D178" s="9" t="inlineStr">
        <is>
          <t>North America</t>
        </is>
      </c>
      <c r="E178" s="9" t="inlineStr">
        <is>
          <t>Priya Nair</t>
        </is>
      </c>
      <c r="F178" s="9" t="inlineStr">
        <is>
          <t>Proportional</t>
        </is>
      </c>
      <c r="G178" s="9" t="n">
        <v>2024</v>
      </c>
      <c r="H178" s="12" t="n">
        <v>6500000</v>
      </c>
      <c r="I178" s="12" t="n">
        <v>1199260.56</v>
      </c>
      <c r="J178" s="12" t="n">
        <v>133438.08</v>
      </c>
      <c r="K178" s="12" t="n">
        <v>1199260.56</v>
      </c>
      <c r="L178" s="12" t="n">
        <v>303158.76</v>
      </c>
      <c r="M178" s="9" t="n">
        <v>1</v>
      </c>
      <c r="N178" s="12" t="n">
        <v>514236.55</v>
      </c>
      <c r="O178" s="12" t="n">
        <v>514236.55</v>
      </c>
      <c r="P178" s="12" t="n">
        <v>975000</v>
      </c>
      <c r="Q178" s="9" t="inlineStr">
        <is>
          <t>Low</t>
        </is>
      </c>
      <c r="R178" s="11">
        <f>IFERROR(O178/K178,0)</f>
        <v/>
      </c>
    </row>
    <row r="179">
      <c r="A179" s="9" t="inlineStr">
        <is>
          <t>T0403</t>
        </is>
      </c>
      <c r="B179" s="9" t="inlineStr">
        <is>
          <t>Cobalt Indemnity</t>
        </is>
      </c>
      <c r="C179" s="9" t="inlineStr">
        <is>
          <t>Property</t>
        </is>
      </c>
      <c r="D179" s="9" t="inlineStr">
        <is>
          <t>North America</t>
        </is>
      </c>
      <c r="E179" s="9" t="inlineStr">
        <is>
          <t>Carlos Ibarra</t>
        </is>
      </c>
      <c r="F179" s="9" t="inlineStr">
        <is>
          <t>Proportional</t>
        </is>
      </c>
      <c r="G179" s="9" t="n">
        <v>2025</v>
      </c>
      <c r="H179" s="12" t="n">
        <v>5200000</v>
      </c>
      <c r="I179" s="12" t="n">
        <v>540506.8</v>
      </c>
      <c r="J179" s="12" t="n">
        <v>49102.1</v>
      </c>
      <c r="K179" s="12" t="n">
        <v>495464.57</v>
      </c>
      <c r="L179" s="12" t="n">
        <v>131216.709216119</v>
      </c>
      <c r="M179" s="9" t="n">
        <v>8</v>
      </c>
      <c r="N179" s="12" t="n">
        <v>332826.72</v>
      </c>
      <c r="O179" s="12" t="n">
        <v>587696.5600000001</v>
      </c>
      <c r="P179" s="12" t="n">
        <v>1300000</v>
      </c>
      <c r="Q179" s="9" t="inlineStr">
        <is>
          <t>Low</t>
        </is>
      </c>
      <c r="R179" s="11">
        <f>IFERROR(O179/K179,0)</f>
        <v/>
      </c>
    </row>
    <row r="180">
      <c r="A180" s="9" t="inlineStr">
        <is>
          <t>T0404</t>
        </is>
      </c>
      <c r="B180" s="9" t="inlineStr">
        <is>
          <t>Meridian General</t>
        </is>
      </c>
      <c r="C180" s="9" t="inlineStr">
        <is>
          <t>Property</t>
        </is>
      </c>
      <c r="D180" s="9" t="inlineStr">
        <is>
          <t>North America</t>
        </is>
      </c>
      <c r="E180" s="9" t="inlineStr">
        <is>
          <t>Aarav Mehta</t>
        </is>
      </c>
      <c r="F180" s="9" t="inlineStr">
        <is>
          <t>Excess of Loss</t>
        </is>
      </c>
      <c r="G180" s="9" t="n">
        <v>2022</v>
      </c>
      <c r="H180" s="12" t="n">
        <v>52800000</v>
      </c>
      <c r="I180" s="12" t="n">
        <v>4576634.16</v>
      </c>
      <c r="J180" s="12" t="n">
        <v>323194.8</v>
      </c>
      <c r="K180" s="12" t="n">
        <v>4576634.16</v>
      </c>
      <c r="L180" s="12" t="n">
        <v>431375.52</v>
      </c>
      <c r="M180" s="9" t="n">
        <v>11</v>
      </c>
      <c r="N180" s="12" t="n">
        <v>2363152.57</v>
      </c>
      <c r="O180" s="12" t="n">
        <v>3495801.99</v>
      </c>
      <c r="P180" s="12" t="n">
        <v>52800000</v>
      </c>
      <c r="Q180" s="9" t="inlineStr">
        <is>
          <t>Low</t>
        </is>
      </c>
      <c r="R180" s="11">
        <f>IFERROR(O180/K180,0)</f>
        <v/>
      </c>
    </row>
    <row r="181">
      <c r="A181" s="9" t="inlineStr">
        <is>
          <t>T0405</t>
        </is>
      </c>
      <c r="B181" s="9" t="inlineStr">
        <is>
          <t>Cobalt Indemnity</t>
        </is>
      </c>
      <c r="C181" s="9" t="inlineStr">
        <is>
          <t>Property</t>
        </is>
      </c>
      <c r="D181" s="9" t="inlineStr">
        <is>
          <t>North America</t>
        </is>
      </c>
      <c r="E181" s="9" t="inlineStr">
        <is>
          <t>James Whitfield</t>
        </is>
      </c>
      <c r="F181" s="9" t="inlineStr">
        <is>
          <t>Excess of Loss</t>
        </is>
      </c>
      <c r="G181" s="9" t="n">
        <v>2023</v>
      </c>
      <c r="H181" s="12" t="n">
        <v>21500000</v>
      </c>
      <c r="I181" s="12" t="n">
        <v>2654657.04</v>
      </c>
      <c r="J181" s="12" t="n">
        <v>193710.48</v>
      </c>
      <c r="K181" s="12" t="n">
        <v>2654657.04</v>
      </c>
      <c r="L181" s="12" t="n">
        <v>303310.44</v>
      </c>
      <c r="M181" s="9" t="n">
        <v>4</v>
      </c>
      <c r="N181" s="12" t="n">
        <v>2330686.83</v>
      </c>
      <c r="O181" s="12" t="n">
        <v>2330686.83</v>
      </c>
      <c r="P181" s="12" t="n">
        <v>21500000</v>
      </c>
      <c r="Q181" s="9" t="inlineStr">
        <is>
          <t>Low</t>
        </is>
      </c>
      <c r="R181" s="11">
        <f>IFERROR(O181/K181,0)</f>
        <v/>
      </c>
    </row>
    <row r="182">
      <c r="A182" s="9" t="inlineStr">
        <is>
          <t>T0408</t>
        </is>
      </c>
      <c r="B182" s="9" t="inlineStr">
        <is>
          <t>Atlas Indemnity</t>
        </is>
      </c>
      <c r="C182" s="9" t="inlineStr">
        <is>
          <t>Professional</t>
        </is>
      </c>
      <c r="D182" s="9" t="inlineStr">
        <is>
          <t>North America</t>
        </is>
      </c>
      <c r="E182" s="9" t="inlineStr">
        <is>
          <t>Omar Haddad</t>
        </is>
      </c>
      <c r="F182" s="9" t="inlineStr">
        <is>
          <t>Proportional</t>
        </is>
      </c>
      <c r="G182" s="9" t="n">
        <v>2025</v>
      </c>
      <c r="H182" s="12" t="n">
        <v>23000000</v>
      </c>
      <c r="I182" s="12" t="n">
        <v>1953700.08</v>
      </c>
      <c r="J182" s="12" t="n">
        <v>179143.8</v>
      </c>
      <c r="K182" s="12" t="n">
        <v>1953700.08</v>
      </c>
      <c r="L182" s="12" t="n">
        <v>558319.92</v>
      </c>
      <c r="M182" s="9" t="n">
        <v>7</v>
      </c>
      <c r="N182" s="12" t="n">
        <v>579585.28</v>
      </c>
      <c r="O182" s="12" t="n">
        <v>1137259.63</v>
      </c>
      <c r="P182" s="12" t="n">
        <v>5750000</v>
      </c>
      <c r="Q182" s="9" t="inlineStr">
        <is>
          <t>Low</t>
        </is>
      </c>
      <c r="R182" s="11">
        <f>IFERROR(O182/K182,0)</f>
        <v/>
      </c>
    </row>
    <row r="183">
      <c r="A183" s="9" t="inlineStr">
        <is>
          <t>T0410</t>
        </is>
      </c>
      <c r="B183" s="9" t="inlineStr">
        <is>
          <t>Crown Mutual</t>
        </is>
      </c>
      <c r="C183" s="9" t="inlineStr">
        <is>
          <t>Financial Lines</t>
        </is>
      </c>
      <c r="D183" s="9" t="inlineStr">
        <is>
          <t>North America</t>
        </is>
      </c>
      <c r="E183" s="9" t="inlineStr">
        <is>
          <t>Sophie Laurent</t>
        </is>
      </c>
      <c r="F183" s="9" t="inlineStr">
        <is>
          <t>Excess of Loss</t>
        </is>
      </c>
      <c r="G183" s="9" t="n">
        <v>2021</v>
      </c>
      <c r="H183" s="12" t="n">
        <v>38200000</v>
      </c>
      <c r="I183" s="12" t="n">
        <v>3430911.24</v>
      </c>
      <c r="J183" s="12" t="n">
        <v>338869.08</v>
      </c>
      <c r="K183" s="12" t="n">
        <v>3430911.24</v>
      </c>
      <c r="L183" s="12" t="n">
        <v>223516.92</v>
      </c>
      <c r="M183" s="9" t="n">
        <v>10</v>
      </c>
      <c r="N183" s="12" t="n">
        <v>1770598.18</v>
      </c>
      <c r="O183" s="12" t="n">
        <v>1770598.18</v>
      </c>
      <c r="P183" s="12" t="n">
        <v>38200000</v>
      </c>
      <c r="Q183" s="9" t="inlineStr">
        <is>
          <t>Low</t>
        </is>
      </c>
      <c r="R183" s="11">
        <f>IFERROR(O183/K183,0)</f>
        <v/>
      </c>
    </row>
    <row r="184">
      <c r="A184" s="9" t="inlineStr">
        <is>
          <t>T0414</t>
        </is>
      </c>
      <c r="B184" s="9" t="inlineStr">
        <is>
          <t>Lumen Insurance</t>
        </is>
      </c>
      <c r="C184" s="9" t="inlineStr">
        <is>
          <t>Casualty</t>
        </is>
      </c>
      <c r="D184" s="9" t="inlineStr">
        <is>
          <t>North America</t>
        </is>
      </c>
      <c r="E184" s="9" t="inlineStr">
        <is>
          <t>Omar Haddad</t>
        </is>
      </c>
      <c r="F184" s="9" t="inlineStr">
        <is>
          <t>Proportional</t>
        </is>
      </c>
      <c r="G184" s="9" t="n">
        <v>2024</v>
      </c>
      <c r="H184" s="12" t="n">
        <v>8100000</v>
      </c>
      <c r="I184" s="12" t="n">
        <v>746165.64</v>
      </c>
      <c r="J184" s="12" t="n">
        <v>55971.12</v>
      </c>
      <c r="K184" s="12" t="n">
        <v>746165.64</v>
      </c>
      <c r="L184" s="12" t="n">
        <v>235090.56</v>
      </c>
      <c r="M184" s="9" t="n">
        <v>10</v>
      </c>
      <c r="N184" s="12" t="n">
        <v>267506.64</v>
      </c>
      <c r="O184" s="12" t="n">
        <v>387494.24</v>
      </c>
      <c r="P184" s="12" t="n">
        <v>4050000</v>
      </c>
      <c r="Q184" s="9" t="inlineStr">
        <is>
          <t>Low</t>
        </is>
      </c>
      <c r="R184" s="11">
        <f>IFERROR(O184/K184,0)</f>
        <v/>
      </c>
    </row>
    <row r="185">
      <c r="A185" s="9" t="inlineStr">
        <is>
          <t>T0416</t>
        </is>
      </c>
      <c r="B185" s="9" t="inlineStr">
        <is>
          <t>Cobalt General</t>
        </is>
      </c>
      <c r="C185" s="9" t="inlineStr">
        <is>
          <t>Financial Lines</t>
        </is>
      </c>
      <c r="D185" s="9" t="inlineStr">
        <is>
          <t>North America</t>
        </is>
      </c>
      <c r="E185" s="9" t="inlineStr">
        <is>
          <t>Kenji Sato</t>
        </is>
      </c>
      <c r="F185" s="9" t="inlineStr">
        <is>
          <t>Excess of Loss</t>
        </is>
      </c>
      <c r="G185" s="9" t="n">
        <v>2022</v>
      </c>
      <c r="H185" s="12" t="n">
        <v>3400000</v>
      </c>
      <c r="I185" s="12" t="n">
        <v>382462.08</v>
      </c>
      <c r="J185" s="12" t="n">
        <v>44065.68</v>
      </c>
      <c r="K185" s="12" t="n">
        <v>382462.08</v>
      </c>
      <c r="L185" s="12" t="n">
        <v>39135.60000000001</v>
      </c>
      <c r="M185" s="9" t="n">
        <v>8</v>
      </c>
      <c r="N185" s="12" t="n">
        <v>157456.46</v>
      </c>
      <c r="O185" s="12" t="n">
        <v>182298.78</v>
      </c>
      <c r="P185" s="12" t="n">
        <v>3400000</v>
      </c>
      <c r="Q185" s="9" t="inlineStr">
        <is>
          <t>Low</t>
        </is>
      </c>
      <c r="R185" s="11">
        <f>IFERROR(O185/K185,0)</f>
        <v/>
      </c>
    </row>
    <row r="186">
      <c r="A186" s="9" t="inlineStr">
        <is>
          <t>T0419</t>
        </is>
      </c>
      <c r="B186" s="9" t="inlineStr">
        <is>
          <t>Meridian General</t>
        </is>
      </c>
      <c r="C186" s="9" t="inlineStr">
        <is>
          <t>Property</t>
        </is>
      </c>
      <c r="D186" s="9" t="inlineStr">
        <is>
          <t>North America</t>
        </is>
      </c>
      <c r="E186" s="9" t="inlineStr">
        <is>
          <t>James Whitfield</t>
        </is>
      </c>
      <c r="F186" s="9" t="inlineStr">
        <is>
          <t>Excess of Loss</t>
        </is>
      </c>
      <c r="G186" s="9" t="n">
        <v>2021</v>
      </c>
      <c r="H186" s="12" t="n">
        <v>3600000</v>
      </c>
      <c r="I186" s="12" t="n">
        <v>270055.2</v>
      </c>
      <c r="J186" s="12" t="n">
        <v>19412.28</v>
      </c>
      <c r="K186" s="12" t="n">
        <v>270055.2</v>
      </c>
      <c r="L186" s="12" t="n">
        <v>21293.16</v>
      </c>
      <c r="M186" s="9" t="n">
        <v>7</v>
      </c>
      <c r="N186" s="12" t="n">
        <v>331612.71</v>
      </c>
      <c r="O186" s="12" t="n">
        <v>332627.61</v>
      </c>
      <c r="P186" s="12" t="n">
        <v>3600000</v>
      </c>
      <c r="Q186" s="9" t="inlineStr">
        <is>
          <t>Low</t>
        </is>
      </c>
      <c r="R186" s="11">
        <f>IFERROR(O186/K186,0)</f>
        <v/>
      </c>
    </row>
    <row r="187">
      <c r="A187" s="9" t="inlineStr">
        <is>
          <t>T0421</t>
        </is>
      </c>
      <c r="B187" s="9" t="inlineStr">
        <is>
          <t>Northwind Insurance</t>
        </is>
      </c>
      <c r="C187" s="9" t="inlineStr">
        <is>
          <t>Financial Lines</t>
        </is>
      </c>
      <c r="D187" s="9" t="inlineStr">
        <is>
          <t>North America</t>
        </is>
      </c>
      <c r="E187" s="9" t="inlineStr">
        <is>
          <t>Sophie Laurent</t>
        </is>
      </c>
      <c r="F187" s="9" t="inlineStr">
        <is>
          <t>Excess of Loss</t>
        </is>
      </c>
      <c r="G187" s="9" t="n">
        <v>2023</v>
      </c>
      <c r="H187" s="12" t="n">
        <v>11700000</v>
      </c>
      <c r="I187" s="12" t="n">
        <v>1131231.72</v>
      </c>
      <c r="J187" s="12" t="n">
        <v>65284.8</v>
      </c>
      <c r="K187" s="12" t="n">
        <v>1131231.72</v>
      </c>
      <c r="L187" s="12" t="n">
        <v>93627.48</v>
      </c>
      <c r="M187" s="9" t="n">
        <v>11</v>
      </c>
      <c r="N187" s="12" t="n">
        <v>542149.8</v>
      </c>
      <c r="O187" s="12" t="n">
        <v>558779.24</v>
      </c>
      <c r="P187" s="12" t="n">
        <v>11700000</v>
      </c>
      <c r="Q187" s="9" t="inlineStr">
        <is>
          <t>Low</t>
        </is>
      </c>
      <c r="R187" s="11">
        <f>IFERROR(O187/K187,0)</f>
        <v/>
      </c>
    </row>
    <row r="188">
      <c r="A188" s="9" t="inlineStr">
        <is>
          <t>T0422</t>
        </is>
      </c>
      <c r="B188" s="9" t="inlineStr">
        <is>
          <t>Evergreen Insurance</t>
        </is>
      </c>
      <c r="C188" s="9" t="inlineStr">
        <is>
          <t>Property</t>
        </is>
      </c>
      <c r="D188" s="9" t="inlineStr">
        <is>
          <t>North America</t>
        </is>
      </c>
      <c r="E188" s="9" t="inlineStr">
        <is>
          <t>Sophie Laurent</t>
        </is>
      </c>
      <c r="F188" s="9" t="inlineStr">
        <is>
          <t>Excess of Loss</t>
        </is>
      </c>
      <c r="G188" s="9" t="n">
        <v>2022</v>
      </c>
      <c r="H188" s="12" t="n">
        <v>39700000</v>
      </c>
      <c r="I188" s="12" t="n">
        <v>5018892.779999999</v>
      </c>
      <c r="J188" s="12" t="n">
        <v>358570.96</v>
      </c>
      <c r="K188" s="12" t="n">
        <v>5018892.779999999</v>
      </c>
      <c r="L188" s="12" t="n">
        <v>349912.42</v>
      </c>
      <c r="M188" s="9" t="n">
        <v>8</v>
      </c>
      <c r="N188" s="12" t="n">
        <v>11566260.84</v>
      </c>
      <c r="O188" s="12" t="n">
        <v>13307559.85</v>
      </c>
      <c r="P188" s="12" t="n">
        <v>39700000</v>
      </c>
      <c r="Q188" s="9" t="inlineStr">
        <is>
          <t>Medium</t>
        </is>
      </c>
      <c r="R188" s="11">
        <f>IFERROR(O188/K188,0)</f>
        <v/>
      </c>
    </row>
    <row r="189">
      <c r="A189" s="9" t="inlineStr">
        <is>
          <t>T0423</t>
        </is>
      </c>
      <c r="B189" s="9" t="inlineStr">
        <is>
          <t>Cobalt Indemnity</t>
        </is>
      </c>
      <c r="C189" s="9" t="inlineStr">
        <is>
          <t>Financial Lines</t>
        </is>
      </c>
      <c r="D189" s="9" t="inlineStr">
        <is>
          <t>North America</t>
        </is>
      </c>
      <c r="E189" s="9" t="inlineStr">
        <is>
          <t>James Whitfield</t>
        </is>
      </c>
      <c r="F189" s="9" t="inlineStr">
        <is>
          <t>Excess of Loss</t>
        </is>
      </c>
      <c r="G189" s="9" t="n">
        <v>2025</v>
      </c>
      <c r="H189" s="12" t="n">
        <v>31200000</v>
      </c>
      <c r="I189" s="12" t="n">
        <v>3844172.28</v>
      </c>
      <c r="J189" s="12" t="n">
        <v>291608.64</v>
      </c>
      <c r="K189" s="12" t="n">
        <v>3844172.28</v>
      </c>
      <c r="L189" s="12" t="n">
        <v>272364.36</v>
      </c>
      <c r="M189" s="9" t="n">
        <v>8</v>
      </c>
      <c r="N189" s="12" t="n">
        <v>855790.63</v>
      </c>
      <c r="O189" s="12" t="n">
        <v>2391244.22</v>
      </c>
      <c r="P189" s="12" t="n">
        <v>31200000</v>
      </c>
      <c r="Q189" s="9" t="inlineStr">
        <is>
          <t>Low</t>
        </is>
      </c>
      <c r="R189" s="11">
        <f>IFERROR(O189/K189,0)</f>
        <v/>
      </c>
    </row>
    <row r="190">
      <c r="A190" s="9" t="inlineStr">
        <is>
          <t>T0425</t>
        </is>
      </c>
      <c r="B190" s="9" t="inlineStr">
        <is>
          <t>Atlas Indemnity</t>
        </is>
      </c>
      <c r="C190" s="9" t="inlineStr">
        <is>
          <t>Casualty</t>
        </is>
      </c>
      <c r="D190" s="9" t="inlineStr">
        <is>
          <t>North America</t>
        </is>
      </c>
      <c r="E190" s="9" t="inlineStr">
        <is>
          <t>Hannah Weber</t>
        </is>
      </c>
      <c r="F190" s="9" t="inlineStr">
        <is>
          <t>Proportional</t>
        </is>
      </c>
      <c r="G190" s="9" t="n">
        <v>2022</v>
      </c>
      <c r="H190" s="12" t="n">
        <v>10800000</v>
      </c>
      <c r="I190" s="12" t="n">
        <v>1353057.36</v>
      </c>
      <c r="J190" s="12" t="n">
        <v>84197.88</v>
      </c>
      <c r="K190" s="12" t="n">
        <v>1353057.36</v>
      </c>
      <c r="L190" s="12" t="n">
        <v>388376.76</v>
      </c>
      <c r="M190" s="9" t="n">
        <v>4</v>
      </c>
      <c r="N190" s="12" t="n">
        <v>622808.53</v>
      </c>
      <c r="O190" s="12" t="n">
        <v>1318695.89</v>
      </c>
      <c r="P190" s="12" t="n">
        <v>3240000</v>
      </c>
      <c r="Q190" s="9" t="inlineStr">
        <is>
          <t>Low</t>
        </is>
      </c>
      <c r="R190" s="11">
        <f>IFERROR(O190/K190,0)</f>
        <v/>
      </c>
    </row>
    <row r="191">
      <c r="A191" s="9" t="inlineStr">
        <is>
          <t>T0426</t>
        </is>
      </c>
      <c r="B191" s="9" t="inlineStr">
        <is>
          <t>Harbor General</t>
        </is>
      </c>
      <c r="C191" s="9" t="inlineStr">
        <is>
          <t>Property</t>
        </is>
      </c>
      <c r="D191" s="9" t="inlineStr">
        <is>
          <t>North America</t>
        </is>
      </c>
      <c r="E191" s="9" t="inlineStr">
        <is>
          <t>Omar Haddad</t>
        </is>
      </c>
      <c r="F191" s="9" t="inlineStr">
        <is>
          <t>Proportional</t>
        </is>
      </c>
      <c r="G191" s="9" t="n">
        <v>2024</v>
      </c>
      <c r="H191" s="12" t="n">
        <v>5000000</v>
      </c>
      <c r="I191" s="12" t="n">
        <v>789008.04</v>
      </c>
      <c r="J191" s="12" t="n">
        <v>46528.92</v>
      </c>
      <c r="K191" s="12" t="n">
        <v>789008.04</v>
      </c>
      <c r="L191" s="12" t="n">
        <v>175061.16</v>
      </c>
      <c r="M191" s="9" t="n">
        <v>12</v>
      </c>
      <c r="N191" s="12" t="n">
        <v>1256080.48</v>
      </c>
      <c r="O191" s="12" t="n">
        <v>1256080.48</v>
      </c>
      <c r="P191" s="12" t="n">
        <v>1250000</v>
      </c>
      <c r="Q191" s="9" t="inlineStr">
        <is>
          <t>Medium</t>
        </is>
      </c>
      <c r="R191" s="11">
        <f>IFERROR(O191/K191,0)</f>
        <v/>
      </c>
    </row>
    <row r="192">
      <c r="A192" s="9" t="inlineStr">
        <is>
          <t>T0427</t>
        </is>
      </c>
      <c r="B192" s="9" t="inlineStr">
        <is>
          <t>Evergreen Insurance</t>
        </is>
      </c>
      <c r="C192" s="9" t="inlineStr">
        <is>
          <t>Specialty</t>
        </is>
      </c>
      <c r="D192" s="9" t="inlineStr">
        <is>
          <t>North America</t>
        </is>
      </c>
      <c r="E192" s="9" t="inlineStr">
        <is>
          <t>Aarav Mehta</t>
        </is>
      </c>
      <c r="F192" s="9" t="inlineStr">
        <is>
          <t>Proportional</t>
        </is>
      </c>
      <c r="G192" s="9" t="n">
        <v>2025</v>
      </c>
      <c r="H192" s="12" t="n">
        <v>33400000</v>
      </c>
      <c r="I192" s="12" t="n">
        <v>4212397.800000001</v>
      </c>
      <c r="J192" s="12" t="n">
        <v>354966.24</v>
      </c>
      <c r="K192" s="12" t="n">
        <v>4212397.800000001</v>
      </c>
      <c r="L192" s="12" t="n">
        <v>1228739.04</v>
      </c>
      <c r="M192" s="9" t="n">
        <v>8</v>
      </c>
      <c r="N192" s="12" t="n">
        <v>2884029.4</v>
      </c>
      <c r="O192" s="12" t="n">
        <v>5055867.98</v>
      </c>
      <c r="P192" s="12" t="n">
        <v>13360000</v>
      </c>
      <c r="Q192" s="9" t="inlineStr">
        <is>
          <t>Low</t>
        </is>
      </c>
      <c r="R192" s="11">
        <f>IFERROR(O192/K192,0)</f>
        <v/>
      </c>
    </row>
    <row r="193">
      <c r="A193" s="9" t="inlineStr">
        <is>
          <t>T0428</t>
        </is>
      </c>
      <c r="B193" s="9" t="inlineStr">
        <is>
          <t>Northwind Indemnity</t>
        </is>
      </c>
      <c r="C193" s="9" t="inlineStr">
        <is>
          <t>Casualty</t>
        </is>
      </c>
      <c r="D193" s="9" t="inlineStr">
        <is>
          <t>North America</t>
        </is>
      </c>
      <c r="E193" s="9" t="inlineStr">
        <is>
          <t>Carlos Ibarra</t>
        </is>
      </c>
      <c r="F193" s="9" t="inlineStr">
        <is>
          <t>Proportional</t>
        </is>
      </c>
      <c r="G193" s="9" t="n">
        <v>2025</v>
      </c>
      <c r="H193" s="12" t="n">
        <v>24100000</v>
      </c>
      <c r="I193" s="12" t="n">
        <v>2249868.36</v>
      </c>
      <c r="J193" s="12" t="n">
        <v>196224.36</v>
      </c>
      <c r="K193" s="12" t="n">
        <v>2249868.36</v>
      </c>
      <c r="L193" s="12" t="n">
        <v>700892.76</v>
      </c>
      <c r="M193" s="9" t="n">
        <v>6</v>
      </c>
      <c r="N193" s="12" t="n">
        <v>1625061.16</v>
      </c>
      <c r="O193" s="12" t="n">
        <v>1730342.9</v>
      </c>
      <c r="P193" s="12" t="n">
        <v>12050000</v>
      </c>
      <c r="Q193" s="9" t="inlineStr">
        <is>
          <t>Low</t>
        </is>
      </c>
      <c r="R193" s="11">
        <f>IFERROR(O193/K193,0)</f>
        <v/>
      </c>
    </row>
    <row r="194">
      <c r="A194" s="9" t="inlineStr">
        <is>
          <t>T0429</t>
        </is>
      </c>
      <c r="B194" s="9" t="inlineStr">
        <is>
          <t>Atlas Indemnity</t>
        </is>
      </c>
      <c r="C194" s="9" t="inlineStr">
        <is>
          <t>Financial Lines</t>
        </is>
      </c>
      <c r="D194" s="9" t="inlineStr">
        <is>
          <t>North America</t>
        </is>
      </c>
      <c r="E194" s="9" t="inlineStr">
        <is>
          <t>Kenji Sato</t>
        </is>
      </c>
      <c r="F194" s="9" t="inlineStr">
        <is>
          <t>Proportional</t>
        </is>
      </c>
      <c r="G194" s="9" t="n">
        <v>2026</v>
      </c>
      <c r="H194" s="12" t="n">
        <v>10500000</v>
      </c>
      <c r="I194" s="12" t="n">
        <v>420000.9</v>
      </c>
      <c r="J194" s="12" t="n">
        <v>40160.2</v>
      </c>
      <c r="K194" s="12" t="n">
        <v>392000.84</v>
      </c>
      <c r="L194" s="12" t="n">
        <v>103062.96</v>
      </c>
      <c r="M194" s="9" t="n">
        <v>4</v>
      </c>
      <c r="N194" s="12" t="n">
        <v>66396.67999999999</v>
      </c>
      <c r="O194" s="12" t="n">
        <v>196620.04</v>
      </c>
      <c r="P194" s="12" t="n">
        <v>2625000</v>
      </c>
      <c r="Q194" s="9" t="inlineStr">
        <is>
          <t>Low</t>
        </is>
      </c>
      <c r="R194" s="11">
        <f>IFERROR(O194/K194,0)</f>
        <v/>
      </c>
    </row>
    <row r="195">
      <c r="A195" s="9" t="inlineStr">
        <is>
          <t>T0430</t>
        </is>
      </c>
      <c r="B195" s="9" t="inlineStr">
        <is>
          <t>Northwind Insurance</t>
        </is>
      </c>
      <c r="C195" s="9" t="inlineStr">
        <is>
          <t>Property</t>
        </is>
      </c>
      <c r="D195" s="9" t="inlineStr">
        <is>
          <t>North America</t>
        </is>
      </c>
      <c r="E195" s="9" t="inlineStr">
        <is>
          <t>Omar Haddad</t>
        </is>
      </c>
      <c r="F195" s="9" t="inlineStr">
        <is>
          <t>Excess of Loss</t>
        </is>
      </c>
      <c r="G195" s="9" t="n">
        <v>2023</v>
      </c>
      <c r="H195" s="12" t="n">
        <v>15500000</v>
      </c>
      <c r="I195" s="12" t="n">
        <v>2753749.44</v>
      </c>
      <c r="J195" s="12" t="n">
        <v>254828.4</v>
      </c>
      <c r="K195" s="12" t="n">
        <v>2753749.44</v>
      </c>
      <c r="L195" s="12" t="n">
        <v>261372.72</v>
      </c>
      <c r="M195" s="9" t="n">
        <v>7</v>
      </c>
      <c r="N195" s="12" t="n">
        <v>748719.1</v>
      </c>
      <c r="O195" s="12" t="n">
        <v>803566.0600000001</v>
      </c>
      <c r="P195" s="12" t="n">
        <v>15500000</v>
      </c>
      <c r="Q195" s="9" t="inlineStr">
        <is>
          <t>Low</t>
        </is>
      </c>
      <c r="R195" s="11">
        <f>IFERROR(O195/K195,0)</f>
        <v/>
      </c>
    </row>
    <row r="196">
      <c r="A196" s="9" t="inlineStr">
        <is>
          <t>T0431</t>
        </is>
      </c>
      <c r="B196" s="9" t="inlineStr">
        <is>
          <t>Cobalt General</t>
        </is>
      </c>
      <c r="C196" s="9" t="inlineStr">
        <is>
          <t>Professional</t>
        </is>
      </c>
      <c r="D196" s="9" t="inlineStr">
        <is>
          <t>North America</t>
        </is>
      </c>
      <c r="E196" s="9" t="inlineStr">
        <is>
          <t>Carlos Ibarra</t>
        </is>
      </c>
      <c r="F196" s="9" t="inlineStr">
        <is>
          <t>Excess of Loss</t>
        </is>
      </c>
      <c r="G196" s="9" t="n">
        <v>2021</v>
      </c>
      <c r="H196" s="12" t="n">
        <v>15300000</v>
      </c>
      <c r="I196" s="12" t="n">
        <v>2311597.8</v>
      </c>
      <c r="J196" s="12" t="n">
        <v>230693.76</v>
      </c>
      <c r="K196" s="12" t="n">
        <v>2311597.8</v>
      </c>
      <c r="L196" s="12" t="n">
        <v>133899.84</v>
      </c>
      <c r="M196" s="9" t="n">
        <v>7</v>
      </c>
      <c r="N196" s="12" t="n">
        <v>2236061.78</v>
      </c>
      <c r="O196" s="12" t="n">
        <v>2252765.96</v>
      </c>
      <c r="P196" s="12" t="n">
        <v>15300000</v>
      </c>
      <c r="Q196" s="9" t="inlineStr">
        <is>
          <t>Low</t>
        </is>
      </c>
      <c r="R196" s="11">
        <f>IFERROR(O196/K196,0)</f>
        <v/>
      </c>
    </row>
    <row r="197">
      <c r="A197" s="9" t="inlineStr">
        <is>
          <t>T0433</t>
        </is>
      </c>
      <c r="B197" s="9" t="inlineStr">
        <is>
          <t>Harbor Mutual</t>
        </is>
      </c>
      <c r="C197" s="9" t="inlineStr">
        <is>
          <t>Casualty</t>
        </is>
      </c>
      <c r="D197" s="9" t="inlineStr">
        <is>
          <t>North America</t>
        </is>
      </c>
      <c r="E197" s="9" t="inlineStr">
        <is>
          <t>Sophie Laurent</t>
        </is>
      </c>
      <c r="F197" s="9" t="inlineStr">
        <is>
          <t>Proportional</t>
        </is>
      </c>
      <c r="G197" s="9" t="n">
        <v>2024</v>
      </c>
      <c r="H197" s="12" t="n">
        <v>8000000</v>
      </c>
      <c r="I197" s="12" t="n">
        <v>604763.3999999999</v>
      </c>
      <c r="J197" s="12" t="n">
        <v>30889.92</v>
      </c>
      <c r="K197" s="12" t="n">
        <v>604763.3999999999</v>
      </c>
      <c r="L197" s="12" t="n">
        <v>181396.68</v>
      </c>
      <c r="M197" s="9" t="n">
        <v>1</v>
      </c>
      <c r="N197" s="12" t="n">
        <v>201332.55</v>
      </c>
      <c r="O197" s="12" t="n">
        <v>428237.67</v>
      </c>
      <c r="P197" s="12" t="n">
        <v>4000000</v>
      </c>
      <c r="Q197" s="9" t="inlineStr">
        <is>
          <t>Low</t>
        </is>
      </c>
      <c r="R197" s="11">
        <f>IFERROR(O197/K197,0)</f>
        <v/>
      </c>
    </row>
    <row r="198">
      <c r="A198" s="9" t="inlineStr">
        <is>
          <t>T0436</t>
        </is>
      </c>
      <c r="B198" s="9" t="inlineStr">
        <is>
          <t>Cobalt Indemnity</t>
        </is>
      </c>
      <c r="C198" s="9" t="inlineStr">
        <is>
          <t>Professional</t>
        </is>
      </c>
      <c r="D198" s="9" t="inlineStr">
        <is>
          <t>North America</t>
        </is>
      </c>
      <c r="E198" s="9" t="inlineStr">
        <is>
          <t>Carlos Ibarra</t>
        </is>
      </c>
      <c r="F198" s="9" t="inlineStr">
        <is>
          <t>Proportional</t>
        </is>
      </c>
      <c r="G198" s="9" t="n">
        <v>2025</v>
      </c>
      <c r="H198" s="12" t="n">
        <v>21900000</v>
      </c>
      <c r="I198" s="12" t="n">
        <v>1726003.44</v>
      </c>
      <c r="J198" s="12" t="n">
        <v>189491.4</v>
      </c>
      <c r="K198" s="12" t="n">
        <v>1726003.44</v>
      </c>
      <c r="L198" s="12" t="n">
        <v>509080.8</v>
      </c>
      <c r="M198" s="9" t="n">
        <v>15</v>
      </c>
      <c r="N198" s="12" t="n">
        <v>931387.86</v>
      </c>
      <c r="O198" s="12" t="n">
        <v>1187451.47</v>
      </c>
      <c r="P198" s="12" t="n">
        <v>3285000</v>
      </c>
      <c r="Q198" s="9" t="inlineStr">
        <is>
          <t>Low</t>
        </is>
      </c>
      <c r="R198" s="11">
        <f>IFERROR(O198/K198,0)</f>
        <v/>
      </c>
    </row>
    <row r="199">
      <c r="A199" s="9" t="inlineStr">
        <is>
          <t>T0438</t>
        </is>
      </c>
      <c r="B199" s="9" t="inlineStr">
        <is>
          <t>Northwind Assurance</t>
        </is>
      </c>
      <c r="C199" s="9" t="inlineStr">
        <is>
          <t>Financial Lines</t>
        </is>
      </c>
      <c r="D199" s="9" t="inlineStr">
        <is>
          <t>North America</t>
        </is>
      </c>
      <c r="E199" s="9" t="inlineStr">
        <is>
          <t>Aarav Mehta</t>
        </is>
      </c>
      <c r="F199" s="9" t="inlineStr">
        <is>
          <t>Excess of Loss</t>
        </is>
      </c>
      <c r="G199" s="9" t="n">
        <v>2024</v>
      </c>
      <c r="H199" s="12" t="n">
        <v>27200000</v>
      </c>
      <c r="I199" s="12" t="n">
        <v>1946131.8</v>
      </c>
      <c r="J199" s="12" t="n">
        <v>106646.52</v>
      </c>
      <c r="K199" s="12" t="n">
        <v>1946131.8</v>
      </c>
      <c r="L199" s="12" t="n">
        <v>201302.16</v>
      </c>
      <c r="M199" s="9" t="n">
        <v>6</v>
      </c>
      <c r="N199" s="12" t="n">
        <v>1012452.12</v>
      </c>
      <c r="O199" s="12" t="n">
        <v>1061931.21</v>
      </c>
      <c r="P199" s="12" t="n">
        <v>27200000</v>
      </c>
      <c r="Q199" s="9" t="inlineStr">
        <is>
          <t>Low</t>
        </is>
      </c>
      <c r="R199" s="11">
        <f>IFERROR(O199/K199,0)</f>
        <v/>
      </c>
    </row>
    <row r="200">
      <c r="A200" s="9" t="inlineStr">
        <is>
          <t>T0439</t>
        </is>
      </c>
      <c r="B200" s="9" t="inlineStr">
        <is>
          <t>Harbor Mutual</t>
        </is>
      </c>
      <c r="C200" s="9" t="inlineStr">
        <is>
          <t>Professional</t>
        </is>
      </c>
      <c r="D200" s="9" t="inlineStr">
        <is>
          <t>North America</t>
        </is>
      </c>
      <c r="E200" s="9" t="inlineStr">
        <is>
          <t>Hannah Weber</t>
        </is>
      </c>
      <c r="F200" s="9" t="inlineStr">
        <is>
          <t>Facultative</t>
        </is>
      </c>
      <c r="G200" s="9" t="n">
        <v>2025</v>
      </c>
      <c r="H200" s="12" t="n">
        <v>23800000</v>
      </c>
      <c r="I200" s="12" t="n">
        <v>3098604.96</v>
      </c>
      <c r="J200" s="12" t="n">
        <v>188745.6</v>
      </c>
      <c r="K200" s="12" t="n">
        <v>3029747.07</v>
      </c>
      <c r="L200" s="12" t="n">
        <v>588740.5329446932</v>
      </c>
      <c r="M200" s="9" t="n">
        <v>9</v>
      </c>
      <c r="N200" s="12" t="n">
        <v>237199.96</v>
      </c>
      <c r="O200" s="12" t="n">
        <v>989355.58</v>
      </c>
      <c r="P200" s="12" t="n">
        <v>23800000</v>
      </c>
      <c r="Q200" s="9" t="inlineStr">
        <is>
          <t>Low</t>
        </is>
      </c>
      <c r="R200" s="11">
        <f>IFERROR(O200/K200,0)</f>
        <v/>
      </c>
    </row>
    <row r="201">
      <c r="A201" s="9" t="inlineStr">
        <is>
          <t>T0440</t>
        </is>
      </c>
      <c r="B201" s="9" t="inlineStr">
        <is>
          <t>Evergreen Assurance</t>
        </is>
      </c>
      <c r="C201" s="9" t="inlineStr">
        <is>
          <t>Specialty</t>
        </is>
      </c>
      <c r="D201" s="9" t="inlineStr">
        <is>
          <t>North America</t>
        </is>
      </c>
      <c r="E201" s="9" t="inlineStr">
        <is>
          <t>Omar Haddad</t>
        </is>
      </c>
      <c r="F201" s="9" t="inlineStr">
        <is>
          <t>Excess of Loss</t>
        </is>
      </c>
      <c r="G201" s="9" t="n">
        <v>2024</v>
      </c>
      <c r="H201" s="12" t="n">
        <v>14000000</v>
      </c>
      <c r="I201" s="12" t="n">
        <v>1299145.92</v>
      </c>
      <c r="J201" s="12" t="n">
        <v>81612.12</v>
      </c>
      <c r="K201" s="12" t="n">
        <v>1299145.92</v>
      </c>
      <c r="L201" s="12" t="n">
        <v>126802.2</v>
      </c>
      <c r="M201" s="9" t="n">
        <v>14</v>
      </c>
      <c r="N201" s="12" t="n">
        <v>505832.64</v>
      </c>
      <c r="O201" s="12" t="n">
        <v>534802.52</v>
      </c>
      <c r="P201" s="12" t="n">
        <v>14000000</v>
      </c>
      <c r="Q201" s="9" t="inlineStr">
        <is>
          <t>Low</t>
        </is>
      </c>
      <c r="R201" s="11">
        <f>IFERROR(O201/K201,0)</f>
        <v/>
      </c>
    </row>
    <row r="202">
      <c r="A202" s="9" t="inlineStr">
        <is>
          <t>T0441</t>
        </is>
      </c>
      <c r="B202" s="9" t="inlineStr">
        <is>
          <t>Evergreen Assurance</t>
        </is>
      </c>
      <c r="C202" s="9" t="inlineStr">
        <is>
          <t>Financial Lines</t>
        </is>
      </c>
      <c r="D202" s="9" t="inlineStr">
        <is>
          <t>North America</t>
        </is>
      </c>
      <c r="E202" s="9" t="inlineStr">
        <is>
          <t>Aarav Mehta</t>
        </is>
      </c>
      <c r="F202" s="9" t="inlineStr">
        <is>
          <t>Excess of Loss</t>
        </is>
      </c>
      <c r="G202" s="9" t="n">
        <v>2026</v>
      </c>
      <c r="H202" s="12" t="n">
        <v>15100000</v>
      </c>
      <c r="I202" s="12" t="n">
        <v>852039.52</v>
      </c>
      <c r="J202" s="12" t="n">
        <v>56897.52</v>
      </c>
      <c r="K202" s="12" t="n">
        <v>759735.24</v>
      </c>
      <c r="L202" s="12" t="n">
        <v>45584.78208000118</v>
      </c>
      <c r="M202" s="9" t="n">
        <v>2</v>
      </c>
      <c r="N202" s="12" t="n">
        <v>25000.78</v>
      </c>
      <c r="O202" s="12" t="n">
        <v>261040.49</v>
      </c>
      <c r="P202" s="12" t="n">
        <v>15100000</v>
      </c>
      <c r="Q202" s="9" t="inlineStr">
        <is>
          <t>Low</t>
        </is>
      </c>
      <c r="R202" s="11">
        <f>IFERROR(O202/K202,0)</f>
        <v/>
      </c>
    </row>
    <row r="203">
      <c r="A203" s="9" t="inlineStr">
        <is>
          <t>T0451</t>
        </is>
      </c>
      <c r="B203" s="9" t="inlineStr">
        <is>
          <t>Cobalt Indemnity</t>
        </is>
      </c>
      <c r="C203" s="9" t="inlineStr">
        <is>
          <t>Specialty</t>
        </is>
      </c>
      <c r="D203" s="9" t="inlineStr">
        <is>
          <t>North America</t>
        </is>
      </c>
      <c r="E203" s="9" t="inlineStr">
        <is>
          <t>Sophie Laurent</t>
        </is>
      </c>
      <c r="F203" s="9" t="inlineStr">
        <is>
          <t>Proportional</t>
        </is>
      </c>
      <c r="G203" s="9" t="n">
        <v>2022</v>
      </c>
      <c r="H203" s="12" t="n">
        <v>2700000</v>
      </c>
      <c r="I203" s="12" t="n">
        <v>288447.36</v>
      </c>
      <c r="J203" s="12" t="n">
        <v>20713.08</v>
      </c>
      <c r="K203" s="12" t="n">
        <v>288447.36</v>
      </c>
      <c r="L203" s="12" t="n">
        <v>80978.28</v>
      </c>
      <c r="M203" s="9" t="n">
        <v>9</v>
      </c>
      <c r="N203" s="12" t="n">
        <v>200195.69</v>
      </c>
      <c r="O203" s="12" t="n">
        <v>203746.05</v>
      </c>
      <c r="P203" s="12" t="n">
        <v>270000</v>
      </c>
      <c r="Q203" s="9" t="inlineStr">
        <is>
          <t>Low</t>
        </is>
      </c>
      <c r="R203" s="11">
        <f>IFERROR(O203/K203,0)</f>
        <v/>
      </c>
    </row>
    <row r="204">
      <c r="A204" s="9" t="inlineStr">
        <is>
          <t>T0454</t>
        </is>
      </c>
      <c r="B204" s="9" t="inlineStr">
        <is>
          <t>Harbor Insurance</t>
        </is>
      </c>
      <c r="C204" s="9" t="inlineStr">
        <is>
          <t>Specialty</t>
        </is>
      </c>
      <c r="D204" s="9" t="inlineStr">
        <is>
          <t>North America</t>
        </is>
      </c>
      <c r="E204" s="9" t="inlineStr">
        <is>
          <t>Hannah Weber</t>
        </is>
      </c>
      <c r="F204" s="9" t="inlineStr">
        <is>
          <t>Facultative</t>
        </is>
      </c>
      <c r="G204" s="9" t="n">
        <v>2023</v>
      </c>
      <c r="H204" s="12" t="n">
        <v>7900000</v>
      </c>
      <c r="I204" s="12" t="n">
        <v>1336796.88</v>
      </c>
      <c r="J204" s="12" t="n">
        <v>139565.04</v>
      </c>
      <c r="K204" s="12" t="n">
        <v>1336796.88</v>
      </c>
      <c r="L204" s="12" t="n">
        <v>218737.92</v>
      </c>
      <c r="M204" s="9" t="n">
        <v>13</v>
      </c>
      <c r="N204" s="12" t="n">
        <v>1133530.92</v>
      </c>
      <c r="O204" s="12" t="n">
        <v>1451791.59</v>
      </c>
      <c r="P204" s="12" t="n">
        <v>7900000</v>
      </c>
      <c r="Q204" s="9" t="inlineStr">
        <is>
          <t>Low</t>
        </is>
      </c>
      <c r="R204" s="11">
        <f>IFERROR(O204/K204,0)</f>
        <v/>
      </c>
    </row>
    <row r="205">
      <c r="A205" s="9" t="inlineStr">
        <is>
          <t>T0456</t>
        </is>
      </c>
      <c r="B205" s="9" t="inlineStr">
        <is>
          <t>Meridian General</t>
        </is>
      </c>
      <c r="C205" s="9" t="inlineStr">
        <is>
          <t>Property</t>
        </is>
      </c>
      <c r="D205" s="9" t="inlineStr">
        <is>
          <t>North America</t>
        </is>
      </c>
      <c r="E205" s="9" t="inlineStr">
        <is>
          <t>Hannah Weber</t>
        </is>
      </c>
      <c r="F205" s="9" t="inlineStr">
        <is>
          <t>Excess of Loss</t>
        </is>
      </c>
      <c r="G205" s="9" t="n">
        <v>2023</v>
      </c>
      <c r="H205" s="12" t="n">
        <v>69200000</v>
      </c>
      <c r="I205" s="12" t="n">
        <v>9662306.399999999</v>
      </c>
      <c r="J205" s="12" t="n">
        <v>583033.2</v>
      </c>
      <c r="K205" s="12" t="n">
        <v>9662306.399999999</v>
      </c>
      <c r="L205" s="12" t="n">
        <v>1048571.16</v>
      </c>
      <c r="M205" s="9" t="n">
        <v>7</v>
      </c>
      <c r="N205" s="12" t="n">
        <v>5216628.7</v>
      </c>
      <c r="O205" s="12" t="n">
        <v>5216628.7</v>
      </c>
      <c r="P205" s="12" t="n">
        <v>69200000</v>
      </c>
      <c r="Q205" s="9" t="inlineStr">
        <is>
          <t>Low</t>
        </is>
      </c>
      <c r="R205" s="11">
        <f>IFERROR(O205/K205,0)</f>
        <v/>
      </c>
    </row>
    <row r="206">
      <c r="A206" s="9" t="inlineStr">
        <is>
          <t>T0458</t>
        </is>
      </c>
      <c r="B206" s="9" t="inlineStr">
        <is>
          <t>Harbor Insurance</t>
        </is>
      </c>
      <c r="C206" s="9" t="inlineStr">
        <is>
          <t>Specialty</t>
        </is>
      </c>
      <c r="D206" s="9" t="inlineStr">
        <is>
          <t>North America</t>
        </is>
      </c>
      <c r="E206" s="9" t="inlineStr">
        <is>
          <t>Aarav Mehta</t>
        </is>
      </c>
      <c r="F206" s="9" t="inlineStr">
        <is>
          <t>Proportional</t>
        </is>
      </c>
      <c r="G206" s="9" t="n">
        <v>2021</v>
      </c>
      <c r="H206" s="12" t="n">
        <v>6500000</v>
      </c>
      <c r="I206" s="12" t="n">
        <v>927001.24</v>
      </c>
      <c r="J206" s="12" t="n">
        <v>96496.84000000001</v>
      </c>
      <c r="K206" s="12" t="n">
        <v>927001.24</v>
      </c>
      <c r="L206" s="12" t="n">
        <v>250064.1</v>
      </c>
      <c r="M206" s="9" t="n">
        <v>7</v>
      </c>
      <c r="N206" s="12" t="n">
        <v>853498.36</v>
      </c>
      <c r="O206" s="12" t="n">
        <v>938978.85</v>
      </c>
      <c r="P206" s="12" t="n">
        <v>3250000</v>
      </c>
      <c r="Q206" s="9" t="inlineStr">
        <is>
          <t>Low</t>
        </is>
      </c>
      <c r="R206" s="11">
        <f>IFERROR(O206/K206,0)</f>
        <v/>
      </c>
    </row>
    <row r="207">
      <c r="A207" s="9" t="inlineStr">
        <is>
          <t>T0459</t>
        </is>
      </c>
      <c r="B207" s="9" t="inlineStr">
        <is>
          <t>Orion General</t>
        </is>
      </c>
      <c r="C207" s="9" t="inlineStr">
        <is>
          <t>Specialty</t>
        </is>
      </c>
      <c r="D207" s="9" t="inlineStr">
        <is>
          <t>North America</t>
        </is>
      </c>
      <c r="E207" s="9" t="inlineStr">
        <is>
          <t>Priya Nair</t>
        </is>
      </c>
      <c r="F207" s="9" t="inlineStr">
        <is>
          <t>Excess of Loss</t>
        </is>
      </c>
      <c r="G207" s="9" t="n">
        <v>2025</v>
      </c>
      <c r="H207" s="12" t="n">
        <v>9800000</v>
      </c>
      <c r="I207" s="12" t="n">
        <v>702486.12</v>
      </c>
      <c r="J207" s="12" t="n">
        <v>43005.60000000001</v>
      </c>
      <c r="K207" s="12" t="n">
        <v>702486.12</v>
      </c>
      <c r="L207" s="12" t="n">
        <v>72285</v>
      </c>
      <c r="M207" s="9" t="n">
        <v>10</v>
      </c>
      <c r="N207" s="12" t="n">
        <v>183527.91</v>
      </c>
      <c r="O207" s="12" t="n">
        <v>255814.34</v>
      </c>
      <c r="P207" s="12" t="n">
        <v>9800000</v>
      </c>
      <c r="Q207" s="9" t="inlineStr">
        <is>
          <t>Low</t>
        </is>
      </c>
      <c r="R207" s="11">
        <f>IFERROR(O207/K207,0)</f>
        <v/>
      </c>
    </row>
    <row r="208">
      <c r="A208" s="9" t="inlineStr">
        <is>
          <t>T0461</t>
        </is>
      </c>
      <c r="B208" s="9" t="inlineStr">
        <is>
          <t>Evergreen General</t>
        </is>
      </c>
      <c r="C208" s="9" t="inlineStr">
        <is>
          <t>Financial Lines</t>
        </is>
      </c>
      <c r="D208" s="9" t="inlineStr">
        <is>
          <t>North America</t>
        </is>
      </c>
      <c r="E208" s="9" t="inlineStr">
        <is>
          <t>Carlos Ibarra</t>
        </is>
      </c>
      <c r="F208" s="9" t="inlineStr">
        <is>
          <t>Excess of Loss</t>
        </is>
      </c>
      <c r="G208" s="9" t="n">
        <v>2026</v>
      </c>
      <c r="H208" s="12" t="n">
        <v>17000000</v>
      </c>
      <c r="I208" s="12" t="n">
        <v>229137.8</v>
      </c>
      <c r="J208" s="12" t="n">
        <v>20586.24</v>
      </c>
      <c r="K208" s="12" t="n">
        <v>129844.75</v>
      </c>
      <c r="L208" s="12" t="n">
        <v>10632.11706038899</v>
      </c>
      <c r="M208" s="9" t="n">
        <v>1</v>
      </c>
      <c r="N208" s="12" t="n">
        <v>12810.52</v>
      </c>
      <c r="O208" s="12" t="n">
        <v>45397.87</v>
      </c>
      <c r="P208" s="12" t="n">
        <v>17000000</v>
      </c>
      <c r="Q208" s="9" t="inlineStr">
        <is>
          <t>Low</t>
        </is>
      </c>
      <c r="R208" s="11">
        <f>IFERROR(O208/K208,0)</f>
        <v/>
      </c>
    </row>
    <row r="209">
      <c r="A209" s="9" t="inlineStr">
        <is>
          <t>T0463</t>
        </is>
      </c>
      <c r="B209" s="9" t="inlineStr">
        <is>
          <t>Atlas Indemnity</t>
        </is>
      </c>
      <c r="C209" s="9" t="inlineStr">
        <is>
          <t>Property</t>
        </is>
      </c>
      <c r="D209" s="9" t="inlineStr">
        <is>
          <t>North America</t>
        </is>
      </c>
      <c r="E209" s="9" t="inlineStr">
        <is>
          <t>Hannah Weber</t>
        </is>
      </c>
      <c r="F209" s="9" t="inlineStr">
        <is>
          <t>Facultative</t>
        </is>
      </c>
      <c r="G209" s="9" t="n">
        <v>2025</v>
      </c>
      <c r="H209" s="12" t="n">
        <v>48900000</v>
      </c>
      <c r="I209" s="12" t="n">
        <v>3747022.44</v>
      </c>
      <c r="J209" s="12" t="n">
        <v>227136.96</v>
      </c>
      <c r="K209" s="12" t="n">
        <v>3747022.44</v>
      </c>
      <c r="L209" s="12" t="n">
        <v>726619.3200000001</v>
      </c>
      <c r="M209" s="9" t="n">
        <v>2</v>
      </c>
      <c r="N209" s="12" t="n">
        <v>798393.78</v>
      </c>
      <c r="O209" s="12" t="n">
        <v>1657585.83</v>
      </c>
      <c r="P209" s="12" t="n">
        <v>48900000</v>
      </c>
      <c r="Q209" s="9" t="inlineStr">
        <is>
          <t>Low</t>
        </is>
      </c>
      <c r="R209" s="11">
        <f>IFERROR(O209/K209,0)</f>
        <v/>
      </c>
    </row>
    <row r="210">
      <c r="A210" s="9" t="inlineStr">
        <is>
          <t>T0464</t>
        </is>
      </c>
      <c r="B210" s="9" t="inlineStr">
        <is>
          <t>Crown General</t>
        </is>
      </c>
      <c r="C210" s="9" t="inlineStr">
        <is>
          <t>Financial Lines</t>
        </is>
      </c>
      <c r="D210" s="9" t="inlineStr">
        <is>
          <t>North America</t>
        </is>
      </c>
      <c r="E210" s="9" t="inlineStr">
        <is>
          <t>Hannah Weber</t>
        </is>
      </c>
      <c r="F210" s="9" t="inlineStr">
        <is>
          <t>Proportional</t>
        </is>
      </c>
      <c r="G210" s="9" t="n">
        <v>2022</v>
      </c>
      <c r="H210" s="12" t="n">
        <v>31000000</v>
      </c>
      <c r="I210" s="12" t="n">
        <v>5968654.199999999</v>
      </c>
      <c r="J210" s="12" t="n">
        <v>476362.2</v>
      </c>
      <c r="K210" s="12" t="n">
        <v>5968654.199999999</v>
      </c>
      <c r="L210" s="12" t="n">
        <v>1906442.16</v>
      </c>
      <c r="M210" s="9" t="n">
        <v>7</v>
      </c>
      <c r="N210" s="12" t="n">
        <v>3060185.88</v>
      </c>
      <c r="O210" s="12" t="n">
        <v>3060185.88</v>
      </c>
      <c r="P210" s="12" t="n">
        <v>6200000</v>
      </c>
      <c r="Q210" s="9" t="inlineStr">
        <is>
          <t>Low</t>
        </is>
      </c>
      <c r="R210" s="11">
        <f>IFERROR(O210/K210,0)</f>
        <v/>
      </c>
    </row>
    <row r="211">
      <c r="A211" s="9" t="inlineStr">
        <is>
          <t>T0469</t>
        </is>
      </c>
      <c r="B211" s="9" t="inlineStr">
        <is>
          <t>Crown General</t>
        </is>
      </c>
      <c r="C211" s="9" t="inlineStr">
        <is>
          <t>Specialty</t>
        </is>
      </c>
      <c r="D211" s="9" t="inlineStr">
        <is>
          <t>North America</t>
        </is>
      </c>
      <c r="E211" s="9" t="inlineStr">
        <is>
          <t>Omar Haddad</t>
        </is>
      </c>
      <c r="F211" s="9" t="inlineStr">
        <is>
          <t>Excess of Loss</t>
        </is>
      </c>
      <c r="G211" s="9" t="n">
        <v>2024</v>
      </c>
      <c r="H211" s="12" t="n">
        <v>3200000</v>
      </c>
      <c r="I211" s="12" t="n">
        <v>301053.84</v>
      </c>
      <c r="J211" s="12" t="n">
        <v>32652.72</v>
      </c>
      <c r="K211" s="12" t="n">
        <v>301053.84</v>
      </c>
      <c r="L211" s="12" t="n">
        <v>19220.4</v>
      </c>
      <c r="M211" s="9" t="n">
        <v>7</v>
      </c>
      <c r="N211" s="12" t="n">
        <v>891711.4</v>
      </c>
      <c r="O211" s="12" t="n">
        <v>3741523.78</v>
      </c>
      <c r="P211" s="12" t="n">
        <v>3200000</v>
      </c>
      <c r="Q211" s="9" t="inlineStr">
        <is>
          <t>Critical</t>
        </is>
      </c>
      <c r="R211" s="11">
        <f>IFERROR(O211/K211,0)</f>
        <v/>
      </c>
    </row>
    <row r="212">
      <c r="A212" s="9" t="inlineStr">
        <is>
          <t>T0472</t>
        </is>
      </c>
      <c r="B212" s="9" t="inlineStr">
        <is>
          <t>Crown General</t>
        </is>
      </c>
      <c r="C212" s="9" t="inlineStr">
        <is>
          <t>Property</t>
        </is>
      </c>
      <c r="D212" s="9" t="inlineStr">
        <is>
          <t>North America</t>
        </is>
      </c>
      <c r="E212" s="9" t="inlineStr">
        <is>
          <t>James Whitfield</t>
        </is>
      </c>
      <c r="F212" s="9" t="inlineStr">
        <is>
          <t>Proportional</t>
        </is>
      </c>
      <c r="G212" s="9" t="n">
        <v>2024</v>
      </c>
      <c r="H212" s="12" t="n">
        <v>6700000</v>
      </c>
      <c r="I212" s="12" t="n">
        <v>929831.64</v>
      </c>
      <c r="J212" s="12" t="n">
        <v>58813.2</v>
      </c>
      <c r="K212" s="12" t="n">
        <v>929831.64</v>
      </c>
      <c r="L212" s="12" t="n">
        <v>293537.52</v>
      </c>
      <c r="M212" s="9" t="n">
        <v>8</v>
      </c>
      <c r="N212" s="12" t="n">
        <v>489837.82</v>
      </c>
      <c r="O212" s="12" t="n">
        <v>489837.82</v>
      </c>
      <c r="P212" s="12" t="n">
        <v>1005000</v>
      </c>
      <c r="Q212" s="9" t="inlineStr">
        <is>
          <t>Low</t>
        </is>
      </c>
      <c r="R212" s="11">
        <f>IFERROR(O212/K212,0)</f>
        <v/>
      </c>
    </row>
    <row r="213">
      <c r="A213" s="9" t="inlineStr">
        <is>
          <t>T0474</t>
        </is>
      </c>
      <c r="B213" s="9" t="inlineStr">
        <is>
          <t>Orion General</t>
        </is>
      </c>
      <c r="C213" s="9" t="inlineStr">
        <is>
          <t>Casualty</t>
        </is>
      </c>
      <c r="D213" s="9" t="inlineStr">
        <is>
          <t>North America</t>
        </is>
      </c>
      <c r="E213" s="9" t="inlineStr">
        <is>
          <t>James Whitfield</t>
        </is>
      </c>
      <c r="F213" s="9" t="inlineStr">
        <is>
          <t>Proportional</t>
        </is>
      </c>
      <c r="G213" s="9" t="n">
        <v>2021</v>
      </c>
      <c r="H213" s="12" t="n">
        <v>35800000</v>
      </c>
      <c r="I213" s="12" t="n">
        <v>2678642.76</v>
      </c>
      <c r="J213" s="12" t="n">
        <v>256256.64</v>
      </c>
      <c r="K213" s="12" t="n">
        <v>2678642.76</v>
      </c>
      <c r="L213" s="12" t="n">
        <v>773950.08</v>
      </c>
      <c r="M213" s="9" t="n">
        <v>7</v>
      </c>
      <c r="N213" s="12" t="n">
        <v>1924444.15</v>
      </c>
      <c r="O213" s="12" t="n">
        <v>1924444.15</v>
      </c>
      <c r="P213" s="12" t="n">
        <v>8950000</v>
      </c>
      <c r="Q213" s="9" t="inlineStr">
        <is>
          <t>Low</t>
        </is>
      </c>
      <c r="R213" s="11">
        <f>IFERROR(O213/K213,0)</f>
        <v/>
      </c>
    </row>
    <row r="214">
      <c r="A214" s="9" t="inlineStr">
        <is>
          <t>T0482</t>
        </is>
      </c>
      <c r="B214" s="9" t="inlineStr">
        <is>
          <t>Cobalt Indemnity</t>
        </is>
      </c>
      <c r="C214" s="9" t="inlineStr">
        <is>
          <t>Casualty</t>
        </is>
      </c>
      <c r="D214" s="9" t="inlineStr">
        <is>
          <t>North America</t>
        </is>
      </c>
      <c r="E214" s="9" t="inlineStr">
        <is>
          <t>Priya Nair</t>
        </is>
      </c>
      <c r="F214" s="9" t="inlineStr">
        <is>
          <t>Facultative</t>
        </is>
      </c>
      <c r="G214" s="9" t="n">
        <v>2023</v>
      </c>
      <c r="H214" s="12" t="n">
        <v>19700000</v>
      </c>
      <c r="I214" s="12" t="n">
        <v>1818062.52</v>
      </c>
      <c r="J214" s="12" t="n">
        <v>97814.88</v>
      </c>
      <c r="K214" s="12" t="n">
        <v>1818062.52</v>
      </c>
      <c r="L214" s="12" t="n">
        <v>316542.24</v>
      </c>
      <c r="M214" s="9" t="n">
        <v>8</v>
      </c>
      <c r="N214" s="12" t="n">
        <v>1657862.86</v>
      </c>
      <c r="O214" s="12" t="n">
        <v>1657862.86</v>
      </c>
      <c r="P214" s="12" t="n">
        <v>19700000</v>
      </c>
      <c r="Q214" s="9" t="inlineStr">
        <is>
          <t>Low</t>
        </is>
      </c>
      <c r="R214" s="11">
        <f>IFERROR(O214/K214,0)</f>
        <v/>
      </c>
    </row>
    <row r="215">
      <c r="A215" s="9" t="inlineStr">
        <is>
          <t>T0483</t>
        </is>
      </c>
      <c r="B215" s="9" t="inlineStr">
        <is>
          <t>Evergreen General</t>
        </is>
      </c>
      <c r="C215" s="9" t="inlineStr">
        <is>
          <t>Casualty</t>
        </is>
      </c>
      <c r="D215" s="9" t="inlineStr">
        <is>
          <t>North America</t>
        </is>
      </c>
      <c r="E215" s="9" t="inlineStr">
        <is>
          <t>Kenji Sato</t>
        </is>
      </c>
      <c r="F215" s="9" t="inlineStr">
        <is>
          <t>Excess of Loss</t>
        </is>
      </c>
      <c r="G215" s="9" t="n">
        <v>2025</v>
      </c>
      <c r="H215" s="12" t="n">
        <v>2400000</v>
      </c>
      <c r="I215" s="12" t="n">
        <v>458354.88</v>
      </c>
      <c r="J215" s="12" t="n">
        <v>24053.16</v>
      </c>
      <c r="K215" s="12" t="n">
        <v>458354.88</v>
      </c>
      <c r="L215" s="12" t="n">
        <v>30017.88</v>
      </c>
      <c r="M215" s="9" t="n">
        <v>12</v>
      </c>
      <c r="N215" s="12" t="n">
        <v>844715.51</v>
      </c>
      <c r="O215" s="12" t="n">
        <v>3277690.35</v>
      </c>
      <c r="P215" s="12" t="n">
        <v>2400000</v>
      </c>
      <c r="Q215" s="9" t="inlineStr">
        <is>
          <t>Critical</t>
        </is>
      </c>
      <c r="R215" s="11">
        <f>IFERROR(O215/K215,0)</f>
        <v/>
      </c>
    </row>
    <row r="216">
      <c r="A216" s="9" t="inlineStr">
        <is>
          <t>T0486</t>
        </is>
      </c>
      <c r="B216" s="9" t="inlineStr">
        <is>
          <t>Cobalt Indemnity</t>
        </is>
      </c>
      <c r="C216" s="9" t="inlineStr">
        <is>
          <t>Casualty</t>
        </is>
      </c>
      <c r="D216" s="9" t="inlineStr">
        <is>
          <t>North America</t>
        </is>
      </c>
      <c r="E216" s="9" t="inlineStr">
        <is>
          <t>Kenji Sato</t>
        </is>
      </c>
      <c r="F216" s="9" t="inlineStr">
        <is>
          <t>Excess of Loss</t>
        </is>
      </c>
      <c r="G216" s="9" t="n">
        <v>2024</v>
      </c>
      <c r="H216" s="12" t="n">
        <v>4700000</v>
      </c>
      <c r="I216" s="12" t="n">
        <v>811463.8800000001</v>
      </c>
      <c r="J216" s="12" t="n">
        <v>88625.16</v>
      </c>
      <c r="K216" s="12" t="n">
        <v>811463.8800000001</v>
      </c>
      <c r="L216" s="12" t="n">
        <v>60419.75999999999</v>
      </c>
      <c r="M216" s="9" t="n">
        <v>7</v>
      </c>
      <c r="N216" s="12" t="n">
        <v>841425.84</v>
      </c>
      <c r="O216" s="12" t="n">
        <v>1045064.29</v>
      </c>
      <c r="P216" s="12" t="n">
        <v>4700000</v>
      </c>
      <c r="Q216" s="9" t="inlineStr">
        <is>
          <t>Medium</t>
        </is>
      </c>
      <c r="R216" s="11">
        <f>IFERROR(O216/K216,0)</f>
        <v/>
      </c>
    </row>
    <row r="217">
      <c r="A217" s="9" t="inlineStr">
        <is>
          <t>T0487</t>
        </is>
      </c>
      <c r="B217" s="9" t="inlineStr">
        <is>
          <t>Evergreen Assurance</t>
        </is>
      </c>
      <c r="C217" s="9" t="inlineStr">
        <is>
          <t>Property</t>
        </is>
      </c>
      <c r="D217" s="9" t="inlineStr">
        <is>
          <t>North America</t>
        </is>
      </c>
      <c r="E217" s="9" t="inlineStr">
        <is>
          <t>Hannah Weber</t>
        </is>
      </c>
      <c r="F217" s="9" t="inlineStr">
        <is>
          <t>Excess of Loss</t>
        </is>
      </c>
      <c r="G217" s="9" t="n">
        <v>2025</v>
      </c>
      <c r="H217" s="12" t="n">
        <v>16900000</v>
      </c>
      <c r="I217" s="12" t="n">
        <v>1489081.32</v>
      </c>
      <c r="J217" s="12" t="n">
        <v>85909.79999999999</v>
      </c>
      <c r="K217" s="12" t="n">
        <v>1489081.32</v>
      </c>
      <c r="L217" s="12" t="n">
        <v>98522.16</v>
      </c>
      <c r="M217" s="9" t="n">
        <v>6</v>
      </c>
      <c r="N217" s="12" t="n">
        <v>1021453.03</v>
      </c>
      <c r="O217" s="12" t="n">
        <v>1333316.27</v>
      </c>
      <c r="P217" s="12" t="n">
        <v>16900000</v>
      </c>
      <c r="Q217" s="9" t="inlineStr">
        <is>
          <t>Low</t>
        </is>
      </c>
      <c r="R217" s="11">
        <f>IFERROR(O217/K217,0)</f>
        <v/>
      </c>
    </row>
    <row r="218">
      <c r="A218" s="9" t="inlineStr">
        <is>
          <t>T0493</t>
        </is>
      </c>
      <c r="B218" s="9" t="inlineStr">
        <is>
          <t>Evergreen Indemnity</t>
        </is>
      </c>
      <c r="C218" s="9" t="inlineStr">
        <is>
          <t>Financial Lines</t>
        </is>
      </c>
      <c r="D218" s="9" t="inlineStr">
        <is>
          <t>North America</t>
        </is>
      </c>
      <c r="E218" s="9" t="inlineStr">
        <is>
          <t>Aarav Mehta</t>
        </is>
      </c>
      <c r="F218" s="9" t="inlineStr">
        <is>
          <t>Proportional</t>
        </is>
      </c>
      <c r="G218" s="9" t="n">
        <v>2022</v>
      </c>
      <c r="H218" s="12" t="n">
        <v>18600000</v>
      </c>
      <c r="I218" s="12" t="n">
        <v>2992825.2</v>
      </c>
      <c r="J218" s="12" t="n">
        <v>315814.56</v>
      </c>
      <c r="K218" s="12" t="n">
        <v>2992825.2</v>
      </c>
      <c r="L218" s="12" t="n">
        <v>845778.6000000001</v>
      </c>
      <c r="M218" s="9" t="n">
        <v>7</v>
      </c>
      <c r="N218" s="12" t="n">
        <v>590396.67</v>
      </c>
      <c r="O218" s="12" t="n">
        <v>612199.61</v>
      </c>
      <c r="P218" s="12" t="n">
        <v>1860000</v>
      </c>
      <c r="Q218" s="9" t="inlineStr">
        <is>
          <t>Low</t>
        </is>
      </c>
      <c r="R218" s="11">
        <f>IFERROR(O218/K218,0)</f>
        <v/>
      </c>
    </row>
    <row r="219">
      <c r="A219" s="9" t="inlineStr">
        <is>
          <t>T0498</t>
        </is>
      </c>
      <c r="B219" s="9" t="inlineStr">
        <is>
          <t>Evergreen General</t>
        </is>
      </c>
      <c r="C219" s="9" t="inlineStr">
        <is>
          <t>Casualty</t>
        </is>
      </c>
      <c r="D219" s="9" t="inlineStr">
        <is>
          <t>North America</t>
        </is>
      </c>
      <c r="E219" s="9" t="inlineStr">
        <is>
          <t>James Whitfield</t>
        </is>
      </c>
      <c r="F219" s="9" t="inlineStr">
        <is>
          <t>Proportional</t>
        </is>
      </c>
      <c r="G219" s="9" t="n">
        <v>2024</v>
      </c>
      <c r="H219" s="12" t="n">
        <v>14000000</v>
      </c>
      <c r="I219" s="12" t="n">
        <v>1491197.28</v>
      </c>
      <c r="J219" s="12" t="n">
        <v>150112.8</v>
      </c>
      <c r="K219" s="12" t="n">
        <v>1491197.28</v>
      </c>
      <c r="L219" s="12" t="n">
        <v>368855.04</v>
      </c>
      <c r="M219" s="9" t="n">
        <v>10</v>
      </c>
      <c r="N219" s="12" t="n">
        <v>844041.46</v>
      </c>
      <c r="O219" s="12" t="n">
        <v>844041.46</v>
      </c>
      <c r="P219" s="12" t="n">
        <v>1400000</v>
      </c>
      <c r="Q219" s="9" t="inlineStr">
        <is>
          <t>Low</t>
        </is>
      </c>
      <c r="R219" s="11">
        <f>IFERROR(O219/K219,0)</f>
        <v/>
      </c>
    </row>
    <row r="220">
      <c r="A220" s="9" t="inlineStr">
        <is>
          <t>T0501</t>
        </is>
      </c>
      <c r="B220" s="9" t="inlineStr">
        <is>
          <t>Cobalt General</t>
        </is>
      </c>
      <c r="C220" s="9" t="inlineStr">
        <is>
          <t>Financial Lines</t>
        </is>
      </c>
      <c r="D220" s="9" t="inlineStr">
        <is>
          <t>North America</t>
        </is>
      </c>
      <c r="E220" s="9" t="inlineStr">
        <is>
          <t>James Whitfield</t>
        </is>
      </c>
      <c r="F220" s="9" t="inlineStr">
        <is>
          <t>Proportional</t>
        </is>
      </c>
      <c r="G220" s="9" t="n">
        <v>2025</v>
      </c>
      <c r="H220" s="12" t="n">
        <v>12700000</v>
      </c>
      <c r="I220" s="12" t="n">
        <v>836866.0299999999</v>
      </c>
      <c r="J220" s="12" t="n">
        <v>42560.65</v>
      </c>
      <c r="K220" s="12" t="n">
        <v>768395.1699999999</v>
      </c>
      <c r="L220" s="12" t="n">
        <v>189102.5012616983</v>
      </c>
      <c r="M220" s="9" t="n">
        <v>9</v>
      </c>
      <c r="N220" s="12" t="n">
        <v>32149.59</v>
      </c>
      <c r="O220" s="12" t="n">
        <v>160766.51</v>
      </c>
      <c r="P220" s="12" t="n">
        <v>1905000</v>
      </c>
      <c r="Q220" s="9" t="inlineStr">
        <is>
          <t>Low</t>
        </is>
      </c>
      <c r="R220" s="11">
        <f>IFERROR(O220/K220,0)</f>
        <v/>
      </c>
    </row>
    <row r="221">
      <c r="A221" s="9" t="inlineStr">
        <is>
          <t>T0504</t>
        </is>
      </c>
      <c r="B221" s="9" t="inlineStr">
        <is>
          <t>Evergreen Assurance</t>
        </is>
      </c>
      <c r="C221" s="9" t="inlineStr">
        <is>
          <t>Casualty</t>
        </is>
      </c>
      <c r="D221" s="9" t="inlineStr">
        <is>
          <t>North America</t>
        </is>
      </c>
      <c r="E221" s="9" t="inlineStr">
        <is>
          <t>Sophie Laurent</t>
        </is>
      </c>
      <c r="F221" s="9" t="inlineStr">
        <is>
          <t>Facultative</t>
        </is>
      </c>
      <c r="G221" s="9" t="n">
        <v>2021</v>
      </c>
      <c r="H221" s="12" t="n">
        <v>27000000</v>
      </c>
      <c r="I221" s="12" t="n">
        <v>3493004.76</v>
      </c>
      <c r="J221" s="12" t="n">
        <v>417298.2</v>
      </c>
      <c r="K221" s="12" t="n">
        <v>3493004.76</v>
      </c>
      <c r="L221" s="12" t="n">
        <v>613532.64</v>
      </c>
      <c r="M221" s="9" t="n">
        <v>8</v>
      </c>
      <c r="N221" s="12" t="n">
        <v>1941575.58</v>
      </c>
      <c r="O221" s="12" t="n">
        <v>2027525.91</v>
      </c>
      <c r="P221" s="12" t="n">
        <v>27000000</v>
      </c>
      <c r="Q221" s="9" t="inlineStr">
        <is>
          <t>Low</t>
        </is>
      </c>
      <c r="R221" s="11">
        <f>IFERROR(O221/K221,0)</f>
        <v/>
      </c>
    </row>
    <row r="222">
      <c r="A222" s="9" t="inlineStr">
        <is>
          <t>T0505</t>
        </is>
      </c>
      <c r="B222" s="9" t="inlineStr">
        <is>
          <t>Evergreen General</t>
        </is>
      </c>
      <c r="C222" s="9" t="inlineStr">
        <is>
          <t>Property</t>
        </is>
      </c>
      <c r="D222" s="9" t="inlineStr">
        <is>
          <t>North America</t>
        </is>
      </c>
      <c r="E222" s="9" t="inlineStr">
        <is>
          <t>Sophie Laurent</t>
        </is>
      </c>
      <c r="F222" s="9" t="inlineStr">
        <is>
          <t>Excess of Loss</t>
        </is>
      </c>
      <c r="G222" s="9" t="n">
        <v>2023</v>
      </c>
      <c r="H222" s="12" t="n">
        <v>81100000</v>
      </c>
      <c r="I222" s="12" t="n">
        <v>8489133.600000001</v>
      </c>
      <c r="J222" s="12" t="n">
        <v>732267.72</v>
      </c>
      <c r="K222" s="12" t="n">
        <v>8489133.600000001</v>
      </c>
      <c r="L222" s="12" t="n">
        <v>571044.72</v>
      </c>
      <c r="M222" s="9" t="n">
        <v>8</v>
      </c>
      <c r="N222" s="12" t="n">
        <v>5006690.91</v>
      </c>
      <c r="O222" s="12" t="n">
        <v>5326437.22</v>
      </c>
      <c r="P222" s="12" t="n">
        <v>81100000</v>
      </c>
      <c r="Q222" s="9" t="inlineStr">
        <is>
          <t>Low</t>
        </is>
      </c>
      <c r="R222" s="11">
        <f>IFERROR(O222/K222,0)</f>
        <v/>
      </c>
    </row>
    <row r="223">
      <c r="A223" s="9" t="inlineStr">
        <is>
          <t>T0507</t>
        </is>
      </c>
      <c r="B223" s="9" t="inlineStr">
        <is>
          <t>Crown Mutual</t>
        </is>
      </c>
      <c r="C223" s="9" t="inlineStr">
        <is>
          <t>Financial Lines</t>
        </is>
      </c>
      <c r="D223" s="9" t="inlineStr">
        <is>
          <t>North America</t>
        </is>
      </c>
      <c r="E223" s="9" t="inlineStr">
        <is>
          <t>Aarav Mehta</t>
        </is>
      </c>
      <c r="F223" s="9" t="inlineStr">
        <is>
          <t>Proportional</t>
        </is>
      </c>
      <c r="G223" s="9" t="n">
        <v>2022</v>
      </c>
      <c r="H223" s="12" t="n">
        <v>15200000</v>
      </c>
      <c r="I223" s="12" t="n">
        <v>1128882.12</v>
      </c>
      <c r="J223" s="12" t="n">
        <v>105167.16</v>
      </c>
      <c r="K223" s="12" t="n">
        <v>1128882.12</v>
      </c>
      <c r="L223" s="12" t="n">
        <v>297819.24</v>
      </c>
      <c r="M223" s="9" t="n">
        <v>10</v>
      </c>
      <c r="N223" s="12" t="n">
        <v>478400.3</v>
      </c>
      <c r="O223" s="12" t="n">
        <v>490073.85</v>
      </c>
      <c r="P223" s="12" t="n">
        <v>1520000</v>
      </c>
      <c r="Q223" s="9" t="inlineStr">
        <is>
          <t>Low</t>
        </is>
      </c>
      <c r="R223" s="11">
        <f>IFERROR(O223/K223,0)</f>
        <v/>
      </c>
    </row>
    <row r="224">
      <c r="A224" s="9" t="inlineStr">
        <is>
          <t>T0508</t>
        </is>
      </c>
      <c r="B224" s="9" t="inlineStr">
        <is>
          <t>Lumen General</t>
        </is>
      </c>
      <c r="C224" s="9" t="inlineStr">
        <is>
          <t>Unmapped</t>
        </is>
      </c>
      <c r="D224" s="9" t="inlineStr">
        <is>
          <t>North America</t>
        </is>
      </c>
      <c r="E224" s="9" t="inlineStr">
        <is>
          <t>Hannah Weber</t>
        </is>
      </c>
      <c r="F224" s="9" t="inlineStr">
        <is>
          <t>Excess of Loss</t>
        </is>
      </c>
      <c r="G224" s="9" t="n">
        <v>2024</v>
      </c>
      <c r="H224" s="12" t="n">
        <v>5700000</v>
      </c>
      <c r="I224" s="12" t="n">
        <v>535875.24</v>
      </c>
      <c r="J224" s="12" t="n">
        <v>57580.56</v>
      </c>
      <c r="K224" s="12" t="n">
        <v>535875.24</v>
      </c>
      <c r="L224" s="12" t="n">
        <v>63138.84</v>
      </c>
      <c r="M224" s="9" t="n">
        <v>7</v>
      </c>
      <c r="N224" s="12" t="n">
        <v>352290.01</v>
      </c>
      <c r="O224" s="12" t="n">
        <v>410230.6</v>
      </c>
      <c r="P224" s="12" t="n">
        <v>5700000</v>
      </c>
      <c r="Q224" s="9" t="inlineStr">
        <is>
          <t>Low</t>
        </is>
      </c>
      <c r="R224" s="11">
        <f>IFERROR(O224/K224,0)</f>
        <v/>
      </c>
    </row>
    <row r="225">
      <c r="A225" s="9" t="inlineStr">
        <is>
          <t>T0510</t>
        </is>
      </c>
      <c r="B225" s="9" t="inlineStr">
        <is>
          <t>Meridian General</t>
        </is>
      </c>
      <c r="C225" s="9" t="inlineStr">
        <is>
          <t>Casualty</t>
        </is>
      </c>
      <c r="D225" s="9" t="inlineStr">
        <is>
          <t>North America</t>
        </is>
      </c>
      <c r="E225" s="9" t="inlineStr">
        <is>
          <t>Priya Nair</t>
        </is>
      </c>
      <c r="F225" s="9" t="inlineStr">
        <is>
          <t>Proportional</t>
        </is>
      </c>
      <c r="G225" s="9" t="n">
        <v>2022</v>
      </c>
      <c r="H225" s="12" t="n">
        <v>5800000</v>
      </c>
      <c r="I225" s="12" t="n">
        <v>1120197.36</v>
      </c>
      <c r="J225" s="12" t="n">
        <v>64290.72</v>
      </c>
      <c r="K225" s="12" t="n">
        <v>1120197.36</v>
      </c>
      <c r="L225" s="12" t="n">
        <v>259257.96</v>
      </c>
      <c r="M225" s="9" t="n">
        <v>6</v>
      </c>
      <c r="N225" s="12" t="n">
        <v>518254.7</v>
      </c>
      <c r="O225" s="12" t="n">
        <v>835380.1899999999</v>
      </c>
      <c r="P225" s="12" t="n">
        <v>580000</v>
      </c>
      <c r="Q225" s="9" t="inlineStr">
        <is>
          <t>Low</t>
        </is>
      </c>
      <c r="R225" s="11">
        <f>IFERROR(O225/K225,0)</f>
        <v/>
      </c>
    </row>
    <row r="226">
      <c r="A226" s="9" t="inlineStr">
        <is>
          <t>T0513</t>
        </is>
      </c>
      <c r="B226" s="9" t="inlineStr">
        <is>
          <t>Atlas Indemnity</t>
        </is>
      </c>
      <c r="C226" s="9" t="inlineStr">
        <is>
          <t>Financial Lines</t>
        </is>
      </c>
      <c r="D226" s="9" t="inlineStr">
        <is>
          <t>North America</t>
        </is>
      </c>
      <c r="E226" s="9" t="inlineStr">
        <is>
          <t>Aarav Mehta</t>
        </is>
      </c>
      <c r="F226" s="9" t="inlineStr">
        <is>
          <t>Proportional</t>
        </is>
      </c>
      <c r="G226" s="9" t="n">
        <v>2024</v>
      </c>
      <c r="H226" s="12" t="n">
        <v>28100000</v>
      </c>
      <c r="I226" s="12" t="n">
        <v>2480083.44</v>
      </c>
      <c r="J226" s="12" t="n">
        <v>159783.24</v>
      </c>
      <c r="K226" s="12" t="n">
        <v>2480083.44</v>
      </c>
      <c r="L226" s="12" t="n">
        <v>742507.92</v>
      </c>
      <c r="M226" s="9" t="n">
        <v>8</v>
      </c>
      <c r="N226" s="12" t="n">
        <v>1168831.92</v>
      </c>
      <c r="O226" s="12" t="n">
        <v>1292557.64</v>
      </c>
      <c r="P226" s="12" t="n">
        <v>7025000</v>
      </c>
      <c r="Q226" s="9" t="inlineStr">
        <is>
          <t>Low</t>
        </is>
      </c>
      <c r="R226" s="11">
        <f>IFERROR(O226/K226,0)</f>
        <v/>
      </c>
    </row>
    <row r="227">
      <c r="A227" s="9" t="inlineStr">
        <is>
          <t>T0516</t>
        </is>
      </c>
      <c r="B227" s="9" t="inlineStr">
        <is>
          <t>Cobalt Indemnity</t>
        </is>
      </c>
      <c r="C227" s="9" t="inlineStr">
        <is>
          <t>Professional</t>
        </is>
      </c>
      <c r="D227" s="9" t="inlineStr">
        <is>
          <t>North America</t>
        </is>
      </c>
      <c r="E227" s="9" t="inlineStr">
        <is>
          <t>Hannah Weber</t>
        </is>
      </c>
      <c r="F227" s="9" t="inlineStr">
        <is>
          <t>Excess of Loss</t>
        </is>
      </c>
      <c r="G227" s="9" t="n">
        <v>2023</v>
      </c>
      <c r="H227" s="12" t="n">
        <v>23800000</v>
      </c>
      <c r="I227" s="12" t="n">
        <v>2666868.84</v>
      </c>
      <c r="J227" s="12" t="n">
        <v>218719.68</v>
      </c>
      <c r="K227" s="12" t="n">
        <v>2666868.84</v>
      </c>
      <c r="L227" s="12" t="n">
        <v>214678.32</v>
      </c>
      <c r="M227" s="9" t="n">
        <v>8</v>
      </c>
      <c r="N227" s="12" t="n">
        <v>1877362.8</v>
      </c>
      <c r="O227" s="12" t="n">
        <v>1877362.8</v>
      </c>
      <c r="P227" s="12" t="n">
        <v>23800000</v>
      </c>
      <c r="Q227" s="9" t="inlineStr">
        <is>
          <t>Low</t>
        </is>
      </c>
      <c r="R227" s="11">
        <f>IFERROR(O227/K227,0)</f>
        <v/>
      </c>
    </row>
    <row r="228">
      <c r="A228" s="9" t="inlineStr">
        <is>
          <t>T0518</t>
        </is>
      </c>
      <c r="B228" s="9" t="inlineStr">
        <is>
          <t>Harbor Mutual</t>
        </is>
      </c>
      <c r="C228" s="9" t="inlineStr">
        <is>
          <t>Professional</t>
        </is>
      </c>
      <c r="D228" s="9" t="inlineStr">
        <is>
          <t>North America</t>
        </is>
      </c>
      <c r="E228" s="9" t="inlineStr">
        <is>
          <t>Aarav Mehta</t>
        </is>
      </c>
      <c r="F228" s="9" t="inlineStr">
        <is>
          <t>Proportional</t>
        </is>
      </c>
      <c r="G228" s="9" t="n">
        <v>2023</v>
      </c>
      <c r="H228" s="12" t="n">
        <v>47400000</v>
      </c>
      <c r="I228" s="12" t="n">
        <v>4124246.52</v>
      </c>
      <c r="J228" s="12" t="n">
        <v>338575.68</v>
      </c>
      <c r="K228" s="12" t="n">
        <v>4124246.52</v>
      </c>
      <c r="L228" s="12" t="n">
        <v>1136918.64</v>
      </c>
      <c r="M228" s="9" t="n">
        <v>8</v>
      </c>
      <c r="N228" s="12" t="n">
        <v>1928918.83</v>
      </c>
      <c r="O228" s="12" t="n">
        <v>1928918.83</v>
      </c>
      <c r="P228" s="12" t="n">
        <v>7110000</v>
      </c>
      <c r="Q228" s="9" t="inlineStr">
        <is>
          <t>Low</t>
        </is>
      </c>
      <c r="R228" s="11">
        <f>IFERROR(O228/K228,0)</f>
        <v/>
      </c>
    </row>
    <row r="229">
      <c r="A229" s="9" t="inlineStr">
        <is>
          <t>T0522</t>
        </is>
      </c>
      <c r="B229" s="9" t="inlineStr">
        <is>
          <t>Atlas Indemnity</t>
        </is>
      </c>
      <c r="C229" s="9" t="inlineStr">
        <is>
          <t>Property</t>
        </is>
      </c>
      <c r="D229" s="9" t="inlineStr">
        <is>
          <t>North America</t>
        </is>
      </c>
      <c r="E229" s="9" t="inlineStr">
        <is>
          <t>Aarav Mehta</t>
        </is>
      </c>
      <c r="F229" s="9" t="inlineStr">
        <is>
          <t>Excess of Loss</t>
        </is>
      </c>
      <c r="G229" s="9" t="n">
        <v>2021</v>
      </c>
      <c r="H229" s="12" t="n">
        <v>3100000</v>
      </c>
      <c r="I229" s="12" t="n">
        <v>313684.8</v>
      </c>
      <c r="J229" s="12" t="n">
        <v>35665.44</v>
      </c>
      <c r="K229" s="12" t="n">
        <v>313684.8</v>
      </c>
      <c r="L229" s="12" t="n">
        <v>16053.72</v>
      </c>
      <c r="M229" s="9" t="n">
        <v>11</v>
      </c>
      <c r="N229" s="12" t="n">
        <v>188622.82</v>
      </c>
      <c r="O229" s="12" t="n">
        <v>306124.85</v>
      </c>
      <c r="P229" s="12" t="n">
        <v>3100000</v>
      </c>
      <c r="Q229" s="9" t="inlineStr">
        <is>
          <t>Low</t>
        </is>
      </c>
      <c r="R229" s="11">
        <f>IFERROR(O229/K229,0)</f>
        <v/>
      </c>
    </row>
    <row r="230">
      <c r="A230" s="9" t="inlineStr">
        <is>
          <t>T0525</t>
        </is>
      </c>
      <c r="B230" s="9" t="inlineStr">
        <is>
          <t>Lumen Insurance</t>
        </is>
      </c>
      <c r="C230" s="9" t="inlineStr">
        <is>
          <t>Professional</t>
        </is>
      </c>
      <c r="D230" s="9" t="inlineStr">
        <is>
          <t>North America</t>
        </is>
      </c>
      <c r="E230" s="9" t="inlineStr">
        <is>
          <t>Sophie Laurent</t>
        </is>
      </c>
      <c r="F230" s="9" t="inlineStr">
        <is>
          <t>Proportional</t>
        </is>
      </c>
      <c r="G230" s="9" t="n">
        <v>2023</v>
      </c>
      <c r="H230" s="12" t="n">
        <v>63800000</v>
      </c>
      <c r="I230" s="12" t="n">
        <v>5857120.800000001</v>
      </c>
      <c r="J230" s="12" t="n">
        <v>446524.8</v>
      </c>
      <c r="K230" s="12" t="n">
        <v>5857120.800000001</v>
      </c>
      <c r="L230" s="12" t="n">
        <v>1584334.92</v>
      </c>
      <c r="M230" s="9" t="n">
        <v>12</v>
      </c>
      <c r="N230" s="12" t="n">
        <v>2307142.08</v>
      </c>
      <c r="O230" s="12" t="n">
        <v>2386459.09</v>
      </c>
      <c r="P230" s="12" t="n">
        <v>12760000</v>
      </c>
      <c r="Q230" s="9" t="inlineStr">
        <is>
          <t>Low</t>
        </is>
      </c>
      <c r="R230" s="11">
        <f>IFERROR(O230/K230,0)</f>
        <v/>
      </c>
    </row>
    <row r="231">
      <c r="A231" s="9" t="inlineStr">
        <is>
          <t>T0528</t>
        </is>
      </c>
      <c r="B231" s="9" t="inlineStr">
        <is>
          <t>Cobalt Indemnity</t>
        </is>
      </c>
      <c r="C231" s="9" t="inlineStr">
        <is>
          <t>Specialty</t>
        </is>
      </c>
      <c r="D231" s="9" t="inlineStr">
        <is>
          <t>North America</t>
        </is>
      </c>
      <c r="E231" s="9" t="inlineStr">
        <is>
          <t>James Whitfield</t>
        </is>
      </c>
      <c r="F231" s="9" t="inlineStr">
        <is>
          <t>Facultative</t>
        </is>
      </c>
      <c r="G231" s="9" t="n">
        <v>2022</v>
      </c>
      <c r="H231" s="12" t="n">
        <v>3700000</v>
      </c>
      <c r="I231" s="12" t="n">
        <v>341171.16</v>
      </c>
      <c r="J231" s="12" t="n">
        <v>17416.2</v>
      </c>
      <c r="K231" s="12" t="n">
        <v>341171.16</v>
      </c>
      <c r="L231" s="12" t="n">
        <v>59532.48</v>
      </c>
      <c r="M231" s="9" t="n">
        <v>5</v>
      </c>
      <c r="N231" s="12" t="n">
        <v>176591.62</v>
      </c>
      <c r="O231" s="12" t="n">
        <v>176591.62</v>
      </c>
      <c r="P231" s="12" t="n">
        <v>3700000</v>
      </c>
      <c r="Q231" s="9" t="inlineStr">
        <is>
          <t>Low</t>
        </is>
      </c>
      <c r="R231" s="11">
        <f>IFERROR(O231/K231,0)</f>
        <v/>
      </c>
    </row>
    <row r="232">
      <c r="A232" s="9" t="inlineStr">
        <is>
          <t>T0530</t>
        </is>
      </c>
      <c r="B232" s="9" t="inlineStr">
        <is>
          <t>Harbor Mutual</t>
        </is>
      </c>
      <c r="C232" s="9" t="inlineStr">
        <is>
          <t>Professional</t>
        </is>
      </c>
      <c r="D232" s="9" t="inlineStr">
        <is>
          <t>North America</t>
        </is>
      </c>
      <c r="E232" s="9" t="inlineStr">
        <is>
          <t>Carlos Ibarra</t>
        </is>
      </c>
      <c r="F232" s="9" t="inlineStr">
        <is>
          <t>Proportional</t>
        </is>
      </c>
      <c r="G232" s="9" t="n">
        <v>2026</v>
      </c>
      <c r="H232" s="12" t="n">
        <v>2000000</v>
      </c>
      <c r="I232" s="12" t="n">
        <v>115159.32</v>
      </c>
      <c r="J232" s="12" t="n">
        <v>13783.64</v>
      </c>
      <c r="K232" s="12" t="n">
        <v>111320.68</v>
      </c>
      <c r="L232" s="12" t="n">
        <v>26958.32363533928</v>
      </c>
      <c r="M232" s="9" t="n">
        <v>3</v>
      </c>
      <c r="N232" s="12" t="n">
        <v>20780.22</v>
      </c>
      <c r="O232" s="12" t="n">
        <v>52606.4</v>
      </c>
      <c r="P232" s="12" t="n">
        <v>300000</v>
      </c>
      <c r="Q232" s="9" t="inlineStr">
        <is>
          <t>Low</t>
        </is>
      </c>
      <c r="R232" s="11">
        <f>IFERROR(O232/K232,0)</f>
        <v/>
      </c>
    </row>
    <row r="233">
      <c r="A233" s="9" t="inlineStr">
        <is>
          <t>T0534</t>
        </is>
      </c>
      <c r="B233" s="9" t="inlineStr">
        <is>
          <t>Northwind Indemnity</t>
        </is>
      </c>
      <c r="C233" s="9" t="inlineStr">
        <is>
          <t>Specialty</t>
        </is>
      </c>
      <c r="D233" s="9" t="inlineStr">
        <is>
          <t>North America</t>
        </is>
      </c>
      <c r="E233" s="9" t="inlineStr">
        <is>
          <t>Carlos Ibarra</t>
        </is>
      </c>
      <c r="F233" s="9" t="inlineStr">
        <is>
          <t>Proportional</t>
        </is>
      </c>
      <c r="G233" s="9" t="n">
        <v>2024</v>
      </c>
      <c r="H233" s="12" t="n">
        <v>5400000</v>
      </c>
      <c r="I233" s="12" t="n">
        <v>851348.04</v>
      </c>
      <c r="J233" s="12" t="n">
        <v>64024.56</v>
      </c>
      <c r="K233" s="12" t="n">
        <v>851348.04</v>
      </c>
      <c r="L233" s="12" t="n">
        <v>197844.84</v>
      </c>
      <c r="M233" s="9" t="n">
        <v>7</v>
      </c>
      <c r="N233" s="12" t="n">
        <v>685451.26</v>
      </c>
      <c r="O233" s="12" t="n">
        <v>710435.12</v>
      </c>
      <c r="P233" s="12" t="n">
        <v>1080000</v>
      </c>
      <c r="Q233" s="9" t="inlineStr">
        <is>
          <t>Low</t>
        </is>
      </c>
      <c r="R233" s="11">
        <f>IFERROR(O233/K233,0)</f>
        <v/>
      </c>
    </row>
    <row r="234">
      <c r="A234" s="9" t="inlineStr">
        <is>
          <t>T0536</t>
        </is>
      </c>
      <c r="B234" s="9" t="inlineStr">
        <is>
          <t>Cobalt General</t>
        </is>
      </c>
      <c r="C234" s="9" t="inlineStr">
        <is>
          <t>Professional</t>
        </is>
      </c>
      <c r="D234" s="9" t="inlineStr">
        <is>
          <t>North America</t>
        </is>
      </c>
      <c r="E234" s="9" t="inlineStr">
        <is>
          <t>Priya Nair</t>
        </is>
      </c>
      <c r="F234" s="9" t="inlineStr">
        <is>
          <t>Excess of Loss</t>
        </is>
      </c>
      <c r="G234" s="9" t="n">
        <v>2025</v>
      </c>
      <c r="H234" s="12" t="n">
        <v>16500000</v>
      </c>
      <c r="I234" s="12" t="n">
        <v>2187552.84</v>
      </c>
      <c r="J234" s="12" t="n">
        <v>160499.64</v>
      </c>
      <c r="K234" s="12" t="n">
        <v>2187552.84</v>
      </c>
      <c r="L234" s="12" t="n">
        <v>230502.6</v>
      </c>
      <c r="M234" s="9" t="n">
        <v>6</v>
      </c>
      <c r="N234" s="12" t="n">
        <v>493585.59</v>
      </c>
      <c r="O234" s="12" t="n">
        <v>1124123.08</v>
      </c>
      <c r="P234" s="12" t="n">
        <v>16500000</v>
      </c>
      <c r="Q234" s="9" t="inlineStr">
        <is>
          <t>Low</t>
        </is>
      </c>
      <c r="R234" s="11">
        <f>IFERROR(O234/K234,0)</f>
        <v/>
      </c>
    </row>
    <row r="235">
      <c r="A235" s="9" t="inlineStr">
        <is>
          <t>T0537</t>
        </is>
      </c>
      <c r="B235" s="9" t="inlineStr">
        <is>
          <t>Evergreen Indemnity</t>
        </is>
      </c>
      <c r="C235" s="9" t="inlineStr">
        <is>
          <t>Property</t>
        </is>
      </c>
      <c r="D235" s="9" t="inlineStr">
        <is>
          <t>North America</t>
        </is>
      </c>
      <c r="E235" s="9" t="inlineStr">
        <is>
          <t>Aarav Mehta</t>
        </is>
      </c>
      <c r="F235" s="9" t="inlineStr">
        <is>
          <t>Facultative</t>
        </is>
      </c>
      <c r="G235" s="9" t="n">
        <v>2026</v>
      </c>
      <c r="H235" s="12" t="n">
        <v>6800000</v>
      </c>
      <c r="I235" s="12" t="n">
        <v>396619.7</v>
      </c>
      <c r="J235" s="12" t="n">
        <v>44972.05</v>
      </c>
      <c r="K235" s="12" t="n">
        <v>386043.17</v>
      </c>
      <c r="L235" s="12" t="n">
        <v>68984.02583275616</v>
      </c>
      <c r="M235" s="9" t="n">
        <v>4</v>
      </c>
      <c r="N235" s="12" t="n">
        <v>192987.29</v>
      </c>
      <c r="O235" s="12" t="n">
        <v>474877.87</v>
      </c>
      <c r="P235" s="12" t="n">
        <v>6800000</v>
      </c>
      <c r="Q235" s="9" t="inlineStr">
        <is>
          <t>Low</t>
        </is>
      </c>
      <c r="R235" s="11">
        <f>IFERROR(O235/K235,0)</f>
        <v/>
      </c>
    </row>
    <row r="236">
      <c r="A236" s="9" t="inlineStr">
        <is>
          <t>T0539</t>
        </is>
      </c>
      <c r="B236" s="9" t="inlineStr">
        <is>
          <t>Harbor Mutual</t>
        </is>
      </c>
      <c r="C236" s="9" t="inlineStr">
        <is>
          <t>Specialty</t>
        </is>
      </c>
      <c r="D236" s="9" t="inlineStr">
        <is>
          <t>North America</t>
        </is>
      </c>
      <c r="E236" s="9" t="inlineStr">
        <is>
          <t>Sophie Laurent</t>
        </is>
      </c>
      <c r="F236" s="9" t="inlineStr">
        <is>
          <t>Excess of Loss</t>
        </is>
      </c>
      <c r="G236" s="9" t="n">
        <v>2026</v>
      </c>
      <c r="H236" s="12" t="n">
        <v>42800000</v>
      </c>
      <c r="I236" s="12" t="n">
        <v>1245469.36</v>
      </c>
      <c r="J236" s="12" t="n">
        <v>93379.64</v>
      </c>
      <c r="K236" s="12" t="n">
        <v>1006754.4</v>
      </c>
      <c r="L236" s="12" t="n">
        <v>89100.41705900176</v>
      </c>
      <c r="M236" s="9" t="n">
        <v>3</v>
      </c>
      <c r="N236" s="12" t="n">
        <v>114725.56</v>
      </c>
      <c r="O236" s="12" t="n">
        <v>902697.49</v>
      </c>
      <c r="P236" s="12" t="n">
        <v>42800000</v>
      </c>
      <c r="Q236" s="9" t="inlineStr">
        <is>
          <t>Low</t>
        </is>
      </c>
      <c r="R236" s="11">
        <f>IFERROR(O236/K236,0)</f>
        <v/>
      </c>
    </row>
    <row r="237">
      <c r="A237" s="9" t="inlineStr">
        <is>
          <t>T0540</t>
        </is>
      </c>
      <c r="B237" s="9" t="inlineStr">
        <is>
          <t>Evergreen Indemnity</t>
        </is>
      </c>
      <c r="C237" s="9" t="inlineStr">
        <is>
          <t>Specialty</t>
        </is>
      </c>
      <c r="D237" s="9" t="inlineStr">
        <is>
          <t>North America</t>
        </is>
      </c>
      <c r="E237" s="9" t="inlineStr">
        <is>
          <t>Omar Haddad</t>
        </is>
      </c>
      <c r="F237" s="9" t="inlineStr">
        <is>
          <t>Excess of Loss</t>
        </is>
      </c>
      <c r="G237" s="9" t="n">
        <v>2023</v>
      </c>
      <c r="H237" s="12" t="n">
        <v>18600000</v>
      </c>
      <c r="I237" s="12" t="n">
        <v>1894228.44</v>
      </c>
      <c r="J237" s="12" t="n">
        <v>127695.96</v>
      </c>
      <c r="K237" s="12" t="n">
        <v>1894228.44</v>
      </c>
      <c r="L237" s="12" t="n">
        <v>169941</v>
      </c>
      <c r="M237" s="9" t="n">
        <v>9</v>
      </c>
      <c r="N237" s="12" t="n">
        <v>1029541.59</v>
      </c>
      <c r="O237" s="12" t="n">
        <v>1039442.93</v>
      </c>
      <c r="P237" s="12" t="n">
        <v>18600000</v>
      </c>
      <c r="Q237" s="9" t="inlineStr">
        <is>
          <t>Low</t>
        </is>
      </c>
      <c r="R237" s="11">
        <f>IFERROR(O237/K237,0)</f>
        <v/>
      </c>
    </row>
    <row r="238">
      <c r="A238" s="9" t="inlineStr">
        <is>
          <t>T0541</t>
        </is>
      </c>
      <c r="B238" s="9" t="inlineStr">
        <is>
          <t>Evergreen Assurance</t>
        </is>
      </c>
      <c r="C238" s="9" t="inlineStr">
        <is>
          <t>Specialty</t>
        </is>
      </c>
      <c r="D238" s="9" t="inlineStr">
        <is>
          <t>North America</t>
        </is>
      </c>
      <c r="E238" s="9" t="inlineStr">
        <is>
          <t>Kenji Sato</t>
        </is>
      </c>
      <c r="F238" s="9" t="inlineStr">
        <is>
          <t>Proportional</t>
        </is>
      </c>
      <c r="G238" s="9" t="n">
        <v>2021</v>
      </c>
      <c r="H238" s="12" t="n">
        <v>26700000</v>
      </c>
      <c r="I238" s="12" t="n">
        <v>2354467.8</v>
      </c>
      <c r="J238" s="12" t="n">
        <v>169945.2</v>
      </c>
      <c r="K238" s="12" t="n">
        <v>2354467.8</v>
      </c>
      <c r="L238" s="12" t="n">
        <v>746087.04</v>
      </c>
      <c r="M238" s="9" t="n">
        <v>9</v>
      </c>
      <c r="N238" s="12" t="n">
        <v>1358145.11</v>
      </c>
      <c r="O238" s="12" t="n">
        <v>1963417.47</v>
      </c>
      <c r="P238" s="12" t="n">
        <v>10680000</v>
      </c>
      <c r="Q238" s="9" t="inlineStr">
        <is>
          <t>Low</t>
        </is>
      </c>
      <c r="R238" s="11">
        <f>IFERROR(O238/K238,0)</f>
        <v/>
      </c>
    </row>
    <row r="239">
      <c r="A239" s="9" t="inlineStr">
        <is>
          <t>T0542</t>
        </is>
      </c>
      <c r="B239" s="9" t="inlineStr">
        <is>
          <t>Northwind Insurance</t>
        </is>
      </c>
      <c r="C239" s="9" t="inlineStr">
        <is>
          <t>Specialty</t>
        </is>
      </c>
      <c r="D239" s="9" t="inlineStr">
        <is>
          <t>North America</t>
        </is>
      </c>
      <c r="E239" s="9" t="inlineStr">
        <is>
          <t>Kenji Sato</t>
        </is>
      </c>
      <c r="F239" s="9" t="inlineStr">
        <is>
          <t>Proportional</t>
        </is>
      </c>
      <c r="G239" s="9" t="n">
        <v>2021</v>
      </c>
      <c r="H239" s="12" t="n">
        <v>6500000</v>
      </c>
      <c r="I239" s="12" t="n">
        <v>884565.8400000001</v>
      </c>
      <c r="J239" s="12" t="n">
        <v>68462.75999999999</v>
      </c>
      <c r="K239" s="12" t="n">
        <v>884565.8400000001</v>
      </c>
      <c r="L239" s="12" t="n">
        <v>274830.6</v>
      </c>
      <c r="M239" s="9" t="n">
        <v>10</v>
      </c>
      <c r="N239" s="12" t="n">
        <v>760768.8100000001</v>
      </c>
      <c r="O239" s="12" t="n">
        <v>935245.52</v>
      </c>
      <c r="P239" s="12" t="n">
        <v>650000</v>
      </c>
      <c r="Q239" s="9" t="inlineStr">
        <is>
          <t>Low</t>
        </is>
      </c>
      <c r="R239" s="11">
        <f>IFERROR(O239/K239,0)</f>
        <v/>
      </c>
    </row>
    <row r="240">
      <c r="A240" s="9" t="inlineStr">
        <is>
          <t>T0544</t>
        </is>
      </c>
      <c r="B240" s="9" t="inlineStr">
        <is>
          <t>Atlas Indemnity</t>
        </is>
      </c>
      <c r="C240" s="9" t="inlineStr">
        <is>
          <t>Financial Lines</t>
        </is>
      </c>
      <c r="D240" s="9" t="inlineStr">
        <is>
          <t>North America</t>
        </is>
      </c>
      <c r="E240" s="9" t="inlineStr">
        <is>
          <t>Omar Haddad</t>
        </is>
      </c>
      <c r="F240" s="9" t="inlineStr">
        <is>
          <t>Proportional</t>
        </is>
      </c>
      <c r="G240" s="9" t="n">
        <v>2021</v>
      </c>
      <c r="H240" s="12" t="n">
        <v>53300000</v>
      </c>
      <c r="I240" s="12" t="n">
        <v>6325108.08</v>
      </c>
      <c r="J240" s="12" t="n">
        <v>750057.6000000001</v>
      </c>
      <c r="K240" s="12" t="n">
        <v>6325108.08</v>
      </c>
      <c r="L240" s="12" t="n">
        <v>1408780.8</v>
      </c>
      <c r="M240" s="9" t="n">
        <v>10</v>
      </c>
      <c r="N240" s="12" t="n">
        <v>2955903.01</v>
      </c>
      <c r="O240" s="12" t="n">
        <v>3314965.41</v>
      </c>
      <c r="P240" s="12" t="n">
        <v>21320000</v>
      </c>
      <c r="Q240" s="9" t="inlineStr">
        <is>
          <t>Low</t>
        </is>
      </c>
      <c r="R240" s="11">
        <f>IFERROR(O240/K240,0)</f>
        <v/>
      </c>
    </row>
    <row r="241">
      <c r="A241" s="9" t="inlineStr">
        <is>
          <t>T0546</t>
        </is>
      </c>
      <c r="B241" s="9" t="inlineStr">
        <is>
          <t>Northwind Insurance</t>
        </is>
      </c>
      <c r="C241" s="9" t="inlineStr">
        <is>
          <t>Property</t>
        </is>
      </c>
      <c r="D241" s="9" t="inlineStr">
        <is>
          <t>North America</t>
        </is>
      </c>
      <c r="E241" s="9" t="inlineStr">
        <is>
          <t>Omar Haddad</t>
        </is>
      </c>
      <c r="F241" s="9" t="inlineStr">
        <is>
          <t>Facultative</t>
        </is>
      </c>
      <c r="G241" s="9" t="n">
        <v>2025</v>
      </c>
      <c r="H241" s="12" t="n">
        <v>16300000</v>
      </c>
      <c r="I241" s="12" t="n">
        <v>1493814.6</v>
      </c>
      <c r="J241" s="12" t="n">
        <v>114626.88</v>
      </c>
      <c r="K241" s="12" t="n">
        <v>1493814.6</v>
      </c>
      <c r="L241" s="12" t="n">
        <v>230443.08</v>
      </c>
      <c r="M241" s="9" t="n">
        <v>6</v>
      </c>
      <c r="N241" s="12" t="n">
        <v>829412.0700000001</v>
      </c>
      <c r="O241" s="12" t="n">
        <v>1078764.64</v>
      </c>
      <c r="P241" s="12" t="n">
        <v>16300000</v>
      </c>
      <c r="Q241" s="9" t="inlineStr">
        <is>
          <t>Low</t>
        </is>
      </c>
      <c r="R241" s="11">
        <f>IFERROR(O241/K241,0)</f>
        <v/>
      </c>
    </row>
    <row r="242">
      <c r="A242" s="9" t="inlineStr">
        <is>
          <t>T0549</t>
        </is>
      </c>
      <c r="B242" s="9" t="inlineStr">
        <is>
          <t>Orion General</t>
        </is>
      </c>
      <c r="C242" s="9" t="inlineStr">
        <is>
          <t>Casualty</t>
        </is>
      </c>
      <c r="D242" s="9" t="inlineStr">
        <is>
          <t>North America</t>
        </is>
      </c>
      <c r="E242" s="9" t="inlineStr">
        <is>
          <t>Omar Haddad</t>
        </is>
      </c>
      <c r="F242" s="9" t="inlineStr">
        <is>
          <t>Proportional</t>
        </is>
      </c>
      <c r="G242" s="9" t="n">
        <v>2025</v>
      </c>
      <c r="H242" s="12" t="n">
        <v>3500000</v>
      </c>
      <c r="I242" s="12" t="n">
        <v>581584.5599999999</v>
      </c>
      <c r="J242" s="12" t="n">
        <v>37554</v>
      </c>
      <c r="K242" s="12" t="n">
        <v>581584.5599999999</v>
      </c>
      <c r="L242" s="12" t="n">
        <v>183541.68</v>
      </c>
      <c r="M242" s="9" t="n">
        <v>12</v>
      </c>
      <c r="N242" s="12" t="n">
        <v>2453358</v>
      </c>
      <c r="O242" s="12" t="n">
        <v>10700458.39</v>
      </c>
      <c r="P242" s="12" t="n">
        <v>875000</v>
      </c>
      <c r="Q242" s="9" t="inlineStr">
        <is>
          <t>Critical</t>
        </is>
      </c>
      <c r="R242" s="11">
        <f>IFERROR(O242/K242,0)</f>
        <v/>
      </c>
    </row>
    <row r="243">
      <c r="A243" s="9" t="inlineStr">
        <is>
          <t>T0550</t>
        </is>
      </c>
      <c r="B243" s="9" t="inlineStr">
        <is>
          <t>Northwind Insurance</t>
        </is>
      </c>
      <c r="C243" s="9" t="inlineStr">
        <is>
          <t>Professional</t>
        </is>
      </c>
      <c r="D243" s="9" t="inlineStr">
        <is>
          <t>North America</t>
        </is>
      </c>
      <c r="E243" s="9" t="inlineStr">
        <is>
          <t>Aarav Mehta</t>
        </is>
      </c>
      <c r="F243" s="9" t="inlineStr">
        <is>
          <t>Proportional</t>
        </is>
      </c>
      <c r="G243" s="9" t="n">
        <v>2025</v>
      </c>
      <c r="H243" s="12" t="n">
        <v>7900000</v>
      </c>
      <c r="I243" s="12" t="n">
        <v>845779.7999999999</v>
      </c>
      <c r="J243" s="12" t="n">
        <v>70640.88</v>
      </c>
      <c r="K243" s="12" t="n">
        <v>845779.7999999999</v>
      </c>
      <c r="L243" s="12" t="n">
        <v>234600.72</v>
      </c>
      <c r="M243" s="9" t="n">
        <v>3</v>
      </c>
      <c r="N243" s="12" t="n">
        <v>149911.2</v>
      </c>
      <c r="O243" s="12" t="n">
        <v>328997.75</v>
      </c>
      <c r="P243" s="12" t="n">
        <v>1185000</v>
      </c>
      <c r="Q243" s="9" t="inlineStr">
        <is>
          <t>Low</t>
        </is>
      </c>
      <c r="R243" s="11">
        <f>IFERROR(O243/K243,0)</f>
        <v/>
      </c>
    </row>
    <row r="244">
      <c r="A244" s="9" t="inlineStr">
        <is>
          <t>T0552</t>
        </is>
      </c>
      <c r="B244" s="9" t="inlineStr">
        <is>
          <t>Crown Mutual</t>
        </is>
      </c>
      <c r="C244" s="9" t="inlineStr">
        <is>
          <t>Financial Lines</t>
        </is>
      </c>
      <c r="D244" s="9" t="inlineStr">
        <is>
          <t>North America</t>
        </is>
      </c>
      <c r="E244" s="9" t="inlineStr">
        <is>
          <t>Hannah Weber</t>
        </is>
      </c>
      <c r="F244" s="9" t="inlineStr">
        <is>
          <t>Excess of Loss</t>
        </is>
      </c>
      <c r="G244" s="9" t="n">
        <v>2024</v>
      </c>
      <c r="H244" s="12" t="n">
        <v>9900000</v>
      </c>
      <c r="I244" s="12" t="n">
        <v>755427.12</v>
      </c>
      <c r="J244" s="12" t="n">
        <v>58878.72</v>
      </c>
      <c r="K244" s="12" t="n">
        <v>755427.12</v>
      </c>
      <c r="L244" s="12" t="n">
        <v>49927.8</v>
      </c>
      <c r="M244" s="9" t="n">
        <v>9</v>
      </c>
      <c r="N244" s="12" t="n">
        <v>326610.42</v>
      </c>
      <c r="O244" s="12" t="n">
        <v>473818.02</v>
      </c>
      <c r="P244" s="12" t="n">
        <v>9900000</v>
      </c>
      <c r="Q244" s="9" t="inlineStr">
        <is>
          <t>Low</t>
        </is>
      </c>
      <c r="R244" s="11">
        <f>IFERROR(O244/K244,0)</f>
        <v/>
      </c>
    </row>
    <row r="245">
      <c r="A245" s="9" t="inlineStr">
        <is>
          <t>T0556</t>
        </is>
      </c>
      <c r="B245" s="9" t="inlineStr">
        <is>
          <t>Cobalt Indemnity</t>
        </is>
      </c>
      <c r="C245" s="9" t="inlineStr">
        <is>
          <t>Property</t>
        </is>
      </c>
      <c r="D245" s="9" t="inlineStr">
        <is>
          <t>North America</t>
        </is>
      </c>
      <c r="E245" s="9" t="inlineStr">
        <is>
          <t>Priya Nair</t>
        </is>
      </c>
      <c r="F245" s="9" t="inlineStr">
        <is>
          <t>Excess of Loss</t>
        </is>
      </c>
      <c r="G245" s="9" t="n">
        <v>2024</v>
      </c>
      <c r="H245" s="12" t="n">
        <v>6800000</v>
      </c>
      <c r="I245" s="12" t="n">
        <v>555324.84</v>
      </c>
      <c r="J245" s="12" t="n">
        <v>28613.88</v>
      </c>
      <c r="K245" s="12" t="n">
        <v>555324.84</v>
      </c>
      <c r="L245" s="12" t="n">
        <v>55674.24000000001</v>
      </c>
      <c r="M245" s="9" t="n">
        <v>9</v>
      </c>
      <c r="N245" s="12" t="n">
        <v>389217.07</v>
      </c>
      <c r="O245" s="12" t="n">
        <v>611115.5499999999</v>
      </c>
      <c r="P245" s="12" t="n">
        <v>6800000</v>
      </c>
      <c r="Q245" s="9" t="inlineStr">
        <is>
          <t>Low</t>
        </is>
      </c>
      <c r="R245" s="11">
        <f>IFERROR(O245/K245,0)</f>
        <v/>
      </c>
    </row>
    <row r="246">
      <c r="A246" s="9" t="inlineStr">
        <is>
          <t>T0558</t>
        </is>
      </c>
      <c r="B246" s="9" t="inlineStr">
        <is>
          <t>Evergreen General</t>
        </is>
      </c>
      <c r="C246" s="9" t="inlineStr">
        <is>
          <t>Casualty</t>
        </is>
      </c>
      <c r="D246" s="9" t="inlineStr">
        <is>
          <t>North America</t>
        </is>
      </c>
      <c r="E246" s="9" t="inlineStr">
        <is>
          <t>Aarav Mehta</t>
        </is>
      </c>
      <c r="F246" s="9" t="inlineStr">
        <is>
          <t>Proportional</t>
        </is>
      </c>
      <c r="G246" s="9" t="n">
        <v>2021</v>
      </c>
      <c r="H246" s="12" t="n">
        <v>7800000</v>
      </c>
      <c r="I246" s="12" t="n">
        <v>1205829.12</v>
      </c>
      <c r="J246" s="12" t="n">
        <v>127478.16</v>
      </c>
      <c r="K246" s="12" t="n">
        <v>1205829.12</v>
      </c>
      <c r="L246" s="12" t="n">
        <v>344727.24</v>
      </c>
      <c r="M246" s="9" t="n">
        <v>11</v>
      </c>
      <c r="N246" s="12" t="n">
        <v>676234.14</v>
      </c>
      <c r="O246" s="12" t="n">
        <v>821614</v>
      </c>
      <c r="P246" s="12" t="n">
        <v>1560000</v>
      </c>
      <c r="Q246" s="9" t="inlineStr">
        <is>
          <t>Low</t>
        </is>
      </c>
      <c r="R246" s="11">
        <f>IFERROR(O246/K246,0)</f>
        <v/>
      </c>
    </row>
    <row r="247">
      <c r="A247" s="9" t="inlineStr">
        <is>
          <t>T0559</t>
        </is>
      </c>
      <c r="B247" s="9" t="inlineStr">
        <is>
          <t>Evergreen Assurance</t>
        </is>
      </c>
      <c r="C247" s="9" t="inlineStr">
        <is>
          <t>Property</t>
        </is>
      </c>
      <c r="D247" s="9" t="inlineStr">
        <is>
          <t>North America</t>
        </is>
      </c>
      <c r="E247" s="9" t="inlineStr">
        <is>
          <t>Omar Haddad</t>
        </is>
      </c>
      <c r="F247" s="9" t="inlineStr">
        <is>
          <t>Excess of Loss</t>
        </is>
      </c>
      <c r="G247" s="9" t="n">
        <v>2025</v>
      </c>
      <c r="H247" s="12" t="n">
        <v>32900000</v>
      </c>
      <c r="I247" s="12" t="n">
        <v>3931360.32</v>
      </c>
      <c r="J247" s="12" t="n">
        <v>346210.56</v>
      </c>
      <c r="K247" s="12" t="n">
        <v>3931360.32</v>
      </c>
      <c r="L247" s="12" t="n">
        <v>466866.12</v>
      </c>
      <c r="M247" s="9" t="n">
        <v>8</v>
      </c>
      <c r="N247" s="12" t="n">
        <v>1940005.48</v>
      </c>
      <c r="O247" s="12" t="n">
        <v>3527886.87</v>
      </c>
      <c r="P247" s="12" t="n">
        <v>32900000</v>
      </c>
      <c r="Q247" s="9" t="inlineStr">
        <is>
          <t>Low</t>
        </is>
      </c>
      <c r="R247" s="11">
        <f>IFERROR(O247/K247,0)</f>
        <v/>
      </c>
    </row>
    <row r="248">
      <c r="A248" s="9" t="inlineStr">
        <is>
          <t>T0561</t>
        </is>
      </c>
      <c r="B248" s="9" t="inlineStr">
        <is>
          <t>Cobalt Indemnity</t>
        </is>
      </c>
      <c r="C248" s="9" t="inlineStr">
        <is>
          <t>Property</t>
        </is>
      </c>
      <c r="D248" s="9" t="inlineStr">
        <is>
          <t>North America</t>
        </is>
      </c>
      <c r="E248" s="9" t="inlineStr">
        <is>
          <t>Hannah Weber</t>
        </is>
      </c>
      <c r="F248" s="9" t="inlineStr">
        <is>
          <t>Proportional</t>
        </is>
      </c>
      <c r="G248" s="9" t="n">
        <v>2022</v>
      </c>
      <c r="H248" s="12" t="n">
        <v>5800000</v>
      </c>
      <c r="I248" s="12" t="n">
        <v>894016.0900000001</v>
      </c>
      <c r="J248" s="12" t="n">
        <v>63662.61</v>
      </c>
      <c r="K248" s="12" t="n">
        <v>894016.0900000001</v>
      </c>
      <c r="L248" s="12" t="n">
        <v>199087.57</v>
      </c>
      <c r="M248" s="9" t="n">
        <v>6</v>
      </c>
      <c r="N248" s="12" t="n">
        <v>489175.23</v>
      </c>
      <c r="O248" s="12" t="n">
        <v>912708.04</v>
      </c>
      <c r="P248" s="12" t="n">
        <v>1450000</v>
      </c>
      <c r="Q248" s="9" t="inlineStr">
        <is>
          <t>Low</t>
        </is>
      </c>
      <c r="R248" s="11">
        <f>IFERROR(O248/K248,0)</f>
        <v/>
      </c>
    </row>
    <row r="249">
      <c r="A249" s="9" t="inlineStr">
        <is>
          <t>T0563</t>
        </is>
      </c>
      <c r="B249" s="9" t="inlineStr">
        <is>
          <t>Summit General</t>
        </is>
      </c>
      <c r="C249" s="9" t="inlineStr">
        <is>
          <t>Financial Lines</t>
        </is>
      </c>
      <c r="D249" s="9" t="inlineStr">
        <is>
          <t>North America</t>
        </is>
      </c>
      <c r="E249" s="9" t="inlineStr">
        <is>
          <t>Hannah Weber</t>
        </is>
      </c>
      <c r="F249" s="9" t="inlineStr">
        <is>
          <t>Excess of Loss</t>
        </is>
      </c>
      <c r="G249" s="9" t="n">
        <v>2025</v>
      </c>
      <c r="H249" s="12" t="n">
        <v>20700000</v>
      </c>
      <c r="I249" s="12" t="n">
        <v>1984647.12</v>
      </c>
      <c r="J249" s="12" t="n">
        <v>106020.24</v>
      </c>
      <c r="K249" s="12" t="n">
        <v>1984647.12</v>
      </c>
      <c r="L249" s="12" t="n">
        <v>217792.8</v>
      </c>
      <c r="M249" s="9" t="n">
        <v>11</v>
      </c>
      <c r="N249" s="12" t="n">
        <v>417172.95</v>
      </c>
      <c r="O249" s="12" t="n">
        <v>1572892.77</v>
      </c>
      <c r="P249" s="12" t="n">
        <v>20700000</v>
      </c>
      <c r="Q249" s="9" t="inlineStr">
        <is>
          <t>Low</t>
        </is>
      </c>
      <c r="R249" s="11">
        <f>IFERROR(O249/K249,0)</f>
        <v/>
      </c>
    </row>
    <row r="250">
      <c r="A250" s="9" t="inlineStr">
        <is>
          <t>T0565</t>
        </is>
      </c>
      <c r="B250" s="9" t="inlineStr">
        <is>
          <t>Vantage General</t>
        </is>
      </c>
      <c r="C250" s="9" t="inlineStr">
        <is>
          <t>Casualty</t>
        </is>
      </c>
      <c r="D250" s="9" t="inlineStr">
        <is>
          <t>North America</t>
        </is>
      </c>
      <c r="E250" s="9" t="inlineStr">
        <is>
          <t>Sophie Laurent</t>
        </is>
      </c>
      <c r="F250" s="9" t="inlineStr">
        <is>
          <t>Proportional</t>
        </is>
      </c>
      <c r="G250" s="9" t="n">
        <v>2025</v>
      </c>
      <c r="H250" s="12" t="n">
        <v>10000000</v>
      </c>
      <c r="I250" s="12" t="n">
        <v>879598.7999999999</v>
      </c>
      <c r="J250" s="12" t="n">
        <v>89529.36</v>
      </c>
      <c r="K250" s="12" t="n">
        <v>879598.7999999999</v>
      </c>
      <c r="L250" s="12" t="n">
        <v>260083.56</v>
      </c>
      <c r="M250" s="9" t="n">
        <v>9</v>
      </c>
      <c r="N250" s="12" t="n">
        <v>369381</v>
      </c>
      <c r="O250" s="12" t="n">
        <v>1203923.13</v>
      </c>
      <c r="P250" s="12" t="n">
        <v>5000000</v>
      </c>
      <c r="Q250" s="9" t="inlineStr">
        <is>
          <t>Low</t>
        </is>
      </c>
      <c r="R250" s="11">
        <f>IFERROR(O250/K250,0)</f>
        <v/>
      </c>
    </row>
    <row r="251">
      <c r="A251" s="9" t="inlineStr">
        <is>
          <t>T0569</t>
        </is>
      </c>
      <c r="B251" s="9" t="inlineStr">
        <is>
          <t>Evergreen Assurance</t>
        </is>
      </c>
      <c r="C251" s="9" t="inlineStr">
        <is>
          <t>Casualty</t>
        </is>
      </c>
      <c r="D251" s="9" t="inlineStr">
        <is>
          <t>North America</t>
        </is>
      </c>
      <c r="E251" s="9" t="inlineStr">
        <is>
          <t>Sophie Laurent</t>
        </is>
      </c>
      <c r="F251" s="9" t="inlineStr">
        <is>
          <t>Proportional</t>
        </is>
      </c>
      <c r="G251" s="9" t="n">
        <v>2023</v>
      </c>
      <c r="H251" s="12" t="n">
        <v>40500000</v>
      </c>
      <c r="I251" s="12" t="n">
        <v>3031854.6</v>
      </c>
      <c r="J251" s="12" t="n">
        <v>242077.56</v>
      </c>
      <c r="K251" s="12" t="n">
        <v>3031854.6</v>
      </c>
      <c r="L251" s="12" t="n">
        <v>888548.1599999999</v>
      </c>
      <c r="M251" s="9" t="n">
        <v>11</v>
      </c>
      <c r="N251" s="12" t="n">
        <v>2963400.85</v>
      </c>
      <c r="O251" s="12" t="n">
        <v>3021816.77</v>
      </c>
      <c r="P251" s="12" t="n">
        <v>4050000</v>
      </c>
      <c r="Q251" s="9" t="inlineStr">
        <is>
          <t>Low</t>
        </is>
      </c>
      <c r="R251" s="11">
        <f>IFERROR(O251/K251,0)</f>
        <v/>
      </c>
    </row>
    <row r="252">
      <c r="A252" s="9" t="inlineStr">
        <is>
          <t>T0573</t>
        </is>
      </c>
      <c r="B252" s="9" t="inlineStr">
        <is>
          <t>Evergreen Indemnity</t>
        </is>
      </c>
      <c r="C252" s="9" t="inlineStr">
        <is>
          <t>Professional</t>
        </is>
      </c>
      <c r="D252" s="9" t="inlineStr">
        <is>
          <t>North America</t>
        </is>
      </c>
      <c r="E252" s="9" t="inlineStr">
        <is>
          <t>Omar Haddad</t>
        </is>
      </c>
      <c r="F252" s="9" t="inlineStr">
        <is>
          <t>Excess of Loss</t>
        </is>
      </c>
      <c r="G252" s="9" t="n">
        <v>2026</v>
      </c>
      <c r="H252" s="12" t="n">
        <v>32600000</v>
      </c>
      <c r="I252" s="12" t="n">
        <v>553233.96</v>
      </c>
      <c r="J252" s="12" t="n">
        <v>64731.32</v>
      </c>
      <c r="K252" s="12" t="n">
        <v>470248.87</v>
      </c>
      <c r="L252" s="12" t="n">
        <v>28314.87724085015</v>
      </c>
      <c r="M252" s="9" t="n">
        <v>0</v>
      </c>
      <c r="N252" s="12" t="n">
        <v>0</v>
      </c>
      <c r="O252" s="12" t="n">
        <v>0</v>
      </c>
      <c r="P252" s="12" t="n">
        <v>32600000</v>
      </c>
      <c r="Q252" s="9" t="inlineStr">
        <is>
          <t>Low</t>
        </is>
      </c>
      <c r="R252" s="11">
        <f>IFERROR(O252/K252,0)</f>
        <v/>
      </c>
    </row>
    <row r="253">
      <c r="A253" s="9" t="inlineStr">
        <is>
          <t>T0579</t>
        </is>
      </c>
      <c r="B253" s="9" t="inlineStr">
        <is>
          <t>Harbor Indemnity</t>
        </is>
      </c>
      <c r="C253" s="9" t="inlineStr">
        <is>
          <t>Financial Lines</t>
        </is>
      </c>
      <c r="D253" s="9" t="inlineStr">
        <is>
          <t>North America</t>
        </is>
      </c>
      <c r="E253" s="9" t="inlineStr">
        <is>
          <t>Carlos Ibarra</t>
        </is>
      </c>
      <c r="F253" s="9" t="inlineStr">
        <is>
          <t>Proportional</t>
        </is>
      </c>
      <c r="G253" s="9" t="n">
        <v>2025</v>
      </c>
      <c r="H253" s="12" t="n">
        <v>10700000</v>
      </c>
      <c r="I253" s="12" t="n">
        <v>897844.5299999999</v>
      </c>
      <c r="J253" s="12" t="n">
        <v>64637.32</v>
      </c>
      <c r="K253" s="12" t="n">
        <v>878799.34</v>
      </c>
      <c r="L253" s="12" t="n">
        <v>249777.4064806561</v>
      </c>
      <c r="M253" s="9" t="n">
        <v>11</v>
      </c>
      <c r="N253" s="12" t="n">
        <v>96264.41</v>
      </c>
      <c r="O253" s="12" t="n">
        <v>206349.73</v>
      </c>
      <c r="P253" s="12" t="n">
        <v>3210000</v>
      </c>
      <c r="Q253" s="9" t="inlineStr">
        <is>
          <t>Low</t>
        </is>
      </c>
      <c r="R253" s="11">
        <f>IFERROR(O253/K253,0)</f>
        <v/>
      </c>
    </row>
    <row r="254">
      <c r="A254" s="9" t="inlineStr">
        <is>
          <t>T0581</t>
        </is>
      </c>
      <c r="B254" s="9" t="inlineStr">
        <is>
          <t>Evergreen Assurance</t>
        </is>
      </c>
      <c r="C254" s="9" t="inlineStr">
        <is>
          <t>Property</t>
        </is>
      </c>
      <c r="D254" s="9" t="inlineStr">
        <is>
          <t>North America</t>
        </is>
      </c>
      <c r="E254" s="9" t="inlineStr">
        <is>
          <t>Priya Nair</t>
        </is>
      </c>
      <c r="F254" s="9" t="inlineStr">
        <is>
          <t>Excess of Loss</t>
        </is>
      </c>
      <c r="G254" s="9" t="n">
        <v>2022</v>
      </c>
      <c r="H254" s="12" t="n">
        <v>23100000</v>
      </c>
      <c r="I254" s="12" t="n">
        <v>2223012.84</v>
      </c>
      <c r="J254" s="12" t="n">
        <v>192283.08</v>
      </c>
      <c r="K254" s="12" t="n">
        <v>2223012.84</v>
      </c>
      <c r="L254" s="12" t="n">
        <v>166155.24</v>
      </c>
      <c r="M254" s="9" t="n">
        <v>15</v>
      </c>
      <c r="N254" s="12" t="n">
        <v>798155.02</v>
      </c>
      <c r="O254" s="12" t="n">
        <v>954342.14</v>
      </c>
      <c r="P254" s="12" t="n">
        <v>23100000</v>
      </c>
      <c r="Q254" s="9" t="inlineStr">
        <is>
          <t>Low</t>
        </is>
      </c>
      <c r="R254" s="11">
        <f>IFERROR(O254/K254,0)</f>
        <v/>
      </c>
    </row>
    <row r="255">
      <c r="A255" s="9" t="inlineStr">
        <is>
          <t>T0584</t>
        </is>
      </c>
      <c r="B255" s="9" t="inlineStr">
        <is>
          <t>Cobalt Indemnity</t>
        </is>
      </c>
      <c r="C255" s="9" t="inlineStr">
        <is>
          <t>Casualty</t>
        </is>
      </c>
      <c r="D255" s="9" t="inlineStr">
        <is>
          <t>North America</t>
        </is>
      </c>
      <c r="E255" s="9" t="inlineStr">
        <is>
          <t>James Whitfield</t>
        </is>
      </c>
      <c r="F255" s="9" t="inlineStr">
        <is>
          <t>Facultative</t>
        </is>
      </c>
      <c r="G255" s="9" t="n">
        <v>2024</v>
      </c>
      <c r="H255" s="12" t="n">
        <v>2500000</v>
      </c>
      <c r="I255" s="12" t="n">
        <v>200000.04</v>
      </c>
      <c r="J255" s="12" t="n">
        <v>19776.12</v>
      </c>
      <c r="K255" s="12" t="n">
        <v>200000.04</v>
      </c>
      <c r="L255" s="12" t="n">
        <v>35836.44</v>
      </c>
      <c r="M255" s="9" t="n">
        <v>9</v>
      </c>
      <c r="N255" s="12" t="n">
        <v>126009.68</v>
      </c>
      <c r="O255" s="12" t="n">
        <v>135144.82</v>
      </c>
      <c r="P255" s="12" t="n">
        <v>2500000</v>
      </c>
      <c r="Q255" s="9" t="inlineStr">
        <is>
          <t>Low</t>
        </is>
      </c>
      <c r="R255" s="11">
        <f>IFERROR(O255/K255,0)</f>
        <v/>
      </c>
    </row>
    <row r="256">
      <c r="A256" s="9" t="inlineStr">
        <is>
          <t>T0590</t>
        </is>
      </c>
      <c r="B256" s="9" t="inlineStr">
        <is>
          <t>Evergreen Insurance</t>
        </is>
      </c>
      <c r="C256" s="9" t="inlineStr">
        <is>
          <t>Financial Lines</t>
        </is>
      </c>
      <c r="D256" s="9" t="inlineStr">
        <is>
          <t>North America</t>
        </is>
      </c>
      <c r="E256" s="9" t="inlineStr">
        <is>
          <t>James Whitfield</t>
        </is>
      </c>
      <c r="F256" s="9" t="inlineStr">
        <is>
          <t>Proportional</t>
        </is>
      </c>
      <c r="G256" s="9" t="n">
        <v>2021</v>
      </c>
      <c r="H256" s="12" t="n">
        <v>24400000</v>
      </c>
      <c r="I256" s="12" t="n">
        <v>1937000.88</v>
      </c>
      <c r="J256" s="12" t="n">
        <v>116608.2</v>
      </c>
      <c r="K256" s="12" t="n">
        <v>1937000.88</v>
      </c>
      <c r="L256" s="12" t="n">
        <v>457226.04</v>
      </c>
      <c r="M256" s="9" t="n">
        <v>14</v>
      </c>
      <c r="N256" s="12" t="n">
        <v>751589.74</v>
      </c>
      <c r="O256" s="12" t="n">
        <v>845461.84</v>
      </c>
      <c r="P256" s="12" t="n">
        <v>2440000</v>
      </c>
      <c r="Q256" s="9" t="inlineStr">
        <is>
          <t>Low</t>
        </is>
      </c>
      <c r="R256" s="11">
        <f>IFERROR(O256/K256,0)</f>
        <v/>
      </c>
    </row>
    <row r="257">
      <c r="A257" s="9" t="inlineStr">
        <is>
          <t>T0591</t>
        </is>
      </c>
      <c r="B257" s="9" t="inlineStr">
        <is>
          <t>Meridian General</t>
        </is>
      </c>
      <c r="C257" s="9" t="inlineStr">
        <is>
          <t>Specialty</t>
        </is>
      </c>
      <c r="D257" s="9" t="inlineStr">
        <is>
          <t>North America</t>
        </is>
      </c>
      <c r="E257" s="9" t="inlineStr">
        <is>
          <t>James Whitfield</t>
        </is>
      </c>
      <c r="F257" s="9" t="inlineStr">
        <is>
          <t>Excess of Loss</t>
        </is>
      </c>
      <c r="G257" s="9" t="n">
        <v>2023</v>
      </c>
      <c r="H257" s="12" t="n">
        <v>13700000</v>
      </c>
      <c r="I257" s="12" t="n">
        <v>1109977.32</v>
      </c>
      <c r="J257" s="12" t="n">
        <v>86923.79999999999</v>
      </c>
      <c r="K257" s="12" t="n">
        <v>1109977.32</v>
      </c>
      <c r="L257" s="12" t="n">
        <v>78752.28</v>
      </c>
      <c r="M257" s="9" t="n">
        <v>8</v>
      </c>
      <c r="N257" s="12" t="n">
        <v>499517.86</v>
      </c>
      <c r="O257" s="12" t="n">
        <v>499517.86</v>
      </c>
      <c r="P257" s="12" t="n">
        <v>13700000</v>
      </c>
      <c r="Q257" s="9" t="inlineStr">
        <is>
          <t>Low</t>
        </is>
      </c>
      <c r="R257" s="11">
        <f>IFERROR(O257/K257,0)</f>
        <v/>
      </c>
    </row>
    <row r="258">
      <c r="A258" s="9" t="inlineStr">
        <is>
          <t>T0593</t>
        </is>
      </c>
      <c r="B258" s="9" t="inlineStr">
        <is>
          <t>Cobalt General</t>
        </is>
      </c>
      <c r="C258" s="9" t="inlineStr">
        <is>
          <t>Specialty</t>
        </is>
      </c>
      <c r="D258" s="9" t="inlineStr">
        <is>
          <t>North America</t>
        </is>
      </c>
      <c r="E258" s="9" t="inlineStr">
        <is>
          <t>Priya Nair</t>
        </is>
      </c>
      <c r="F258" s="9" t="inlineStr">
        <is>
          <t>Proportional</t>
        </is>
      </c>
      <c r="G258" s="9" t="n">
        <v>2023</v>
      </c>
      <c r="H258" s="12" t="n">
        <v>38100000</v>
      </c>
      <c r="I258" s="12" t="n">
        <v>3412676.76</v>
      </c>
      <c r="J258" s="12" t="n">
        <v>203615.04</v>
      </c>
      <c r="K258" s="12" t="n">
        <v>3412676.76</v>
      </c>
      <c r="L258" s="12" t="n">
        <v>998620.4399999999</v>
      </c>
      <c r="M258" s="9" t="n">
        <v>6</v>
      </c>
      <c r="N258" s="12" t="n">
        <v>2077434.15</v>
      </c>
      <c r="O258" s="12" t="n">
        <v>2077434.15</v>
      </c>
      <c r="P258" s="12" t="n">
        <v>7620000</v>
      </c>
      <c r="Q258" s="9" t="inlineStr">
        <is>
          <t>Low</t>
        </is>
      </c>
      <c r="R258" s="11">
        <f>IFERROR(O258/K258,0)</f>
        <v/>
      </c>
    </row>
    <row r="259">
      <c r="A259" s="9" t="inlineStr">
        <is>
          <t>T0597</t>
        </is>
      </c>
      <c r="B259" s="9" t="inlineStr">
        <is>
          <t>Meridian General</t>
        </is>
      </c>
      <c r="C259" s="9" t="inlineStr">
        <is>
          <t>Specialty</t>
        </is>
      </c>
      <c r="D259" s="9" t="inlineStr">
        <is>
          <t>North America</t>
        </is>
      </c>
      <c r="E259" s="9" t="inlineStr">
        <is>
          <t>James Whitfield</t>
        </is>
      </c>
      <c r="F259" s="9" t="inlineStr">
        <is>
          <t>Excess of Loss</t>
        </is>
      </c>
      <c r="G259" s="9" t="n">
        <v>2026</v>
      </c>
      <c r="H259" s="12" t="n">
        <v>19500000</v>
      </c>
      <c r="I259" s="12" t="n">
        <v>680272</v>
      </c>
      <c r="J259" s="12" t="n">
        <v>78554</v>
      </c>
      <c r="K259" s="12" t="n">
        <v>616779.95</v>
      </c>
      <c r="L259" s="12" t="n">
        <v>52931.51761939709</v>
      </c>
      <c r="M259" s="9" t="n">
        <v>3</v>
      </c>
      <c r="N259" s="12" t="n">
        <v>118652.05</v>
      </c>
      <c r="O259" s="12" t="n">
        <v>343523.81</v>
      </c>
      <c r="P259" s="12" t="n">
        <v>19500000</v>
      </c>
      <c r="Q259" s="9" t="inlineStr">
        <is>
          <t>Low</t>
        </is>
      </c>
      <c r="R259" s="11">
        <f>IFERROR(O259/K259,0)</f>
        <v/>
      </c>
    </row>
    <row r="260">
      <c r="A260" s="9" t="inlineStr">
        <is>
          <t>T0608</t>
        </is>
      </c>
      <c r="B260" s="9" t="inlineStr">
        <is>
          <t>Atlas Assurance</t>
        </is>
      </c>
      <c r="C260" s="9" t="inlineStr">
        <is>
          <t>Financial Lines</t>
        </is>
      </c>
      <c r="D260" s="9" t="inlineStr">
        <is>
          <t>North America</t>
        </is>
      </c>
      <c r="E260" s="9" t="inlineStr">
        <is>
          <t>Kenji Sato</t>
        </is>
      </c>
      <c r="F260" s="9" t="inlineStr">
        <is>
          <t>Proportional</t>
        </is>
      </c>
      <c r="G260" s="9" t="n">
        <v>2023</v>
      </c>
      <c r="H260" s="12" t="n">
        <v>8100000</v>
      </c>
      <c r="I260" s="12" t="n">
        <v>992163.72</v>
      </c>
      <c r="J260" s="12" t="n">
        <v>73181.75999999999</v>
      </c>
      <c r="K260" s="12" t="n">
        <v>992163.72</v>
      </c>
      <c r="L260" s="12" t="n">
        <v>266237.16</v>
      </c>
      <c r="M260" s="9" t="n">
        <v>12</v>
      </c>
      <c r="N260" s="12" t="n">
        <v>322968.25</v>
      </c>
      <c r="O260" s="12" t="n">
        <v>365240.07</v>
      </c>
      <c r="P260" s="12" t="n">
        <v>2430000</v>
      </c>
      <c r="Q260" s="9" t="inlineStr">
        <is>
          <t>Low</t>
        </is>
      </c>
      <c r="R260" s="11">
        <f>IFERROR(O260/K260,0)</f>
        <v/>
      </c>
    </row>
    <row r="261">
      <c r="A261" s="9" t="inlineStr">
        <is>
          <t>T0609</t>
        </is>
      </c>
      <c r="B261" s="9" t="inlineStr">
        <is>
          <t>Evergreen Assurance</t>
        </is>
      </c>
      <c r="C261" s="9" t="inlineStr">
        <is>
          <t>Property</t>
        </is>
      </c>
      <c r="D261" s="9" t="inlineStr">
        <is>
          <t>North America</t>
        </is>
      </c>
      <c r="E261" s="9" t="inlineStr">
        <is>
          <t>Hannah Weber</t>
        </is>
      </c>
      <c r="F261" s="9" t="inlineStr">
        <is>
          <t>Proportional</t>
        </is>
      </c>
      <c r="G261" s="9" t="n">
        <v>2022</v>
      </c>
      <c r="H261" s="12" t="n">
        <v>6900000</v>
      </c>
      <c r="I261" s="12" t="n">
        <v>690298.2</v>
      </c>
      <c r="J261" s="12" t="n">
        <v>65837.28</v>
      </c>
      <c r="K261" s="12" t="n">
        <v>690298.2</v>
      </c>
      <c r="L261" s="12" t="n">
        <v>173843.76</v>
      </c>
      <c r="M261" s="9" t="n">
        <v>11</v>
      </c>
      <c r="N261" s="12" t="n">
        <v>708463.3099999999</v>
      </c>
      <c r="O261" s="12" t="n">
        <v>708463.3099999999</v>
      </c>
      <c r="P261" s="12" t="n">
        <v>2070000</v>
      </c>
      <c r="Q261" s="9" t="inlineStr">
        <is>
          <t>Low</t>
        </is>
      </c>
      <c r="R261" s="11">
        <f>IFERROR(O261/K261,0)</f>
        <v/>
      </c>
    </row>
    <row r="262">
      <c r="A262" s="9" t="inlineStr">
        <is>
          <t>T0611</t>
        </is>
      </c>
      <c r="B262" s="9" t="inlineStr">
        <is>
          <t>Evergreen General</t>
        </is>
      </c>
      <c r="C262" s="9" t="inlineStr">
        <is>
          <t>Specialty</t>
        </is>
      </c>
      <c r="D262" s="9" t="inlineStr">
        <is>
          <t>North America</t>
        </is>
      </c>
      <c r="E262" s="9" t="inlineStr">
        <is>
          <t>James Whitfield</t>
        </is>
      </c>
      <c r="F262" s="9" t="inlineStr">
        <is>
          <t>Excess of Loss</t>
        </is>
      </c>
      <c r="G262" s="9" t="n">
        <v>2023</v>
      </c>
      <c r="H262" s="12" t="n">
        <v>2200000</v>
      </c>
      <c r="I262" s="12" t="n">
        <v>282289.68</v>
      </c>
      <c r="J262" s="12" t="n">
        <v>16230.24</v>
      </c>
      <c r="K262" s="12" t="n">
        <v>282289.68</v>
      </c>
      <c r="L262" s="12" t="n">
        <v>15495</v>
      </c>
      <c r="M262" s="9" t="n">
        <v>10</v>
      </c>
      <c r="N262" s="12" t="n">
        <v>824051.1899999999</v>
      </c>
      <c r="O262" s="12" t="n">
        <v>3226670.7</v>
      </c>
      <c r="P262" s="12" t="n">
        <v>2200000</v>
      </c>
      <c r="Q262" s="9" t="inlineStr">
        <is>
          <t>Critical</t>
        </is>
      </c>
      <c r="R262" s="11">
        <f>IFERROR(O262/K262,0)</f>
        <v/>
      </c>
    </row>
    <row r="263">
      <c r="A263" s="9" t="inlineStr">
        <is>
          <t>T0612</t>
        </is>
      </c>
      <c r="B263" s="9" t="inlineStr">
        <is>
          <t>Orion General</t>
        </is>
      </c>
      <c r="C263" s="9" t="inlineStr">
        <is>
          <t>Casualty</t>
        </is>
      </c>
      <c r="D263" s="9" t="inlineStr">
        <is>
          <t>North America</t>
        </is>
      </c>
      <c r="E263" s="9" t="inlineStr">
        <is>
          <t>Sophie Laurent</t>
        </is>
      </c>
      <c r="F263" s="9" t="inlineStr">
        <is>
          <t>Excess of Loss</t>
        </is>
      </c>
      <c r="G263" s="9" t="n">
        <v>2022</v>
      </c>
      <c r="H263" s="12" t="n">
        <v>37800000</v>
      </c>
      <c r="I263" s="12" t="n">
        <v>3012294</v>
      </c>
      <c r="J263" s="12" t="n">
        <v>192127.08</v>
      </c>
      <c r="K263" s="12" t="n">
        <v>3012294</v>
      </c>
      <c r="L263" s="12" t="n">
        <v>205703.4</v>
      </c>
      <c r="M263" s="9" t="n">
        <v>16</v>
      </c>
      <c r="N263" s="12" t="n">
        <v>1338404.44</v>
      </c>
      <c r="O263" s="12" t="n">
        <v>1348947.44</v>
      </c>
      <c r="P263" s="12" t="n">
        <v>37800000</v>
      </c>
      <c r="Q263" s="9" t="inlineStr">
        <is>
          <t>Low</t>
        </is>
      </c>
      <c r="R263" s="11">
        <f>IFERROR(O263/K263,0)</f>
        <v/>
      </c>
    </row>
    <row r="264">
      <c r="A264" s="9" t="inlineStr">
        <is>
          <t>T0613</t>
        </is>
      </c>
      <c r="B264" s="9" t="inlineStr">
        <is>
          <t>Atlas Assurance</t>
        </is>
      </c>
      <c r="C264" s="9" t="inlineStr">
        <is>
          <t>Professional</t>
        </is>
      </c>
      <c r="D264" s="9" t="inlineStr">
        <is>
          <t>North America</t>
        </is>
      </c>
      <c r="E264" s="9" t="inlineStr">
        <is>
          <t>Kenji Sato</t>
        </is>
      </c>
      <c r="F264" s="9" t="inlineStr">
        <is>
          <t>Proportional</t>
        </is>
      </c>
      <c r="G264" s="9" t="n">
        <v>2025</v>
      </c>
      <c r="H264" s="12" t="n">
        <v>7900000</v>
      </c>
      <c r="I264" s="12" t="n">
        <v>836673.36</v>
      </c>
      <c r="J264" s="12" t="n">
        <v>82491.95999999999</v>
      </c>
      <c r="K264" s="12" t="n">
        <v>834349.27</v>
      </c>
      <c r="L264" s="12" t="n">
        <v>245827.5244523569</v>
      </c>
      <c r="M264" s="9" t="n">
        <v>13</v>
      </c>
      <c r="N264" s="12" t="n">
        <v>260072.36</v>
      </c>
      <c r="O264" s="12" t="n">
        <v>649008.1899999999</v>
      </c>
      <c r="P264" s="12" t="n">
        <v>2370000</v>
      </c>
      <c r="Q264" s="9" t="inlineStr">
        <is>
          <t>Low</t>
        </is>
      </c>
      <c r="R264" s="11">
        <f>IFERROR(O264/K264,0)</f>
        <v/>
      </c>
    </row>
    <row r="265">
      <c r="A265" s="9" t="inlineStr">
        <is>
          <t>T0623</t>
        </is>
      </c>
      <c r="B265" s="9" t="inlineStr">
        <is>
          <t>Harbor Mutual</t>
        </is>
      </c>
      <c r="C265" s="9" t="inlineStr">
        <is>
          <t>Financial Lines</t>
        </is>
      </c>
      <c r="D265" s="9" t="inlineStr">
        <is>
          <t>North America</t>
        </is>
      </c>
      <c r="E265" s="9" t="inlineStr">
        <is>
          <t>Kenji Sato</t>
        </is>
      </c>
      <c r="F265" s="9" t="inlineStr">
        <is>
          <t>Facultative</t>
        </is>
      </c>
      <c r="G265" s="9" t="n">
        <v>2026</v>
      </c>
      <c r="H265" s="12" t="n">
        <v>13400000</v>
      </c>
      <c r="I265" s="12" t="n">
        <v>412733.55</v>
      </c>
      <c r="J265" s="12" t="n">
        <v>23350.65</v>
      </c>
      <c r="K265" s="12" t="n">
        <v>338441.51</v>
      </c>
      <c r="L265" s="12" t="n">
        <v>65273.18880713599</v>
      </c>
      <c r="M265" s="9" t="n">
        <v>6</v>
      </c>
      <c r="N265" s="12" t="n">
        <v>62883.88</v>
      </c>
      <c r="O265" s="12" t="n">
        <v>125175.6</v>
      </c>
      <c r="P265" s="12" t="n">
        <v>13400000</v>
      </c>
      <c r="Q265" s="9" t="inlineStr">
        <is>
          <t>Low</t>
        </is>
      </c>
      <c r="R265" s="11">
        <f>IFERROR(O265/K265,0)</f>
        <v/>
      </c>
    </row>
    <row r="266">
      <c r="A266" s="9" t="inlineStr">
        <is>
          <t>T0629</t>
        </is>
      </c>
      <c r="B266" s="9" t="inlineStr">
        <is>
          <t>Harbor General</t>
        </is>
      </c>
      <c r="C266" s="9" t="inlineStr">
        <is>
          <t>Specialty</t>
        </is>
      </c>
      <c r="D266" s="9" t="inlineStr">
        <is>
          <t>North America</t>
        </is>
      </c>
      <c r="E266" s="9" t="inlineStr">
        <is>
          <t>James Whitfield</t>
        </is>
      </c>
      <c r="F266" s="9" t="inlineStr">
        <is>
          <t>Excess of Loss</t>
        </is>
      </c>
      <c r="G266" s="9" t="n">
        <v>2024</v>
      </c>
      <c r="H266" s="12" t="n">
        <v>5300000</v>
      </c>
      <c r="I266" s="12" t="n">
        <v>492712.5599999999</v>
      </c>
      <c r="J266" s="12" t="n">
        <v>30036.6</v>
      </c>
      <c r="K266" s="12" t="n">
        <v>492712.5599999999</v>
      </c>
      <c r="L266" s="12" t="n">
        <v>50707.8</v>
      </c>
      <c r="M266" s="9" t="n">
        <v>7</v>
      </c>
      <c r="N266" s="12" t="n">
        <v>208740.69</v>
      </c>
      <c r="O266" s="12" t="n">
        <v>308955.27</v>
      </c>
      <c r="P266" s="12" t="n">
        <v>5300000</v>
      </c>
      <c r="Q266" s="9" t="inlineStr">
        <is>
          <t>Low</t>
        </is>
      </c>
      <c r="R266" s="11">
        <f>IFERROR(O266/K266,0)</f>
        <v/>
      </c>
    </row>
    <row r="267">
      <c r="A267" s="9" t="inlineStr">
        <is>
          <t>T0630</t>
        </is>
      </c>
      <c r="B267" s="9" t="inlineStr">
        <is>
          <t>Meridian Mutual</t>
        </is>
      </c>
      <c r="C267" s="9" t="inlineStr">
        <is>
          <t>Casualty</t>
        </is>
      </c>
      <c r="D267" s="9" t="inlineStr">
        <is>
          <t>North America</t>
        </is>
      </c>
      <c r="E267" s="9" t="inlineStr">
        <is>
          <t>Omar Haddad</t>
        </is>
      </c>
      <c r="F267" s="9" t="inlineStr">
        <is>
          <t>Excess of Loss</t>
        </is>
      </c>
      <c r="G267" s="9" t="n">
        <v>2022</v>
      </c>
      <c r="H267" s="12" t="n">
        <v>7000000</v>
      </c>
      <c r="I267" s="12" t="n">
        <v>986924.3999999999</v>
      </c>
      <c r="J267" s="12" t="n">
        <v>66101.16</v>
      </c>
      <c r="K267" s="12" t="n">
        <v>986924.3999999999</v>
      </c>
      <c r="L267" s="12" t="n">
        <v>83107.08</v>
      </c>
      <c r="M267" s="9" t="n">
        <v>9</v>
      </c>
      <c r="N267" s="12" t="n">
        <v>835199</v>
      </c>
      <c r="O267" s="12" t="n">
        <v>884878.04</v>
      </c>
      <c r="P267" s="12" t="n">
        <v>7000000</v>
      </c>
      <c r="Q267" s="9" t="inlineStr">
        <is>
          <t>Low</t>
        </is>
      </c>
      <c r="R267" s="11">
        <f>IFERROR(O267/K267,0)</f>
        <v/>
      </c>
    </row>
    <row r="268">
      <c r="A268" s="9" t="inlineStr">
        <is>
          <t>T0631</t>
        </is>
      </c>
      <c r="B268" s="9" t="inlineStr">
        <is>
          <t>Evergreen Insurance</t>
        </is>
      </c>
      <c r="C268" s="9" t="inlineStr">
        <is>
          <t>Financial Lines</t>
        </is>
      </c>
      <c r="D268" s="9" t="inlineStr">
        <is>
          <t>North America</t>
        </is>
      </c>
      <c r="E268" s="9" t="inlineStr">
        <is>
          <t>Carlos Ibarra</t>
        </is>
      </c>
      <c r="F268" s="9" t="inlineStr">
        <is>
          <t>Excess of Loss</t>
        </is>
      </c>
      <c r="G268" s="9" t="n">
        <v>2022</v>
      </c>
      <c r="H268" s="12" t="n">
        <v>2700000</v>
      </c>
      <c r="I268" s="12" t="n">
        <v>432206.28</v>
      </c>
      <c r="J268" s="12" t="n">
        <v>24697.56</v>
      </c>
      <c r="K268" s="12" t="n">
        <v>432206.28</v>
      </c>
      <c r="L268" s="12" t="n">
        <v>26843.88</v>
      </c>
      <c r="M268" s="9" t="n">
        <v>9</v>
      </c>
      <c r="N268" s="12" t="n">
        <v>111403.41</v>
      </c>
      <c r="O268" s="12" t="n">
        <v>112757</v>
      </c>
      <c r="P268" s="12" t="n">
        <v>2700000</v>
      </c>
      <c r="Q268" s="9" t="inlineStr">
        <is>
          <t>Low</t>
        </is>
      </c>
      <c r="R268" s="11">
        <f>IFERROR(O268/K268,0)</f>
        <v/>
      </c>
    </row>
    <row r="269">
      <c r="A269" s="9" t="inlineStr">
        <is>
          <t>T0633</t>
        </is>
      </c>
      <c r="B269" s="9" t="inlineStr">
        <is>
          <t>Harbor Assurance</t>
        </is>
      </c>
      <c r="C269" s="9" t="inlineStr">
        <is>
          <t>Professional</t>
        </is>
      </c>
      <c r="D269" s="9" t="inlineStr">
        <is>
          <t>North America</t>
        </is>
      </c>
      <c r="E269" s="9" t="inlineStr">
        <is>
          <t>Aarav Mehta</t>
        </is>
      </c>
      <c r="F269" s="9" t="inlineStr">
        <is>
          <t>Excess of Loss</t>
        </is>
      </c>
      <c r="G269" s="9" t="n">
        <v>2025</v>
      </c>
      <c r="H269" s="12" t="n">
        <v>12700000</v>
      </c>
      <c r="I269" s="12" t="n">
        <v>1219748.16</v>
      </c>
      <c r="J269" s="12" t="n">
        <v>123124.92</v>
      </c>
      <c r="K269" s="12" t="n">
        <v>1219748.16</v>
      </c>
      <c r="L269" s="12" t="n">
        <v>83201.64</v>
      </c>
      <c r="M269" s="9" t="n">
        <v>7</v>
      </c>
      <c r="N269" s="12" t="n">
        <v>249347.18</v>
      </c>
      <c r="O269" s="12" t="n">
        <v>484423.49</v>
      </c>
      <c r="P269" s="12" t="n">
        <v>12700000</v>
      </c>
      <c r="Q269" s="9" t="inlineStr">
        <is>
          <t>Low</t>
        </is>
      </c>
      <c r="R269" s="11">
        <f>IFERROR(O269/K269,0)</f>
        <v/>
      </c>
    </row>
    <row r="270">
      <c r="A270" s="9" t="inlineStr">
        <is>
          <t>T0634</t>
        </is>
      </c>
      <c r="B270" s="9" t="inlineStr">
        <is>
          <t>Meridian Mutual</t>
        </is>
      </c>
      <c r="C270" s="9" t="inlineStr">
        <is>
          <t>Financial Lines</t>
        </is>
      </c>
      <c r="D270" s="9" t="inlineStr">
        <is>
          <t>North America</t>
        </is>
      </c>
      <c r="E270" s="9" t="inlineStr">
        <is>
          <t>James Whitfield</t>
        </is>
      </c>
      <c r="F270" s="9" t="inlineStr">
        <is>
          <t>Excess of Loss</t>
        </is>
      </c>
      <c r="G270" s="9" t="n">
        <v>2024</v>
      </c>
      <c r="H270" s="12" t="n">
        <v>8700000</v>
      </c>
      <c r="I270" s="12" t="n">
        <v>1037709.48</v>
      </c>
      <c r="J270" s="12" t="n">
        <v>77757.72</v>
      </c>
      <c r="K270" s="12" t="n">
        <v>1037709.48</v>
      </c>
      <c r="L270" s="12" t="n">
        <v>66077.39999999999</v>
      </c>
      <c r="M270" s="9" t="n">
        <v>2</v>
      </c>
      <c r="N270" s="12" t="n">
        <v>135301.65</v>
      </c>
      <c r="O270" s="12" t="n">
        <v>503929.26</v>
      </c>
      <c r="P270" s="12" t="n">
        <v>8700000</v>
      </c>
      <c r="Q270" s="9" t="inlineStr">
        <is>
          <t>Low</t>
        </is>
      </c>
      <c r="R270" s="11">
        <f>IFERROR(O270/K270,0)</f>
        <v/>
      </c>
    </row>
    <row r="271">
      <c r="A271" s="9" t="inlineStr">
        <is>
          <t>T0639</t>
        </is>
      </c>
      <c r="B271" s="9" t="inlineStr">
        <is>
          <t>Harbor Mutual</t>
        </is>
      </c>
      <c r="C271" s="9" t="inlineStr">
        <is>
          <t>Specialty</t>
        </is>
      </c>
      <c r="D271" s="9" t="inlineStr">
        <is>
          <t>North America</t>
        </is>
      </c>
      <c r="E271" s="9" t="inlineStr">
        <is>
          <t>James Whitfield</t>
        </is>
      </c>
      <c r="F271" s="9" t="inlineStr">
        <is>
          <t>Proportional</t>
        </is>
      </c>
      <c r="G271" s="9" t="n">
        <v>2024</v>
      </c>
      <c r="H271" s="12" t="n">
        <v>22400000</v>
      </c>
      <c r="I271" s="12" t="n">
        <v>1897949.88</v>
      </c>
      <c r="J271" s="12" t="n">
        <v>144571.8</v>
      </c>
      <c r="K271" s="12" t="n">
        <v>1897949.88</v>
      </c>
      <c r="L271" s="12" t="n">
        <v>514262.28</v>
      </c>
      <c r="M271" s="9" t="n">
        <v>8</v>
      </c>
      <c r="N271" s="12" t="n">
        <v>810187.17</v>
      </c>
      <c r="O271" s="12" t="n">
        <v>929100.84</v>
      </c>
      <c r="P271" s="12" t="n">
        <v>8960000</v>
      </c>
      <c r="Q271" s="9" t="inlineStr">
        <is>
          <t>Low</t>
        </is>
      </c>
      <c r="R271" s="11">
        <f>IFERROR(O271/K271,0)</f>
        <v/>
      </c>
    </row>
    <row r="272">
      <c r="A272" s="9" t="inlineStr">
        <is>
          <t>T0644</t>
        </is>
      </c>
      <c r="B272" s="9" t="inlineStr">
        <is>
          <t>Harbor Indemnity</t>
        </is>
      </c>
      <c r="C272" s="9" t="inlineStr">
        <is>
          <t>Casualty</t>
        </is>
      </c>
      <c r="D272" s="9" t="inlineStr">
        <is>
          <t>North America</t>
        </is>
      </c>
      <c r="E272" s="9" t="inlineStr">
        <is>
          <t>James Whitfield</t>
        </is>
      </c>
      <c r="F272" s="9" t="inlineStr">
        <is>
          <t>Facultative</t>
        </is>
      </c>
      <c r="G272" s="9" t="n">
        <v>2024</v>
      </c>
      <c r="H272" s="12" t="n">
        <v>12500000</v>
      </c>
      <c r="I272" s="12" t="n">
        <v>898236.72</v>
      </c>
      <c r="J272" s="12" t="n">
        <v>49508.88</v>
      </c>
      <c r="K272" s="12" t="n">
        <v>898236.72</v>
      </c>
      <c r="L272" s="12" t="n">
        <v>177126.36</v>
      </c>
      <c r="M272" s="9" t="n">
        <v>10</v>
      </c>
      <c r="N272" s="12" t="n">
        <v>457735.75</v>
      </c>
      <c r="O272" s="12" t="n">
        <v>539523.86</v>
      </c>
      <c r="P272" s="12" t="n">
        <v>12500000</v>
      </c>
      <c r="Q272" s="9" t="inlineStr">
        <is>
          <t>Low</t>
        </is>
      </c>
      <c r="R272" s="11">
        <f>IFERROR(O272/K272,0)</f>
        <v/>
      </c>
    </row>
    <row r="273">
      <c r="A273" s="9" t="inlineStr">
        <is>
          <t>T0649</t>
        </is>
      </c>
      <c r="B273" s="9" t="inlineStr">
        <is>
          <t>Orion General</t>
        </is>
      </c>
      <c r="C273" s="9" t="inlineStr">
        <is>
          <t>Property</t>
        </is>
      </c>
      <c r="D273" s="9" t="inlineStr">
        <is>
          <t>North America</t>
        </is>
      </c>
      <c r="E273" s="9" t="inlineStr">
        <is>
          <t>Sophie Laurent</t>
        </is>
      </c>
      <c r="F273" s="9" t="inlineStr">
        <is>
          <t>Proportional</t>
        </is>
      </c>
      <c r="G273" s="9" t="n">
        <v>2023</v>
      </c>
      <c r="H273" s="12" t="n">
        <v>37100000</v>
      </c>
      <c r="I273" s="12" t="n">
        <v>4041290.64</v>
      </c>
      <c r="J273" s="12" t="n">
        <v>306942.72</v>
      </c>
      <c r="K273" s="12" t="n">
        <v>4041290.64</v>
      </c>
      <c r="L273" s="12" t="n">
        <v>1193129.88</v>
      </c>
      <c r="M273" s="9" t="n">
        <v>11</v>
      </c>
      <c r="N273" s="12" t="n">
        <v>1974136.14</v>
      </c>
      <c r="O273" s="12" t="n">
        <v>2021505.86</v>
      </c>
      <c r="P273" s="12" t="n">
        <v>18550000</v>
      </c>
      <c r="Q273" s="9" t="inlineStr">
        <is>
          <t>Low</t>
        </is>
      </c>
      <c r="R273" s="11">
        <f>IFERROR(O273/K273,0)</f>
        <v/>
      </c>
    </row>
    <row r="274">
      <c r="A274" s="9" t="inlineStr">
        <is>
          <t>T0650</t>
        </is>
      </c>
      <c r="B274" s="9" t="inlineStr">
        <is>
          <t>Evergreen Assurance</t>
        </is>
      </c>
      <c r="C274" s="9" t="inlineStr">
        <is>
          <t>Financial Lines</t>
        </is>
      </c>
      <c r="D274" s="9" t="inlineStr">
        <is>
          <t>North America</t>
        </is>
      </c>
      <c r="E274" s="9" t="inlineStr">
        <is>
          <t>Omar Haddad</t>
        </is>
      </c>
      <c r="F274" s="9" t="inlineStr">
        <is>
          <t>Proportional</t>
        </is>
      </c>
      <c r="G274" s="9" t="n">
        <v>2023</v>
      </c>
      <c r="H274" s="12" t="n">
        <v>6800000</v>
      </c>
      <c r="I274" s="12" t="n">
        <v>690148.5599999999</v>
      </c>
      <c r="J274" s="12" t="n">
        <v>60796.2</v>
      </c>
      <c r="K274" s="12" t="n">
        <v>690148.5599999999</v>
      </c>
      <c r="L274" s="12" t="n">
        <v>215239.68</v>
      </c>
      <c r="M274" s="9" t="n">
        <v>9</v>
      </c>
      <c r="N274" s="12" t="n">
        <v>200705.94</v>
      </c>
      <c r="O274" s="12" t="n">
        <v>200705.94</v>
      </c>
      <c r="P274" s="12" t="n">
        <v>680000</v>
      </c>
      <c r="Q274" s="9" t="inlineStr">
        <is>
          <t>Low</t>
        </is>
      </c>
      <c r="R274" s="11">
        <f>IFERROR(O274/K274,0)</f>
        <v/>
      </c>
    </row>
    <row r="275">
      <c r="A275" s="9" t="inlineStr">
        <is>
          <t>T0651</t>
        </is>
      </c>
      <c r="B275" s="9" t="inlineStr">
        <is>
          <t>Atlas Indemnity</t>
        </is>
      </c>
      <c r="C275" s="9" t="inlineStr">
        <is>
          <t>Financial Lines</t>
        </is>
      </c>
      <c r="D275" s="9" t="inlineStr">
        <is>
          <t>North America</t>
        </is>
      </c>
      <c r="E275" s="9" t="inlineStr">
        <is>
          <t>Omar Haddad</t>
        </is>
      </c>
      <c r="F275" s="9" t="inlineStr">
        <is>
          <t>Excess of Loss</t>
        </is>
      </c>
      <c r="G275" s="9" t="n">
        <v>2025</v>
      </c>
      <c r="H275" s="12" t="n">
        <v>3900000</v>
      </c>
      <c r="I275" s="12" t="n">
        <v>383643</v>
      </c>
      <c r="J275" s="12" t="n">
        <v>34881.24</v>
      </c>
      <c r="K275" s="12" t="n">
        <v>383643</v>
      </c>
      <c r="L275" s="12" t="n">
        <v>24332.16</v>
      </c>
      <c r="M275" s="9" t="n">
        <v>12</v>
      </c>
      <c r="N275" s="12" t="n">
        <v>66650.38</v>
      </c>
      <c r="O275" s="12" t="n">
        <v>106838.49</v>
      </c>
      <c r="P275" s="12" t="n">
        <v>3900000</v>
      </c>
      <c r="Q275" s="9" t="inlineStr">
        <is>
          <t>Low</t>
        </is>
      </c>
      <c r="R275" s="11">
        <f>IFERROR(O275/K275,0)</f>
        <v/>
      </c>
    </row>
    <row r="276">
      <c r="A276" s="9" t="inlineStr">
        <is>
          <t>T0653</t>
        </is>
      </c>
      <c r="B276" s="9" t="inlineStr">
        <is>
          <t>Northwind Insurance</t>
        </is>
      </c>
      <c r="C276" s="9" t="inlineStr">
        <is>
          <t>Property</t>
        </is>
      </c>
      <c r="D276" s="9" t="inlineStr">
        <is>
          <t>North America</t>
        </is>
      </c>
      <c r="E276" s="9" t="inlineStr">
        <is>
          <t>Aarav Mehta</t>
        </is>
      </c>
      <c r="F276" s="9" t="inlineStr">
        <is>
          <t>Facultative</t>
        </is>
      </c>
      <c r="G276" s="9" t="n">
        <v>2021</v>
      </c>
      <c r="H276" s="12" t="n">
        <v>31100000</v>
      </c>
      <c r="I276" s="12" t="n">
        <v>2400543</v>
      </c>
      <c r="J276" s="12" t="n">
        <v>139439.16</v>
      </c>
      <c r="K276" s="12" t="n">
        <v>2400543</v>
      </c>
      <c r="L276" s="12" t="n">
        <v>384040.32</v>
      </c>
      <c r="M276" s="9" t="n">
        <v>12</v>
      </c>
      <c r="N276" s="12" t="n">
        <v>2829473.42</v>
      </c>
      <c r="O276" s="12" t="n">
        <v>3437915.7</v>
      </c>
      <c r="P276" s="12" t="n">
        <v>31100000</v>
      </c>
      <c r="Q276" s="9" t="inlineStr">
        <is>
          <t>Low</t>
        </is>
      </c>
      <c r="R276" s="11">
        <f>IFERROR(O276/K276,0)</f>
        <v/>
      </c>
    </row>
    <row r="277">
      <c r="A277" s="9" t="inlineStr">
        <is>
          <t>T0654</t>
        </is>
      </c>
      <c r="B277" s="9" t="inlineStr">
        <is>
          <t>Harbor Mutual</t>
        </is>
      </c>
      <c r="C277" s="9" t="inlineStr">
        <is>
          <t>Property</t>
        </is>
      </c>
      <c r="D277" s="9" t="inlineStr">
        <is>
          <t>North America</t>
        </is>
      </c>
      <c r="E277" s="9" t="inlineStr">
        <is>
          <t>Carlos Ibarra</t>
        </is>
      </c>
      <c r="F277" s="9" t="inlineStr">
        <is>
          <t>Excess of Loss</t>
        </is>
      </c>
      <c r="G277" s="9" t="n">
        <v>2022</v>
      </c>
      <c r="H277" s="12" t="n">
        <v>7200000</v>
      </c>
      <c r="I277" s="12" t="n">
        <v>859138.92</v>
      </c>
      <c r="J277" s="12" t="n">
        <v>49996.2</v>
      </c>
      <c r="K277" s="12" t="n">
        <v>859138.92</v>
      </c>
      <c r="L277" s="12" t="n">
        <v>50151.48</v>
      </c>
      <c r="M277" s="9" t="n">
        <v>5</v>
      </c>
      <c r="N277" s="12" t="n">
        <v>426355.24</v>
      </c>
      <c r="O277" s="12" t="n">
        <v>496331.24</v>
      </c>
      <c r="P277" s="12" t="n">
        <v>7200000</v>
      </c>
      <c r="Q277" s="9" t="inlineStr">
        <is>
          <t>Low</t>
        </is>
      </c>
      <c r="R277" s="11">
        <f>IFERROR(O277/K277,0)</f>
        <v/>
      </c>
    </row>
    <row r="278">
      <c r="A278" s="9" t="inlineStr">
        <is>
          <t>T0656</t>
        </is>
      </c>
      <c r="B278" s="9" t="inlineStr">
        <is>
          <t>Crown General</t>
        </is>
      </c>
      <c r="C278" s="9" t="inlineStr">
        <is>
          <t>Property</t>
        </is>
      </c>
      <c r="D278" s="9" t="inlineStr">
        <is>
          <t>North America</t>
        </is>
      </c>
      <c r="E278" s="9" t="inlineStr">
        <is>
          <t>James Whitfield</t>
        </is>
      </c>
      <c r="F278" s="9" t="inlineStr">
        <is>
          <t>Facultative</t>
        </is>
      </c>
      <c r="G278" s="9" t="n">
        <v>2022</v>
      </c>
      <c r="H278" s="12" t="n">
        <v>12900000</v>
      </c>
      <c r="I278" s="12" t="n">
        <v>1258742.76</v>
      </c>
      <c r="J278" s="12" t="n">
        <v>124739.04</v>
      </c>
      <c r="K278" s="12" t="n">
        <v>1258742.76</v>
      </c>
      <c r="L278" s="12" t="n">
        <v>224429.88</v>
      </c>
      <c r="M278" s="9" t="n">
        <v>8</v>
      </c>
      <c r="N278" s="12" t="n">
        <v>913086.6799999999</v>
      </c>
      <c r="O278" s="12" t="n">
        <v>913086.6799999999</v>
      </c>
      <c r="P278" s="12" t="n">
        <v>12900000</v>
      </c>
      <c r="Q278" s="9" t="inlineStr">
        <is>
          <t>Low</t>
        </is>
      </c>
      <c r="R278" s="11">
        <f>IFERROR(O278/K278,0)</f>
        <v/>
      </c>
    </row>
    <row r="279">
      <c r="A279" s="9" t="inlineStr">
        <is>
          <t>T0657</t>
        </is>
      </c>
      <c r="B279" s="9" t="inlineStr">
        <is>
          <t>Atlas Indemnity</t>
        </is>
      </c>
      <c r="C279" s="9" t="inlineStr">
        <is>
          <t>Specialty</t>
        </is>
      </c>
      <c r="D279" s="9" t="inlineStr">
        <is>
          <t>North America</t>
        </is>
      </c>
      <c r="E279" s="9" t="inlineStr">
        <is>
          <t>Hannah Weber</t>
        </is>
      </c>
      <c r="F279" s="9" t="inlineStr">
        <is>
          <t>Facultative</t>
        </is>
      </c>
      <c r="G279" s="9" t="n">
        <v>2024</v>
      </c>
      <c r="H279" s="12" t="n">
        <v>19600000</v>
      </c>
      <c r="I279" s="12" t="n">
        <v>1608812.88</v>
      </c>
      <c r="J279" s="12" t="n">
        <v>173384.52</v>
      </c>
      <c r="K279" s="12" t="n">
        <v>1608812.88</v>
      </c>
      <c r="L279" s="12" t="n">
        <v>254952.84</v>
      </c>
      <c r="M279" s="9" t="n">
        <v>13</v>
      </c>
      <c r="N279" s="12" t="n">
        <v>884820.9</v>
      </c>
      <c r="O279" s="12" t="n">
        <v>951717.88</v>
      </c>
      <c r="P279" s="12" t="n">
        <v>19600000</v>
      </c>
      <c r="Q279" s="9" t="inlineStr">
        <is>
          <t>Low</t>
        </is>
      </c>
      <c r="R279" s="11">
        <f>IFERROR(O279/K279,0)</f>
        <v/>
      </c>
    </row>
    <row r="280">
      <c r="A280" s="9" t="inlineStr">
        <is>
          <t>T0658</t>
        </is>
      </c>
      <c r="B280" s="9" t="inlineStr">
        <is>
          <t>Cobalt Indemnity</t>
        </is>
      </c>
      <c r="C280" s="9" t="inlineStr">
        <is>
          <t>Professional</t>
        </is>
      </c>
      <c r="D280" s="9" t="inlineStr">
        <is>
          <t>North America</t>
        </is>
      </c>
      <c r="E280" s="9" t="inlineStr">
        <is>
          <t>Hannah Weber</t>
        </is>
      </c>
      <c r="F280" s="9" t="inlineStr">
        <is>
          <t>Excess of Loss</t>
        </is>
      </c>
      <c r="G280" s="9" t="n">
        <v>2025</v>
      </c>
      <c r="H280" s="12" t="n">
        <v>6100000</v>
      </c>
      <c r="I280" s="12" t="n">
        <v>535449.3</v>
      </c>
      <c r="J280" s="12" t="n">
        <v>58887.39999999999</v>
      </c>
      <c r="K280" s="12" t="n">
        <v>524740.3100000001</v>
      </c>
      <c r="L280" s="12" t="n">
        <v>29499.17577513315</v>
      </c>
      <c r="M280" s="9" t="n">
        <v>2</v>
      </c>
      <c r="N280" s="12" t="n">
        <v>265456.12</v>
      </c>
      <c r="O280" s="12" t="n">
        <v>333734.12</v>
      </c>
      <c r="P280" s="12" t="n">
        <v>6100000</v>
      </c>
      <c r="Q280" s="9" t="inlineStr">
        <is>
          <t>Low</t>
        </is>
      </c>
      <c r="R280" s="11">
        <f>IFERROR(O280/K280,0)</f>
        <v/>
      </c>
    </row>
    <row r="281">
      <c r="A281" s="9" t="inlineStr">
        <is>
          <t>T0662</t>
        </is>
      </c>
      <c r="B281" s="9" t="inlineStr">
        <is>
          <t>Cobalt Indemnity</t>
        </is>
      </c>
      <c r="C281" s="9" t="inlineStr">
        <is>
          <t>Property</t>
        </is>
      </c>
      <c r="D281" s="9" t="inlineStr">
        <is>
          <t>North America</t>
        </is>
      </c>
      <c r="E281" s="9" t="inlineStr">
        <is>
          <t>Sophie Laurent</t>
        </is>
      </c>
      <c r="F281" s="9" t="inlineStr">
        <is>
          <t>Excess of Loss</t>
        </is>
      </c>
      <c r="G281" s="9" t="n">
        <v>2026</v>
      </c>
      <c r="H281" s="12" t="n">
        <v>11700000</v>
      </c>
      <c r="I281" s="12" t="n">
        <v>785922.64</v>
      </c>
      <c r="J281" s="12" t="n">
        <v>67005.67999999999</v>
      </c>
      <c r="K281" s="12" t="n">
        <v>762999.9</v>
      </c>
      <c r="L281" s="12" t="n">
        <v>73314.92601898834</v>
      </c>
      <c r="M281" s="9" t="n">
        <v>7</v>
      </c>
      <c r="N281" s="12" t="n">
        <v>114469.95</v>
      </c>
      <c r="O281" s="12" t="n">
        <v>666735.27</v>
      </c>
      <c r="P281" s="12" t="n">
        <v>11700000</v>
      </c>
      <c r="Q281" s="9" t="inlineStr">
        <is>
          <t>Low</t>
        </is>
      </c>
      <c r="R281" s="11">
        <f>IFERROR(O281/K281,0)</f>
        <v/>
      </c>
    </row>
    <row r="282">
      <c r="A282" s="9" t="inlineStr">
        <is>
          <t>T0664</t>
        </is>
      </c>
      <c r="B282" s="9" t="inlineStr">
        <is>
          <t>Orion General</t>
        </is>
      </c>
      <c r="C282" s="9" t="inlineStr">
        <is>
          <t>Professional</t>
        </is>
      </c>
      <c r="D282" s="9" t="inlineStr">
        <is>
          <t>North America</t>
        </is>
      </c>
      <c r="E282" s="9" t="inlineStr">
        <is>
          <t>James Whitfield</t>
        </is>
      </c>
      <c r="F282" s="9" t="inlineStr">
        <is>
          <t>Excess of Loss</t>
        </is>
      </c>
      <c r="G282" s="9" t="n">
        <v>2021</v>
      </c>
      <c r="H282" s="12" t="n">
        <v>25500000</v>
      </c>
      <c r="I282" s="12" t="n">
        <v>2564179.08</v>
      </c>
      <c r="J282" s="12" t="n">
        <v>255427.2</v>
      </c>
      <c r="K282" s="12" t="n">
        <v>2564179.08</v>
      </c>
      <c r="L282" s="12" t="n">
        <v>297284.4</v>
      </c>
      <c r="M282" s="9" t="n">
        <v>7</v>
      </c>
      <c r="N282" s="12" t="n">
        <v>917424.9</v>
      </c>
      <c r="O282" s="12" t="n">
        <v>1014413.02</v>
      </c>
      <c r="P282" s="12" t="n">
        <v>25500000</v>
      </c>
      <c r="Q282" s="9" t="inlineStr">
        <is>
          <t>Low</t>
        </is>
      </c>
      <c r="R282" s="11">
        <f>IFERROR(O282/K282,0)</f>
        <v/>
      </c>
    </row>
    <row r="283">
      <c r="A283" s="9" t="inlineStr">
        <is>
          <t>T0665</t>
        </is>
      </c>
      <c r="B283" s="9" t="inlineStr">
        <is>
          <t>Vantage Indemnity</t>
        </is>
      </c>
      <c r="C283" s="9" t="inlineStr">
        <is>
          <t>Financial Lines</t>
        </is>
      </c>
      <c r="D283" s="9" t="inlineStr">
        <is>
          <t>North America</t>
        </is>
      </c>
      <c r="E283" s="9" t="inlineStr">
        <is>
          <t>Omar Haddad</t>
        </is>
      </c>
      <c r="F283" s="9" t="inlineStr">
        <is>
          <t>Excess of Loss</t>
        </is>
      </c>
      <c r="G283" s="9" t="n">
        <v>2023</v>
      </c>
      <c r="H283" s="12" t="n">
        <v>11600000</v>
      </c>
      <c r="I283" s="12" t="n">
        <v>1189224.48</v>
      </c>
      <c r="J283" s="12" t="n">
        <v>124195.8</v>
      </c>
      <c r="K283" s="12" t="n">
        <v>1189224.48</v>
      </c>
      <c r="L283" s="12" t="n">
        <v>105801</v>
      </c>
      <c r="M283" s="9" t="n">
        <v>8</v>
      </c>
      <c r="N283" s="12" t="n">
        <v>617771.33</v>
      </c>
      <c r="O283" s="12" t="n">
        <v>663999.9300000001</v>
      </c>
      <c r="P283" s="12" t="n">
        <v>11600000</v>
      </c>
      <c r="Q283" s="9" t="inlineStr">
        <is>
          <t>Low</t>
        </is>
      </c>
      <c r="R283" s="11">
        <f>IFERROR(O283/K283,0)</f>
        <v/>
      </c>
    </row>
    <row r="284">
      <c r="A284" s="9" t="inlineStr">
        <is>
          <t>T0669</t>
        </is>
      </c>
      <c r="B284" s="9" t="inlineStr">
        <is>
          <t>Crown General</t>
        </is>
      </c>
      <c r="C284" s="9" t="inlineStr">
        <is>
          <t>Property</t>
        </is>
      </c>
      <c r="D284" s="9" t="inlineStr">
        <is>
          <t>North America</t>
        </is>
      </c>
      <c r="E284" s="9" t="inlineStr">
        <is>
          <t>Omar Haddad</t>
        </is>
      </c>
      <c r="F284" s="9" t="inlineStr">
        <is>
          <t>Proportional</t>
        </is>
      </c>
      <c r="G284" s="9" t="n">
        <v>2022</v>
      </c>
      <c r="H284" s="12" t="n">
        <v>10400000</v>
      </c>
      <c r="I284" s="12" t="n">
        <v>1290103.2</v>
      </c>
      <c r="J284" s="12" t="n">
        <v>124255.68</v>
      </c>
      <c r="K284" s="12" t="n">
        <v>1290103.2</v>
      </c>
      <c r="L284" s="12" t="n">
        <v>348883.2</v>
      </c>
      <c r="M284" s="9" t="n">
        <v>9</v>
      </c>
      <c r="N284" s="12" t="n">
        <v>740139.46</v>
      </c>
      <c r="O284" s="12" t="n">
        <v>858658.61</v>
      </c>
      <c r="P284" s="12" t="n">
        <v>5200000</v>
      </c>
      <c r="Q284" s="9" t="inlineStr">
        <is>
          <t>Low</t>
        </is>
      </c>
      <c r="R284" s="11">
        <f>IFERROR(O284/K284,0)</f>
        <v/>
      </c>
    </row>
    <row r="285">
      <c r="A285" s="9" t="inlineStr">
        <is>
          <t>T0670</t>
        </is>
      </c>
      <c r="B285" s="9" t="inlineStr">
        <is>
          <t>Northwind Indemnity</t>
        </is>
      </c>
      <c r="C285" s="9" t="inlineStr">
        <is>
          <t>Specialty</t>
        </is>
      </c>
      <c r="D285" s="9" t="inlineStr">
        <is>
          <t>North America</t>
        </is>
      </c>
      <c r="E285" s="9" t="inlineStr">
        <is>
          <t>Priya Nair</t>
        </is>
      </c>
      <c r="F285" s="9" t="inlineStr">
        <is>
          <t>Proportional</t>
        </is>
      </c>
      <c r="G285" s="9" t="n">
        <v>2025</v>
      </c>
      <c r="H285" s="12" t="n">
        <v>19000000</v>
      </c>
      <c r="I285" s="12" t="n">
        <v>1714418.64</v>
      </c>
      <c r="J285" s="12" t="n">
        <v>189780.6</v>
      </c>
      <c r="K285" s="12" t="n">
        <v>1714418.64</v>
      </c>
      <c r="L285" s="12" t="n">
        <v>503528.52</v>
      </c>
      <c r="M285" s="9" t="n">
        <v>9</v>
      </c>
      <c r="N285" s="12" t="n">
        <v>408913.41</v>
      </c>
      <c r="O285" s="12" t="n">
        <v>866980.0800000001</v>
      </c>
      <c r="P285" s="12" t="n">
        <v>5700000</v>
      </c>
      <c r="Q285" s="9" t="inlineStr">
        <is>
          <t>Low</t>
        </is>
      </c>
      <c r="R285" s="11">
        <f>IFERROR(O285/K285,0)</f>
        <v/>
      </c>
    </row>
    <row r="286">
      <c r="A286" s="9" t="inlineStr">
        <is>
          <t>T0671</t>
        </is>
      </c>
      <c r="B286" s="9" t="inlineStr">
        <is>
          <t>Summit Assurance</t>
        </is>
      </c>
      <c r="C286" s="9" t="inlineStr">
        <is>
          <t>Casualty</t>
        </is>
      </c>
      <c r="D286" s="9" t="inlineStr">
        <is>
          <t>North America</t>
        </is>
      </c>
      <c r="E286" s="9" t="inlineStr">
        <is>
          <t>Carlos Ibarra</t>
        </is>
      </c>
      <c r="F286" s="9" t="inlineStr">
        <is>
          <t>Excess of Loss</t>
        </is>
      </c>
      <c r="G286" s="9" t="n">
        <v>2023</v>
      </c>
      <c r="H286" s="12" t="n">
        <v>12200000</v>
      </c>
      <c r="I286" s="12" t="n">
        <v>1086314.4</v>
      </c>
      <c r="J286" s="12" t="n">
        <v>126617.4</v>
      </c>
      <c r="K286" s="12" t="n">
        <v>1086314.4</v>
      </c>
      <c r="L286" s="12" t="n">
        <v>126076.2</v>
      </c>
      <c r="M286" s="9" t="n">
        <v>9</v>
      </c>
      <c r="N286" s="12" t="n">
        <v>991410.6799999999</v>
      </c>
      <c r="O286" s="12" t="n">
        <v>991410.6799999999</v>
      </c>
      <c r="P286" s="12" t="n">
        <v>12200000</v>
      </c>
      <c r="Q286" s="9" t="inlineStr">
        <is>
          <t>Low</t>
        </is>
      </c>
      <c r="R286" s="11">
        <f>IFERROR(O286/K286,0)</f>
        <v/>
      </c>
    </row>
    <row r="287">
      <c r="A287" s="9" t="inlineStr">
        <is>
          <t>T0676</t>
        </is>
      </c>
      <c r="B287" s="9" t="inlineStr">
        <is>
          <t>Evergreen General</t>
        </is>
      </c>
      <c r="C287" s="9" t="inlineStr">
        <is>
          <t>Casualty</t>
        </is>
      </c>
      <c r="D287" s="9" t="inlineStr">
        <is>
          <t>North America</t>
        </is>
      </c>
      <c r="E287" s="9" t="inlineStr">
        <is>
          <t>James Whitfield</t>
        </is>
      </c>
      <c r="F287" s="9" t="inlineStr">
        <is>
          <t>Excess of Loss</t>
        </is>
      </c>
      <c r="G287" s="9" t="n">
        <v>2021</v>
      </c>
      <c r="H287" s="12" t="n">
        <v>13000000</v>
      </c>
      <c r="I287" s="12" t="n">
        <v>1018736.04</v>
      </c>
      <c r="J287" s="12" t="n">
        <v>58625.16</v>
      </c>
      <c r="K287" s="12" t="n">
        <v>1018736.04</v>
      </c>
      <c r="L287" s="12" t="n">
        <v>51308.75999999999</v>
      </c>
      <c r="M287" s="9" t="n">
        <v>6</v>
      </c>
      <c r="N287" s="12" t="n">
        <v>726494.0700000001</v>
      </c>
      <c r="O287" s="12" t="n">
        <v>807685.4600000001</v>
      </c>
      <c r="P287" s="12" t="n">
        <v>13000000</v>
      </c>
      <c r="Q287" s="9" t="inlineStr">
        <is>
          <t>Low</t>
        </is>
      </c>
      <c r="R287" s="11">
        <f>IFERROR(O287/K287,0)</f>
        <v/>
      </c>
    </row>
    <row r="288">
      <c r="A288" s="9" t="inlineStr">
        <is>
          <t>T0677</t>
        </is>
      </c>
      <c r="B288" s="9" t="inlineStr">
        <is>
          <t>Summit General</t>
        </is>
      </c>
      <c r="C288" s="9" t="inlineStr">
        <is>
          <t>Property</t>
        </is>
      </c>
      <c r="D288" s="9" t="inlineStr">
        <is>
          <t>North America</t>
        </is>
      </c>
      <c r="E288" s="9" t="inlineStr">
        <is>
          <t>Hannah Weber</t>
        </is>
      </c>
      <c r="F288" s="9" t="inlineStr">
        <is>
          <t>Proportional</t>
        </is>
      </c>
      <c r="G288" s="9" t="n">
        <v>2023</v>
      </c>
      <c r="H288" s="12" t="n">
        <v>16800000</v>
      </c>
      <c r="I288" s="12" t="n">
        <v>1208580.36</v>
      </c>
      <c r="J288" s="12" t="n">
        <v>81388.31999999999</v>
      </c>
      <c r="K288" s="12" t="n">
        <v>1208580.36</v>
      </c>
      <c r="L288" s="12" t="n">
        <v>272824.8</v>
      </c>
      <c r="M288" s="9" t="n">
        <v>6</v>
      </c>
      <c r="N288" s="12" t="n">
        <v>552022.5</v>
      </c>
      <c r="O288" s="12" t="n">
        <v>640023.48</v>
      </c>
      <c r="P288" s="12" t="n">
        <v>4200000</v>
      </c>
      <c r="Q288" s="9" t="inlineStr">
        <is>
          <t>Low</t>
        </is>
      </c>
      <c r="R288" s="11">
        <f>IFERROR(O288/K288,0)</f>
        <v/>
      </c>
    </row>
    <row r="289">
      <c r="A289" s="9" t="inlineStr">
        <is>
          <t>T0679</t>
        </is>
      </c>
      <c r="B289" s="9" t="inlineStr">
        <is>
          <t>Orion General</t>
        </is>
      </c>
      <c r="C289" s="9" t="inlineStr">
        <is>
          <t>Property</t>
        </is>
      </c>
      <c r="D289" s="9" t="inlineStr">
        <is>
          <t>North America</t>
        </is>
      </c>
      <c r="E289" s="9" t="inlineStr">
        <is>
          <t>Hannah Weber</t>
        </is>
      </c>
      <c r="F289" s="9" t="inlineStr">
        <is>
          <t>Proportional</t>
        </is>
      </c>
      <c r="G289" s="9" t="n">
        <v>2026</v>
      </c>
      <c r="H289" s="12" t="n">
        <v>7900000</v>
      </c>
      <c r="I289" s="12" t="n">
        <v>360424.75</v>
      </c>
      <c r="J289" s="12" t="n">
        <v>26841.5</v>
      </c>
      <c r="K289" s="12" t="n">
        <v>317173.78</v>
      </c>
      <c r="L289" s="12" t="n">
        <v>91625.60000000001</v>
      </c>
      <c r="M289" s="9" t="n">
        <v>4</v>
      </c>
      <c r="N289" s="12" t="n">
        <v>131601.76</v>
      </c>
      <c r="O289" s="12" t="n">
        <v>147772.84</v>
      </c>
      <c r="P289" s="12" t="n">
        <v>1975000</v>
      </c>
      <c r="Q289" s="9" t="inlineStr">
        <is>
          <t>Low</t>
        </is>
      </c>
      <c r="R289" s="11">
        <f>IFERROR(O289/K289,0)</f>
        <v/>
      </c>
    </row>
    <row r="290">
      <c r="A290" s="9" t="inlineStr">
        <is>
          <t>T0680</t>
        </is>
      </c>
      <c r="B290" s="9" t="inlineStr">
        <is>
          <t>Meridian General</t>
        </is>
      </c>
      <c r="C290" s="9" t="inlineStr">
        <is>
          <t>Property</t>
        </is>
      </c>
      <c r="D290" s="9" t="inlineStr">
        <is>
          <t>North America</t>
        </is>
      </c>
      <c r="E290" s="9" t="inlineStr">
        <is>
          <t>Hannah Weber</t>
        </is>
      </c>
      <c r="F290" s="9" t="inlineStr">
        <is>
          <t>Excess of Loss</t>
        </is>
      </c>
      <c r="G290" s="9" t="n">
        <v>2022</v>
      </c>
      <c r="H290" s="12" t="n">
        <v>23700000</v>
      </c>
      <c r="I290" s="12" t="n">
        <v>1975597.92</v>
      </c>
      <c r="J290" s="12" t="n">
        <v>218473.8</v>
      </c>
      <c r="K290" s="12" t="n">
        <v>1975597.92</v>
      </c>
      <c r="L290" s="12" t="n">
        <v>182892</v>
      </c>
      <c r="M290" s="9" t="n">
        <v>17</v>
      </c>
      <c r="N290" s="12" t="n">
        <v>844213.4399999999</v>
      </c>
      <c r="O290" s="12" t="n">
        <v>883124.49</v>
      </c>
      <c r="P290" s="12" t="n">
        <v>23700000</v>
      </c>
      <c r="Q290" s="9" t="inlineStr">
        <is>
          <t>Low</t>
        </is>
      </c>
      <c r="R290" s="11">
        <f>IFERROR(O290/K290,0)</f>
        <v/>
      </c>
    </row>
    <row r="291">
      <c r="A291" s="9" t="inlineStr">
        <is>
          <t>T0681</t>
        </is>
      </c>
      <c r="B291" s="9" t="inlineStr">
        <is>
          <t>Summit Assurance</t>
        </is>
      </c>
      <c r="C291" s="9" t="inlineStr">
        <is>
          <t>Property</t>
        </is>
      </c>
      <c r="D291" s="9" t="inlineStr">
        <is>
          <t>North America</t>
        </is>
      </c>
      <c r="E291" s="9" t="inlineStr">
        <is>
          <t>James Whitfield</t>
        </is>
      </c>
      <c r="F291" s="9" t="inlineStr">
        <is>
          <t>Excess of Loss</t>
        </is>
      </c>
      <c r="G291" s="9" t="n">
        <v>2025</v>
      </c>
      <c r="H291" s="12" t="n">
        <v>15800000</v>
      </c>
      <c r="I291" s="12" t="n">
        <v>1651339.2</v>
      </c>
      <c r="J291" s="12" t="n">
        <v>139173.84</v>
      </c>
      <c r="K291" s="12" t="n">
        <v>1614642.77</v>
      </c>
      <c r="L291" s="12" t="n">
        <v>84724.99182509033</v>
      </c>
      <c r="M291" s="9" t="n">
        <v>10</v>
      </c>
      <c r="N291" s="12" t="n">
        <v>464762.41</v>
      </c>
      <c r="O291" s="12" t="n">
        <v>848541.3200000001</v>
      </c>
      <c r="P291" s="12" t="n">
        <v>15800000</v>
      </c>
      <c r="Q291" s="9" t="inlineStr">
        <is>
          <t>Low</t>
        </is>
      </c>
      <c r="R291" s="11">
        <f>IFERROR(O291/K291,0)</f>
        <v/>
      </c>
    </row>
    <row r="292">
      <c r="A292" s="9" t="inlineStr">
        <is>
          <t>T0682</t>
        </is>
      </c>
      <c r="B292" s="9" t="inlineStr">
        <is>
          <t>Crown Mutual</t>
        </is>
      </c>
      <c r="C292" s="9" t="inlineStr">
        <is>
          <t>Casualty</t>
        </is>
      </c>
      <c r="D292" s="9" t="inlineStr">
        <is>
          <t>North America</t>
        </is>
      </c>
      <c r="E292" s="9" t="inlineStr">
        <is>
          <t>Aarav Mehta</t>
        </is>
      </c>
      <c r="F292" s="9" t="inlineStr">
        <is>
          <t>Excess of Loss</t>
        </is>
      </c>
      <c r="G292" s="9" t="n">
        <v>2022</v>
      </c>
      <c r="H292" s="12" t="n">
        <v>6800000</v>
      </c>
      <c r="I292" s="12" t="n">
        <v>985501.7999999999</v>
      </c>
      <c r="J292" s="12" t="n">
        <v>51956.28</v>
      </c>
      <c r="K292" s="12" t="n">
        <v>985501.7999999999</v>
      </c>
      <c r="L292" s="12" t="n">
        <v>78250.92</v>
      </c>
      <c r="M292" s="9" t="n">
        <v>6</v>
      </c>
      <c r="N292" s="12" t="n">
        <v>198885.02</v>
      </c>
      <c r="O292" s="12" t="n">
        <v>198885.02</v>
      </c>
      <c r="P292" s="12" t="n">
        <v>6800000</v>
      </c>
      <c r="Q292" s="9" t="inlineStr">
        <is>
          <t>Low</t>
        </is>
      </c>
      <c r="R292" s="11">
        <f>IFERROR(O292/K292,0)</f>
        <v/>
      </c>
    </row>
    <row r="293">
      <c r="A293" s="9" t="inlineStr">
        <is>
          <t>T0684</t>
        </is>
      </c>
      <c r="B293" s="9" t="inlineStr">
        <is>
          <t>Orion Assurance</t>
        </is>
      </c>
      <c r="C293" s="9" t="inlineStr">
        <is>
          <t>Casualty</t>
        </is>
      </c>
      <c r="D293" s="9" t="inlineStr">
        <is>
          <t>North America</t>
        </is>
      </c>
      <c r="E293" s="9" t="inlineStr">
        <is>
          <t>Kenji Sato</t>
        </is>
      </c>
      <c r="F293" s="9" t="inlineStr">
        <is>
          <t>Facultative</t>
        </is>
      </c>
      <c r="G293" s="9" t="n">
        <v>2025</v>
      </c>
      <c r="H293" s="12" t="n">
        <v>21100000</v>
      </c>
      <c r="I293" s="12" t="n">
        <v>1392595.05</v>
      </c>
      <c r="J293" s="12" t="n">
        <v>121393.03</v>
      </c>
      <c r="K293" s="12" t="n">
        <v>1392595.05</v>
      </c>
      <c r="L293" s="12" t="n">
        <v>217653.15</v>
      </c>
      <c r="M293" s="9" t="n">
        <v>13</v>
      </c>
      <c r="N293" s="12" t="n">
        <v>875851.79</v>
      </c>
      <c r="O293" s="12" t="n">
        <v>1178009.56</v>
      </c>
      <c r="P293" s="12" t="n">
        <v>21100000</v>
      </c>
      <c r="Q293" s="9" t="inlineStr">
        <is>
          <t>Low</t>
        </is>
      </c>
      <c r="R293" s="11">
        <f>IFERROR(O293/K293,0)</f>
        <v/>
      </c>
    </row>
    <row r="294">
      <c r="A294" s="9" t="inlineStr">
        <is>
          <t>T0687</t>
        </is>
      </c>
      <c r="B294" s="9" t="inlineStr">
        <is>
          <t>Evergreen Indemnity</t>
        </is>
      </c>
      <c r="C294" s="9" t="inlineStr">
        <is>
          <t>Casualty</t>
        </is>
      </c>
      <c r="D294" s="9" t="inlineStr">
        <is>
          <t>North America</t>
        </is>
      </c>
      <c r="E294" s="9" t="inlineStr">
        <is>
          <t>James Whitfield</t>
        </is>
      </c>
      <c r="F294" s="9" t="inlineStr">
        <is>
          <t>Proportional</t>
        </is>
      </c>
      <c r="G294" s="9" t="n">
        <v>2022</v>
      </c>
      <c r="H294" s="12" t="n">
        <v>48800000</v>
      </c>
      <c r="I294" s="12" t="n">
        <v>4439683.800000001</v>
      </c>
      <c r="J294" s="12" t="n">
        <v>397594.8</v>
      </c>
      <c r="K294" s="12" t="n">
        <v>4439683.800000001</v>
      </c>
      <c r="L294" s="12" t="n">
        <v>1153671.84</v>
      </c>
      <c r="M294" s="9" t="n">
        <v>10</v>
      </c>
      <c r="N294" s="12" t="n">
        <v>2729186.02</v>
      </c>
      <c r="O294" s="12" t="n">
        <v>2805421.25</v>
      </c>
      <c r="P294" s="12" t="n">
        <v>19520000</v>
      </c>
      <c r="Q294" s="9" t="inlineStr">
        <is>
          <t>Low</t>
        </is>
      </c>
      <c r="R294" s="11">
        <f>IFERROR(O294/K294,0)</f>
        <v/>
      </c>
    </row>
    <row r="295">
      <c r="A295" s="9" t="inlineStr">
        <is>
          <t>T0690</t>
        </is>
      </c>
      <c r="B295" s="9" t="inlineStr">
        <is>
          <t>Harbor Assurance</t>
        </is>
      </c>
      <c r="C295" s="9" t="inlineStr">
        <is>
          <t>Specialty</t>
        </is>
      </c>
      <c r="D295" s="9" t="inlineStr">
        <is>
          <t>North America</t>
        </is>
      </c>
      <c r="E295" s="9" t="inlineStr">
        <is>
          <t>Unassigned</t>
        </is>
      </c>
      <c r="F295" s="9" t="inlineStr">
        <is>
          <t>Proportional</t>
        </is>
      </c>
      <c r="G295" s="9" t="n">
        <v>2024</v>
      </c>
      <c r="H295" s="12" t="n">
        <v>6000000</v>
      </c>
      <c r="I295" s="12" t="n">
        <v>695005.4400000001</v>
      </c>
      <c r="J295" s="12" t="n">
        <v>61500</v>
      </c>
      <c r="K295" s="12" t="n">
        <v>695005.4400000001</v>
      </c>
      <c r="L295" s="12" t="n">
        <v>165249.48</v>
      </c>
      <c r="M295" s="9" t="n">
        <v>8</v>
      </c>
      <c r="N295" s="12" t="n">
        <v>325575.6</v>
      </c>
      <c r="O295" s="12" t="n">
        <v>370345</v>
      </c>
      <c r="P295" s="12" t="n">
        <v>1500000</v>
      </c>
      <c r="Q295" s="9" t="inlineStr">
        <is>
          <t>Low</t>
        </is>
      </c>
      <c r="R295" s="11">
        <f>IFERROR(O295/K295,0)</f>
        <v/>
      </c>
    </row>
    <row r="296">
      <c r="A296" s="9" t="inlineStr">
        <is>
          <t>T0693</t>
        </is>
      </c>
      <c r="B296" s="9" t="inlineStr">
        <is>
          <t>Atlas Indemnity</t>
        </is>
      </c>
      <c r="C296" s="9" t="inlineStr">
        <is>
          <t>Specialty</t>
        </is>
      </c>
      <c r="D296" s="9" t="inlineStr">
        <is>
          <t>North America</t>
        </is>
      </c>
      <c r="E296" s="9" t="inlineStr">
        <is>
          <t>Aarav Mehta</t>
        </is>
      </c>
      <c r="F296" s="9" t="inlineStr">
        <is>
          <t>Proportional</t>
        </is>
      </c>
      <c r="G296" s="9" t="n">
        <v>2021</v>
      </c>
      <c r="H296" s="12" t="n">
        <v>5500000</v>
      </c>
      <c r="I296" s="12" t="n">
        <v>511442.28</v>
      </c>
      <c r="J296" s="12" t="n">
        <v>30491.04</v>
      </c>
      <c r="K296" s="12" t="n">
        <v>511442.28</v>
      </c>
      <c r="L296" s="12" t="n">
        <v>149913.84</v>
      </c>
      <c r="M296" s="9" t="n">
        <v>6</v>
      </c>
      <c r="N296" s="12" t="n">
        <v>169914.13</v>
      </c>
      <c r="O296" s="12" t="n">
        <v>169914.13</v>
      </c>
      <c r="P296" s="12" t="n">
        <v>1100000</v>
      </c>
      <c r="Q296" s="9" t="inlineStr">
        <is>
          <t>Low</t>
        </is>
      </c>
      <c r="R296" s="11">
        <f>IFERROR(O296/K296,0)</f>
        <v/>
      </c>
    </row>
    <row r="297">
      <c r="A297" s="9" t="inlineStr">
        <is>
          <t>T0694</t>
        </is>
      </c>
      <c r="B297" s="9" t="inlineStr">
        <is>
          <t>Crown Mutual</t>
        </is>
      </c>
      <c r="C297" s="9" t="inlineStr">
        <is>
          <t>Specialty</t>
        </is>
      </c>
      <c r="D297" s="9" t="inlineStr">
        <is>
          <t>North America</t>
        </is>
      </c>
      <c r="E297" s="9" t="inlineStr">
        <is>
          <t>Carlos Ibarra</t>
        </is>
      </c>
      <c r="F297" s="9" t="inlineStr">
        <is>
          <t>Excess of Loss</t>
        </is>
      </c>
      <c r="G297" s="9" t="n">
        <v>2025</v>
      </c>
      <c r="H297" s="12" t="n">
        <v>36000000</v>
      </c>
      <c r="I297" s="12" t="n">
        <v>2958650.16</v>
      </c>
      <c r="J297" s="12" t="n">
        <v>271673.4</v>
      </c>
      <c r="K297" s="12" t="n">
        <v>2958650.16</v>
      </c>
      <c r="L297" s="12" t="n">
        <v>178986.36</v>
      </c>
      <c r="M297" s="9" t="n">
        <v>5</v>
      </c>
      <c r="N297" s="12" t="n">
        <v>1378007.41</v>
      </c>
      <c r="O297" s="12" t="n">
        <v>1757195.22</v>
      </c>
      <c r="P297" s="12" t="n">
        <v>36000000</v>
      </c>
      <c r="Q297" s="9" t="inlineStr">
        <is>
          <t>Low</t>
        </is>
      </c>
      <c r="R297" s="11">
        <f>IFERROR(O297/K297,0)</f>
        <v/>
      </c>
    </row>
    <row r="298">
      <c r="A298" s="9" t="inlineStr">
        <is>
          <t>T0698</t>
        </is>
      </c>
      <c r="B298" s="9" t="inlineStr">
        <is>
          <t>Evergreen General</t>
        </is>
      </c>
      <c r="C298" s="9" t="inlineStr">
        <is>
          <t>Professional</t>
        </is>
      </c>
      <c r="D298" s="9" t="inlineStr">
        <is>
          <t>North America</t>
        </is>
      </c>
      <c r="E298" s="9" t="inlineStr">
        <is>
          <t>Sophie Laurent</t>
        </is>
      </c>
      <c r="F298" s="9" t="inlineStr">
        <is>
          <t>Proportional</t>
        </is>
      </c>
      <c r="G298" s="9" t="n">
        <v>2022</v>
      </c>
      <c r="H298" s="12" t="n">
        <v>3600000</v>
      </c>
      <c r="I298" s="12" t="n">
        <v>459685.92</v>
      </c>
      <c r="J298" s="12" t="n">
        <v>34068.96</v>
      </c>
      <c r="K298" s="12" t="n">
        <v>459685.92</v>
      </c>
      <c r="L298" s="12" t="n">
        <v>115815</v>
      </c>
      <c r="M298" s="9" t="n">
        <v>7</v>
      </c>
      <c r="N298" s="12" t="n">
        <v>172263.86</v>
      </c>
      <c r="O298" s="12" t="n">
        <v>199059.99</v>
      </c>
      <c r="P298" s="12" t="n">
        <v>720000</v>
      </c>
      <c r="Q298" s="9" t="inlineStr">
        <is>
          <t>Low</t>
        </is>
      </c>
      <c r="R298" s="11">
        <f>IFERROR(O298/K298,0)</f>
        <v/>
      </c>
    </row>
    <row r="299">
      <c r="A299" s="9" t="inlineStr">
        <is>
          <t>T0699</t>
        </is>
      </c>
      <c r="B299" s="9" t="inlineStr">
        <is>
          <t>Evergreen Assurance</t>
        </is>
      </c>
      <c r="C299" s="9" t="inlineStr">
        <is>
          <t>Property</t>
        </is>
      </c>
      <c r="D299" s="9" t="inlineStr">
        <is>
          <t>North America</t>
        </is>
      </c>
      <c r="E299" s="9" t="inlineStr">
        <is>
          <t>Kenji Sato</t>
        </is>
      </c>
      <c r="F299" s="9" t="inlineStr">
        <is>
          <t>Excess of Loss</t>
        </is>
      </c>
      <c r="G299" s="9" t="n">
        <v>2023</v>
      </c>
      <c r="H299" s="12" t="n">
        <v>27700000</v>
      </c>
      <c r="I299" s="12" t="n">
        <v>3890822.88</v>
      </c>
      <c r="J299" s="12" t="n">
        <v>266428.2</v>
      </c>
      <c r="K299" s="12" t="n">
        <v>3890822.88</v>
      </c>
      <c r="L299" s="12" t="n">
        <v>363578.4</v>
      </c>
      <c r="M299" s="9" t="n">
        <v>9</v>
      </c>
      <c r="N299" s="12" t="n">
        <v>4721516.49</v>
      </c>
      <c r="O299" s="12" t="n">
        <v>4773711.399999999</v>
      </c>
      <c r="P299" s="12" t="n">
        <v>27700000</v>
      </c>
      <c r="Q299" s="9" t="inlineStr">
        <is>
          <t>Low</t>
        </is>
      </c>
      <c r="R299" s="11">
        <f>IFERROR(O299/K299,0)</f>
        <v/>
      </c>
    </row>
  </sheetData>
  <autoFilter ref="A1:R2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2" customWidth="1" min="5" max="5"/>
  </cols>
  <sheetData>
    <row r="1">
      <c r="A1" s="4" t="inlineStr">
        <is>
          <t>year_month</t>
        </is>
      </c>
      <c r="B1" s="4" t="inlineStr">
        <is>
          <t>gwp</t>
        </is>
      </c>
      <c r="C1" s="4" t="inlineStr">
        <is>
          <t>earned</t>
        </is>
      </c>
      <c r="D1" s="4" t="inlineStr">
        <is>
          <t>claims</t>
        </is>
      </c>
      <c r="E1" s="4" t="inlineStr">
        <is>
          <t>incurred</t>
        </is>
      </c>
      <c r="F1" s="4" t="inlineStr">
        <is>
          <t>gwp_mom_growth</t>
        </is>
      </c>
      <c r="G1" s="4" t="inlineStr">
        <is>
          <t>incurred_rolling_3m</t>
        </is>
      </c>
    </row>
    <row r="2">
      <c r="A2" s="9" t="inlineStr">
        <is>
          <t>2021-01</t>
        </is>
      </c>
      <c r="B2" s="12" t="n">
        <v>893925.0699999999</v>
      </c>
      <c r="C2" s="12" t="n">
        <v>893925.0699999999</v>
      </c>
      <c r="D2" s="9" t="n">
        <v>3</v>
      </c>
      <c r="E2" s="12" t="n">
        <v>1035905.02</v>
      </c>
      <c r="F2" s="13" t="n"/>
      <c r="G2" s="14">
        <f>AVERAGE(E2:E2)</f>
        <v/>
      </c>
    </row>
    <row r="3">
      <c r="A3" s="9" t="inlineStr">
        <is>
          <t>2021-02</t>
        </is>
      </c>
      <c r="B3" s="12" t="n">
        <v>1294109.1</v>
      </c>
      <c r="C3" s="12" t="n">
        <v>1294109.1</v>
      </c>
      <c r="D3" s="9" t="n">
        <v>7</v>
      </c>
      <c r="E3" s="12" t="n">
        <v>787733.48</v>
      </c>
      <c r="F3" s="13">
        <f>IFERROR(B3/B2-1,"")</f>
        <v/>
      </c>
      <c r="G3" s="14">
        <f>AVERAGE(E2:E3)</f>
        <v/>
      </c>
    </row>
    <row r="4">
      <c r="A4" s="9" t="inlineStr">
        <is>
          <t>2021-03</t>
        </is>
      </c>
      <c r="B4" s="12" t="n">
        <v>1336729.29</v>
      </c>
      <c r="C4" s="12" t="n">
        <v>1336729.29</v>
      </c>
      <c r="D4" s="9" t="n">
        <v>11</v>
      </c>
      <c r="E4" s="12" t="n">
        <v>2198758.45</v>
      </c>
      <c r="F4" s="13">
        <f>IFERROR(B4/B3-1,"")</f>
        <v/>
      </c>
      <c r="G4" s="14">
        <f>AVERAGE(E2:E4)</f>
        <v/>
      </c>
    </row>
    <row r="5">
      <c r="A5" s="9" t="inlineStr">
        <is>
          <t>2021-04</t>
        </is>
      </c>
      <c r="B5" s="12" t="n">
        <v>1398287.56</v>
      </c>
      <c r="C5" s="12" t="n">
        <v>1398287.56</v>
      </c>
      <c r="D5" s="9" t="n">
        <v>7</v>
      </c>
      <c r="E5" s="12" t="n">
        <v>1581786.57</v>
      </c>
      <c r="F5" s="13">
        <f>IFERROR(B5/B4-1,"")</f>
        <v/>
      </c>
      <c r="G5" s="14">
        <f>AVERAGE(E3:E5)</f>
        <v/>
      </c>
    </row>
    <row r="6">
      <c r="A6" s="9" t="inlineStr">
        <is>
          <t>2021-05</t>
        </is>
      </c>
      <c r="B6" s="12" t="n">
        <v>1970316.42</v>
      </c>
      <c r="C6" s="12" t="n">
        <v>1970316.42</v>
      </c>
      <c r="D6" s="9" t="n">
        <v>11</v>
      </c>
      <c r="E6" s="12" t="n">
        <v>1068550.38</v>
      </c>
      <c r="F6" s="13">
        <f>IFERROR(B6/B5-1,"")</f>
        <v/>
      </c>
      <c r="G6" s="14">
        <f>AVERAGE(E4:E6)</f>
        <v/>
      </c>
    </row>
    <row r="7">
      <c r="A7" s="9" t="inlineStr">
        <is>
          <t>2021-06</t>
        </is>
      </c>
      <c r="B7" s="12" t="n">
        <v>2283536.88</v>
      </c>
      <c r="C7" s="12" t="n">
        <v>2283536.88</v>
      </c>
      <c r="D7" s="9" t="n">
        <v>11</v>
      </c>
      <c r="E7" s="12" t="n">
        <v>415529.3</v>
      </c>
      <c r="F7" s="13">
        <f>IFERROR(B7/B6-1,"")</f>
        <v/>
      </c>
      <c r="G7" s="14">
        <f>AVERAGE(E5:E7)</f>
        <v/>
      </c>
    </row>
    <row r="8">
      <c r="A8" s="9" t="inlineStr">
        <is>
          <t>2021-07</t>
        </is>
      </c>
      <c r="B8" s="12" t="n">
        <v>2506757.11</v>
      </c>
      <c r="C8" s="12" t="n">
        <v>2506757.11</v>
      </c>
      <c r="D8" s="9" t="n">
        <v>10</v>
      </c>
      <c r="E8" s="12" t="n">
        <v>1544718.62</v>
      </c>
      <c r="F8" s="13">
        <f>IFERROR(B8/B7-1,"")</f>
        <v/>
      </c>
      <c r="G8" s="14">
        <f>AVERAGE(E6:E8)</f>
        <v/>
      </c>
    </row>
    <row r="9">
      <c r="A9" s="9" t="inlineStr">
        <is>
          <t>2021-08</t>
        </is>
      </c>
      <c r="B9" s="12" t="n">
        <v>2760332.07</v>
      </c>
      <c r="C9" s="12" t="n">
        <v>2760332.07</v>
      </c>
      <c r="D9" s="9" t="n">
        <v>11</v>
      </c>
      <c r="E9" s="12" t="n">
        <v>1281065.13</v>
      </c>
      <c r="F9" s="13">
        <f>IFERROR(B9/B8-1,"")</f>
        <v/>
      </c>
      <c r="G9" s="14">
        <f>AVERAGE(E7:E9)</f>
        <v/>
      </c>
    </row>
    <row r="10">
      <c r="A10" s="9" t="inlineStr">
        <is>
          <t>2021-09</t>
        </is>
      </c>
      <c r="B10" s="12" t="n">
        <v>3116301.48</v>
      </c>
      <c r="C10" s="12" t="n">
        <v>3116301.48</v>
      </c>
      <c r="D10" s="9" t="n">
        <v>16</v>
      </c>
      <c r="E10" s="12" t="n">
        <v>1056574.09</v>
      </c>
      <c r="F10" s="13">
        <f>IFERROR(B10/B9-1,"")</f>
        <v/>
      </c>
      <c r="G10" s="14">
        <f>AVERAGE(E8:E10)</f>
        <v/>
      </c>
    </row>
    <row r="11">
      <c r="A11" s="9" t="inlineStr">
        <is>
          <t>2021-10</t>
        </is>
      </c>
      <c r="B11" s="12" t="n">
        <v>3815937.59</v>
      </c>
      <c r="C11" s="12" t="n">
        <v>3815937.59</v>
      </c>
      <c r="D11" s="9" t="n">
        <v>18</v>
      </c>
      <c r="E11" s="12" t="n">
        <v>1342743.4</v>
      </c>
      <c r="F11" s="13">
        <f>IFERROR(B11/B10-1,"")</f>
        <v/>
      </c>
      <c r="G11" s="14">
        <f>AVERAGE(E9:E11)</f>
        <v/>
      </c>
    </row>
    <row r="12">
      <c r="A12" s="9" t="inlineStr">
        <is>
          <t>2021-11</t>
        </is>
      </c>
      <c r="B12" s="12" t="n">
        <v>4266488.01</v>
      </c>
      <c r="C12" s="12" t="n">
        <v>4266488.01</v>
      </c>
      <c r="D12" s="9" t="n">
        <v>12</v>
      </c>
      <c r="E12" s="12" t="n">
        <v>550535</v>
      </c>
      <c r="F12" s="13">
        <f>IFERROR(B12/B11-1,"")</f>
        <v/>
      </c>
      <c r="G12" s="14">
        <f>AVERAGE(E10:E12)</f>
        <v/>
      </c>
    </row>
    <row r="13">
      <c r="A13" s="9" t="inlineStr">
        <is>
          <t>2021-12</t>
        </is>
      </c>
      <c r="B13" s="12" t="n">
        <v>4391246.48</v>
      </c>
      <c r="C13" s="12" t="n">
        <v>4391246.48</v>
      </c>
      <c r="D13" s="9" t="n">
        <v>22</v>
      </c>
      <c r="E13" s="12" t="n">
        <v>2952857.04</v>
      </c>
      <c r="F13" s="13">
        <f>IFERROR(B13/B12-1,"")</f>
        <v/>
      </c>
      <c r="G13" s="14">
        <f>AVERAGE(E11:E13)</f>
        <v/>
      </c>
    </row>
    <row r="14">
      <c r="A14" s="9" t="inlineStr">
        <is>
          <t>2022-01</t>
        </is>
      </c>
      <c r="B14" s="12" t="n">
        <v>3922828.57</v>
      </c>
      <c r="C14" s="12" t="n">
        <v>3922828.57</v>
      </c>
      <c r="D14" s="9" t="n">
        <v>21</v>
      </c>
      <c r="E14" s="12" t="n">
        <v>5334585.49</v>
      </c>
      <c r="F14" s="13">
        <f>IFERROR(B14/B13-1,"")</f>
        <v/>
      </c>
      <c r="G14" s="14">
        <f>AVERAGE(E12:E14)</f>
        <v/>
      </c>
    </row>
    <row r="15">
      <c r="A15" s="9" t="inlineStr">
        <is>
          <t>2022-02</t>
        </is>
      </c>
      <c r="B15" s="12" t="n">
        <v>4625751.95</v>
      </c>
      <c r="C15" s="12" t="n">
        <v>4625751.95</v>
      </c>
      <c r="D15" s="9" t="n">
        <v>22</v>
      </c>
      <c r="E15" s="12" t="n">
        <v>3442087.18</v>
      </c>
      <c r="F15" s="13">
        <f>IFERROR(B15/B14-1,"")</f>
        <v/>
      </c>
      <c r="G15" s="14">
        <f>AVERAGE(E13:E15)</f>
        <v/>
      </c>
    </row>
    <row r="16">
      <c r="A16" s="9" t="inlineStr">
        <is>
          <t>2022-03</t>
        </is>
      </c>
      <c r="B16" s="12" t="n">
        <v>5540390.810000001</v>
      </c>
      <c r="C16" s="12" t="n">
        <v>5540390.810000001</v>
      </c>
      <c r="D16" s="9" t="n">
        <v>25</v>
      </c>
      <c r="E16" s="12" t="n">
        <v>2291672.43</v>
      </c>
      <c r="F16" s="13">
        <f>IFERROR(B16/B15-1,"")</f>
        <v/>
      </c>
      <c r="G16" s="14">
        <f>AVERAGE(E14:E16)</f>
        <v/>
      </c>
    </row>
    <row r="17">
      <c r="A17" s="9" t="inlineStr">
        <is>
          <t>2022-04</t>
        </is>
      </c>
      <c r="B17" s="12" t="n">
        <v>6420286.21</v>
      </c>
      <c r="C17" s="12" t="n">
        <v>6420286.21</v>
      </c>
      <c r="D17" s="9" t="n">
        <v>28</v>
      </c>
      <c r="E17" s="12" t="n">
        <v>1832443.52</v>
      </c>
      <c r="F17" s="13">
        <f>IFERROR(B17/B16-1,"")</f>
        <v/>
      </c>
      <c r="G17" s="14">
        <f>AVERAGE(E15:E17)</f>
        <v/>
      </c>
    </row>
    <row r="18">
      <c r="A18" s="9" t="inlineStr">
        <is>
          <t>2022-05</t>
        </is>
      </c>
      <c r="B18" s="12" t="n">
        <v>5942330.86</v>
      </c>
      <c r="C18" s="12" t="n">
        <v>5942330.86</v>
      </c>
      <c r="D18" s="9" t="n">
        <v>27</v>
      </c>
      <c r="E18" s="12" t="n">
        <v>3144972.44</v>
      </c>
      <c r="F18" s="13">
        <f>IFERROR(B18/B17-1,"")</f>
        <v/>
      </c>
      <c r="G18" s="14">
        <f>AVERAGE(E16:E18)</f>
        <v/>
      </c>
    </row>
    <row r="19">
      <c r="A19" s="9" t="inlineStr">
        <is>
          <t>2022-06</t>
        </is>
      </c>
      <c r="B19" s="12" t="n">
        <v>7318003.55</v>
      </c>
      <c r="C19" s="12" t="n">
        <v>7318003.55</v>
      </c>
      <c r="D19" s="9" t="n">
        <v>35</v>
      </c>
      <c r="E19" s="12" t="n">
        <v>8407321.810000001</v>
      </c>
      <c r="F19" s="13">
        <f>IFERROR(B19/B18-1,"")</f>
        <v/>
      </c>
      <c r="G19" s="14">
        <f>AVERAGE(E17:E19)</f>
        <v/>
      </c>
    </row>
    <row r="20">
      <c r="A20" s="9" t="inlineStr">
        <is>
          <t>2022-07</t>
        </is>
      </c>
      <c r="B20" s="12" t="n">
        <v>7313621.59</v>
      </c>
      <c r="C20" s="12" t="n">
        <v>7313621.59</v>
      </c>
      <c r="D20" s="9" t="n">
        <v>38</v>
      </c>
      <c r="E20" s="12" t="n">
        <v>6595710.2</v>
      </c>
      <c r="F20" s="13">
        <f>IFERROR(B20/B19-1,"")</f>
        <v/>
      </c>
      <c r="G20" s="14">
        <f>AVERAGE(E18:E20)</f>
        <v/>
      </c>
    </row>
    <row r="21">
      <c r="A21" s="9" t="inlineStr">
        <is>
          <t>2022-08</t>
        </is>
      </c>
      <c r="B21" s="12" t="n">
        <v>7395464.71</v>
      </c>
      <c r="C21" s="12" t="n">
        <v>7395464.71</v>
      </c>
      <c r="D21" s="9" t="n">
        <v>44</v>
      </c>
      <c r="E21" s="12" t="n">
        <v>4218633.85</v>
      </c>
      <c r="F21" s="13">
        <f>IFERROR(B21/B20-1,"")</f>
        <v/>
      </c>
      <c r="G21" s="14">
        <f>AVERAGE(E19:E21)</f>
        <v/>
      </c>
    </row>
    <row r="22">
      <c r="A22" s="9" t="inlineStr">
        <is>
          <t>2022-09</t>
        </is>
      </c>
      <c r="B22" s="12" t="n">
        <v>7537260.46</v>
      </c>
      <c r="C22" s="12" t="n">
        <v>7537260.46</v>
      </c>
      <c r="D22" s="9" t="n">
        <v>48</v>
      </c>
      <c r="E22" s="12" t="n">
        <v>10820675.98</v>
      </c>
      <c r="F22" s="13">
        <f>IFERROR(B22/B21-1,"")</f>
        <v/>
      </c>
      <c r="G22" s="14">
        <f>AVERAGE(E20:E22)</f>
        <v/>
      </c>
    </row>
    <row r="23">
      <c r="A23" s="9" t="inlineStr">
        <is>
          <t>2022-10</t>
        </is>
      </c>
      <c r="B23" s="12" t="n">
        <v>7850154.26</v>
      </c>
      <c r="C23" s="12" t="n">
        <v>7850154.26</v>
      </c>
      <c r="D23" s="9" t="n">
        <v>41</v>
      </c>
      <c r="E23" s="12" t="n">
        <v>3699677.11</v>
      </c>
      <c r="F23" s="13">
        <f>IFERROR(B23/B22-1,"")</f>
        <v/>
      </c>
      <c r="G23" s="14">
        <f>AVERAGE(E21:E23)</f>
        <v/>
      </c>
    </row>
    <row r="24">
      <c r="A24" s="9" t="inlineStr">
        <is>
          <t>2022-11</t>
        </is>
      </c>
      <c r="B24" s="12" t="n">
        <v>7471500.64</v>
      </c>
      <c r="C24" s="12" t="n">
        <v>7471500.64</v>
      </c>
      <c r="D24" s="9" t="n">
        <v>54</v>
      </c>
      <c r="E24" s="12" t="n">
        <v>5691033.56</v>
      </c>
      <c r="F24" s="13">
        <f>IFERROR(B24/B23-1,"")</f>
        <v/>
      </c>
      <c r="G24" s="14">
        <f>AVERAGE(E22:E24)</f>
        <v/>
      </c>
    </row>
    <row r="25">
      <c r="A25" s="9" t="inlineStr">
        <is>
          <t>2022-12</t>
        </is>
      </c>
      <c r="B25" s="12" t="n">
        <v>7514993.44</v>
      </c>
      <c r="C25" s="12" t="n">
        <v>7514993.44</v>
      </c>
      <c r="D25" s="9" t="n">
        <v>44</v>
      </c>
      <c r="E25" s="12" t="n">
        <v>6800014.91</v>
      </c>
      <c r="F25" s="13">
        <f>IFERROR(B25/B24-1,"")</f>
        <v/>
      </c>
      <c r="G25" s="14">
        <f>AVERAGE(E23:E25)</f>
        <v/>
      </c>
    </row>
    <row r="26">
      <c r="A26" s="9" t="inlineStr">
        <is>
          <t>2023-01</t>
        </is>
      </c>
      <c r="B26" s="12" t="n">
        <v>8526706.52</v>
      </c>
      <c r="C26" s="12" t="n">
        <v>8526706.52</v>
      </c>
      <c r="D26" s="9" t="n">
        <v>40</v>
      </c>
      <c r="E26" s="12" t="n">
        <v>4795329.72</v>
      </c>
      <c r="F26" s="13">
        <f>IFERROR(B26/B25-1,"")</f>
        <v/>
      </c>
      <c r="G26" s="14">
        <f>AVERAGE(E24:E26)</f>
        <v/>
      </c>
    </row>
    <row r="27">
      <c r="A27" s="9" t="inlineStr">
        <is>
          <t>2023-02</t>
        </is>
      </c>
      <c r="B27" s="12" t="n">
        <v>7589245.35</v>
      </c>
      <c r="C27" s="12" t="n">
        <v>7589245.35</v>
      </c>
      <c r="D27" s="9" t="n">
        <v>43</v>
      </c>
      <c r="E27" s="12" t="n">
        <v>6032599.68</v>
      </c>
      <c r="F27" s="13">
        <f>IFERROR(B27/B26-1,"")</f>
        <v/>
      </c>
      <c r="G27" s="14">
        <f>AVERAGE(E25:E27)</f>
        <v/>
      </c>
    </row>
    <row r="28">
      <c r="A28" s="9" t="inlineStr">
        <is>
          <t>2023-03</t>
        </is>
      </c>
      <c r="B28" s="12" t="n">
        <v>7224432.87</v>
      </c>
      <c r="C28" s="12" t="n">
        <v>7224432.87</v>
      </c>
      <c r="D28" s="9" t="n">
        <v>38</v>
      </c>
      <c r="E28" s="12" t="n">
        <v>6924604.25</v>
      </c>
      <c r="F28" s="13">
        <f>IFERROR(B28/B27-1,"")</f>
        <v/>
      </c>
      <c r="G28" s="14">
        <f>AVERAGE(E26:E28)</f>
        <v/>
      </c>
    </row>
    <row r="29">
      <c r="A29" s="9" t="inlineStr">
        <is>
          <t>2023-04</t>
        </is>
      </c>
      <c r="B29" s="12" t="n">
        <v>6576727.3</v>
      </c>
      <c r="C29" s="12" t="n">
        <v>6576727.3</v>
      </c>
      <c r="D29" s="9" t="n">
        <v>32</v>
      </c>
      <c r="E29" s="12" t="n">
        <v>2816950.86</v>
      </c>
      <c r="F29" s="13">
        <f>IFERROR(B29/B28-1,"")</f>
        <v/>
      </c>
      <c r="G29" s="14">
        <f>AVERAGE(E27:E29)</f>
        <v/>
      </c>
    </row>
    <row r="30">
      <c r="A30" s="9" t="inlineStr">
        <is>
          <t>2023-05</t>
        </is>
      </c>
      <c r="B30" s="12" t="n">
        <v>7341698.91</v>
      </c>
      <c r="C30" s="12" t="n">
        <v>7341698.91</v>
      </c>
      <c r="D30" s="9" t="n">
        <v>39</v>
      </c>
      <c r="E30" s="12" t="n">
        <v>3873702.8</v>
      </c>
      <c r="F30" s="13">
        <f>IFERROR(B30/B29-1,"")</f>
        <v/>
      </c>
      <c r="G30" s="14">
        <f>AVERAGE(E28:E30)</f>
        <v/>
      </c>
    </row>
    <row r="31">
      <c r="A31" s="9" t="inlineStr">
        <is>
          <t>2023-06</t>
        </is>
      </c>
      <c r="B31" s="12" t="n">
        <v>6859485.16</v>
      </c>
      <c r="C31" s="12" t="n">
        <v>6859485.16</v>
      </c>
      <c r="D31" s="9" t="n">
        <v>33</v>
      </c>
      <c r="E31" s="12" t="n">
        <v>2162110.15</v>
      </c>
      <c r="F31" s="13">
        <f>IFERROR(B31/B30-1,"")</f>
        <v/>
      </c>
      <c r="G31" s="14">
        <f>AVERAGE(E29:E31)</f>
        <v/>
      </c>
    </row>
    <row r="32">
      <c r="A32" s="9" t="inlineStr">
        <is>
          <t>2023-07</t>
        </is>
      </c>
      <c r="B32" s="12" t="n">
        <v>7730561.79</v>
      </c>
      <c r="C32" s="12" t="n">
        <v>7730561.79</v>
      </c>
      <c r="D32" s="9" t="n">
        <v>37</v>
      </c>
      <c r="E32" s="12" t="n">
        <v>4534657.03</v>
      </c>
      <c r="F32" s="13">
        <f>IFERROR(B32/B31-1,"")</f>
        <v/>
      </c>
      <c r="G32" s="14">
        <f>AVERAGE(E30:E32)</f>
        <v/>
      </c>
    </row>
    <row r="33">
      <c r="A33" s="9" t="inlineStr">
        <is>
          <t>2023-08</t>
        </is>
      </c>
      <c r="B33" s="12" t="n">
        <v>8751197.359999999</v>
      </c>
      <c r="C33" s="12" t="n">
        <v>8751197.359999999</v>
      </c>
      <c r="D33" s="9" t="n">
        <v>40</v>
      </c>
      <c r="E33" s="12" t="n">
        <v>5745203.22</v>
      </c>
      <c r="F33" s="13">
        <f>IFERROR(B33/B32-1,"")</f>
        <v/>
      </c>
      <c r="G33" s="14">
        <f>AVERAGE(E31:E33)</f>
        <v/>
      </c>
    </row>
    <row r="34">
      <c r="A34" s="9" t="inlineStr">
        <is>
          <t>2023-09</t>
        </is>
      </c>
      <c r="B34" s="12" t="n">
        <v>8484842.439999999</v>
      </c>
      <c r="C34" s="12" t="n">
        <v>8484842.439999999</v>
      </c>
      <c r="D34" s="9" t="n">
        <v>44</v>
      </c>
      <c r="E34" s="12" t="n">
        <v>6316139.23</v>
      </c>
      <c r="F34" s="13">
        <f>IFERROR(B34/B33-1,"")</f>
        <v/>
      </c>
      <c r="G34" s="14">
        <f>AVERAGE(E32:E34)</f>
        <v/>
      </c>
    </row>
    <row r="35">
      <c r="A35" s="9" t="inlineStr">
        <is>
          <t>2023-10</t>
        </is>
      </c>
      <c r="B35" s="12" t="n">
        <v>8340494.32</v>
      </c>
      <c r="C35" s="12" t="n">
        <v>8340494.32</v>
      </c>
      <c r="D35" s="9" t="n">
        <v>35</v>
      </c>
      <c r="E35" s="12" t="n">
        <v>3993473.63</v>
      </c>
      <c r="F35" s="13">
        <f>IFERROR(B35/B34-1,"")</f>
        <v/>
      </c>
      <c r="G35" s="14">
        <f>AVERAGE(E33:E35)</f>
        <v/>
      </c>
    </row>
    <row r="36">
      <c r="A36" s="9" t="inlineStr">
        <is>
          <t>2023-11</t>
        </is>
      </c>
      <c r="B36" s="12" t="n">
        <v>9513807.630000001</v>
      </c>
      <c r="C36" s="12" t="n">
        <v>9513807.630000001</v>
      </c>
      <c r="D36" s="9" t="n">
        <v>31</v>
      </c>
      <c r="E36" s="12" t="n">
        <v>4430480.27</v>
      </c>
      <c r="F36" s="13">
        <f>IFERROR(B36/B35-1,"")</f>
        <v/>
      </c>
      <c r="G36" s="14">
        <f>AVERAGE(E34:E36)</f>
        <v/>
      </c>
    </row>
    <row r="37">
      <c r="A37" s="9" t="inlineStr">
        <is>
          <t>2023-12</t>
        </is>
      </c>
      <c r="B37" s="12" t="n">
        <v>10070019.16</v>
      </c>
      <c r="C37" s="12" t="n">
        <v>10070019.16</v>
      </c>
      <c r="D37" s="9" t="n">
        <v>48</v>
      </c>
      <c r="E37" s="12" t="n">
        <v>7836424.67</v>
      </c>
      <c r="F37" s="13">
        <f>IFERROR(B37/B36-1,"")</f>
        <v/>
      </c>
      <c r="G37" s="14">
        <f>AVERAGE(E35:E37)</f>
        <v/>
      </c>
    </row>
    <row r="38">
      <c r="A38" s="9" t="inlineStr">
        <is>
          <t>2024-01</t>
        </is>
      </c>
      <c r="B38" s="12" t="n">
        <v>9425645.59</v>
      </c>
      <c r="C38" s="12" t="n">
        <v>9425645.59</v>
      </c>
      <c r="D38" s="9" t="n">
        <v>55</v>
      </c>
      <c r="E38" s="12" t="n">
        <v>8410215.43</v>
      </c>
      <c r="F38" s="13">
        <f>IFERROR(B38/B37-1,"")</f>
        <v/>
      </c>
      <c r="G38" s="14">
        <f>AVERAGE(E36:E38)</f>
        <v/>
      </c>
    </row>
    <row r="39">
      <c r="A39" s="9" t="inlineStr">
        <is>
          <t>2024-02</t>
        </is>
      </c>
      <c r="B39" s="12" t="n">
        <v>9589275.869999999</v>
      </c>
      <c r="C39" s="12" t="n">
        <v>9589275.869999999</v>
      </c>
      <c r="D39" s="9" t="n">
        <v>37</v>
      </c>
      <c r="E39" s="12" t="n">
        <v>6756731.82</v>
      </c>
      <c r="F39" s="13">
        <f>IFERROR(B39/B38-1,"")</f>
        <v/>
      </c>
      <c r="G39" s="14">
        <f>AVERAGE(E37:E39)</f>
        <v/>
      </c>
    </row>
    <row r="40">
      <c r="A40" s="9" t="inlineStr">
        <is>
          <t>2024-03</t>
        </is>
      </c>
      <c r="B40" s="12" t="n">
        <v>9905605.439999999</v>
      </c>
      <c r="C40" s="12" t="n">
        <v>9905605.439999999</v>
      </c>
      <c r="D40" s="9" t="n">
        <v>53</v>
      </c>
      <c r="E40" s="12" t="n">
        <v>6118752.06</v>
      </c>
      <c r="F40" s="13">
        <f>IFERROR(B40/B39-1,"")</f>
        <v/>
      </c>
      <c r="G40" s="14">
        <f>AVERAGE(E38:E40)</f>
        <v/>
      </c>
    </row>
    <row r="41">
      <c r="A41" s="9" t="inlineStr">
        <is>
          <t>2024-04</t>
        </is>
      </c>
      <c r="B41" s="12" t="n">
        <v>9797724.960000001</v>
      </c>
      <c r="C41" s="12" t="n">
        <v>9797724.960000001</v>
      </c>
      <c r="D41" s="9" t="n">
        <v>34</v>
      </c>
      <c r="E41" s="12" t="n">
        <v>8343328.79</v>
      </c>
      <c r="F41" s="13">
        <f>IFERROR(B41/B40-1,"")</f>
        <v/>
      </c>
      <c r="G41" s="14">
        <f>AVERAGE(E39:E41)</f>
        <v/>
      </c>
    </row>
    <row r="42">
      <c r="A42" s="9" t="inlineStr">
        <is>
          <t>2024-05</t>
        </is>
      </c>
      <c r="B42" s="12" t="n">
        <v>10533541</v>
      </c>
      <c r="C42" s="12" t="n">
        <v>10533541</v>
      </c>
      <c r="D42" s="9" t="n">
        <v>43</v>
      </c>
      <c r="E42" s="12" t="n">
        <v>5351543.38</v>
      </c>
      <c r="F42" s="13">
        <f>IFERROR(B42/B41-1,"")</f>
        <v/>
      </c>
      <c r="G42" s="14">
        <f>AVERAGE(E40:E42)</f>
        <v/>
      </c>
    </row>
    <row r="43">
      <c r="A43" s="9" t="inlineStr">
        <is>
          <t>2024-06</t>
        </is>
      </c>
      <c r="B43" s="12" t="n">
        <v>9740407.720000001</v>
      </c>
      <c r="C43" s="12" t="n">
        <v>9740407.720000001</v>
      </c>
      <c r="D43" s="9" t="n">
        <v>34</v>
      </c>
      <c r="E43" s="12" t="n">
        <v>4594265.2</v>
      </c>
      <c r="F43" s="13">
        <f>IFERROR(B43/B42-1,"")</f>
        <v/>
      </c>
      <c r="G43" s="14">
        <f>AVERAGE(E41:E43)</f>
        <v/>
      </c>
    </row>
    <row r="44">
      <c r="A44" s="9" t="inlineStr">
        <is>
          <t>2024-07</t>
        </is>
      </c>
      <c r="B44" s="12" t="n">
        <v>9012506.67</v>
      </c>
      <c r="C44" s="12" t="n">
        <v>9012506.67</v>
      </c>
      <c r="D44" s="9" t="n">
        <v>33</v>
      </c>
      <c r="E44" s="12" t="n">
        <v>10963361.22</v>
      </c>
      <c r="F44" s="13">
        <f>IFERROR(B44/B43-1,"")</f>
        <v/>
      </c>
      <c r="G44" s="14">
        <f>AVERAGE(E42:E44)</f>
        <v/>
      </c>
    </row>
    <row r="45">
      <c r="A45" s="9" t="inlineStr">
        <is>
          <t>2024-08</t>
        </is>
      </c>
      <c r="B45" s="12" t="n">
        <v>8177819.81</v>
      </c>
      <c r="C45" s="12" t="n">
        <v>8177819.81</v>
      </c>
      <c r="D45" s="9" t="n">
        <v>39</v>
      </c>
      <c r="E45" s="12" t="n">
        <v>8793243.32</v>
      </c>
      <c r="F45" s="13">
        <f>IFERROR(B45/B44-1,"")</f>
        <v/>
      </c>
      <c r="G45" s="14">
        <f>AVERAGE(E43:E45)</f>
        <v/>
      </c>
    </row>
    <row r="46">
      <c r="A46" s="9" t="inlineStr">
        <is>
          <t>2024-09</t>
        </is>
      </c>
      <c r="B46" s="12" t="n">
        <v>9293428.6</v>
      </c>
      <c r="C46" s="12" t="n">
        <v>9293428.6</v>
      </c>
      <c r="D46" s="9" t="n">
        <v>45</v>
      </c>
      <c r="E46" s="12" t="n">
        <v>8966074.83</v>
      </c>
      <c r="F46" s="13">
        <f>IFERROR(B46/B45-1,"")</f>
        <v/>
      </c>
      <c r="G46" s="14">
        <f>AVERAGE(E44:E46)</f>
        <v/>
      </c>
    </row>
    <row r="47">
      <c r="A47" s="9" t="inlineStr">
        <is>
          <t>2024-10</t>
        </is>
      </c>
      <c r="B47" s="12" t="n">
        <v>8668709.300000001</v>
      </c>
      <c r="C47" s="12" t="n">
        <v>8668709.300000001</v>
      </c>
      <c r="D47" s="9" t="n">
        <v>34</v>
      </c>
      <c r="E47" s="12" t="n">
        <v>4846661.68</v>
      </c>
      <c r="F47" s="13">
        <f>IFERROR(B47/B46-1,"")</f>
        <v/>
      </c>
      <c r="G47" s="14">
        <f>AVERAGE(E45:E47)</f>
        <v/>
      </c>
    </row>
    <row r="48">
      <c r="A48" s="9" t="inlineStr">
        <is>
          <t>2024-11</t>
        </is>
      </c>
      <c r="B48" s="12" t="n">
        <v>9125355.609999999</v>
      </c>
      <c r="C48" s="12" t="n">
        <v>9125355.609999999</v>
      </c>
      <c r="D48" s="9" t="n">
        <v>33</v>
      </c>
      <c r="E48" s="12" t="n">
        <v>6821924.79</v>
      </c>
      <c r="F48" s="13">
        <f>IFERROR(B48/B47-1,"")</f>
        <v/>
      </c>
      <c r="G48" s="14">
        <f>AVERAGE(E46:E48)</f>
        <v/>
      </c>
    </row>
    <row r="49">
      <c r="A49" s="9" t="inlineStr">
        <is>
          <t>2024-12</t>
        </is>
      </c>
      <c r="B49" s="12" t="n">
        <v>9986703.289999999</v>
      </c>
      <c r="C49" s="12" t="n">
        <v>9986703.289999999</v>
      </c>
      <c r="D49" s="9" t="n">
        <v>54</v>
      </c>
      <c r="E49" s="12" t="n">
        <v>11430815.15</v>
      </c>
      <c r="F49" s="13">
        <f>IFERROR(B49/B48-1,"")</f>
        <v/>
      </c>
      <c r="G49" s="14">
        <f>AVERAGE(E47:E49)</f>
        <v/>
      </c>
    </row>
    <row r="50">
      <c r="A50" s="9" t="inlineStr">
        <is>
          <t>2025-01</t>
        </is>
      </c>
      <c r="B50" s="12" t="n">
        <v>9964371.25</v>
      </c>
      <c r="C50" s="12" t="n">
        <v>9964371.25</v>
      </c>
      <c r="D50" s="9" t="n">
        <v>43</v>
      </c>
      <c r="E50" s="12" t="n">
        <v>3898229.31</v>
      </c>
      <c r="F50" s="13">
        <f>IFERROR(B50/B49-1,"")</f>
        <v/>
      </c>
      <c r="G50" s="14">
        <f>AVERAGE(E48:E50)</f>
        <v/>
      </c>
    </row>
    <row r="51">
      <c r="A51" s="9" t="inlineStr">
        <is>
          <t>2025-02</t>
        </is>
      </c>
      <c r="B51" s="12" t="n">
        <v>10107372.21</v>
      </c>
      <c r="C51" s="12" t="n">
        <v>10107372.21</v>
      </c>
      <c r="D51" s="9" t="n">
        <v>46</v>
      </c>
      <c r="E51" s="12" t="n">
        <v>4661224.2</v>
      </c>
      <c r="F51" s="13">
        <f>IFERROR(B51/B50-1,"")</f>
        <v/>
      </c>
      <c r="G51" s="14">
        <f>AVERAGE(E49:E51)</f>
        <v/>
      </c>
    </row>
    <row r="52">
      <c r="A52" s="9" t="inlineStr">
        <is>
          <t>2025-03</t>
        </is>
      </c>
      <c r="B52" s="12" t="n">
        <v>9629264.619999999</v>
      </c>
      <c r="C52" s="12" t="n">
        <v>9629264.619999999</v>
      </c>
      <c r="D52" s="9" t="n">
        <v>46</v>
      </c>
      <c r="E52" s="12" t="n">
        <v>7349705.06</v>
      </c>
      <c r="F52" s="13">
        <f>IFERROR(B52/B51-1,"")</f>
        <v/>
      </c>
      <c r="G52" s="14">
        <f>AVERAGE(E50:E52)</f>
        <v/>
      </c>
    </row>
    <row r="53">
      <c r="A53" s="9" t="inlineStr">
        <is>
          <t>2025-04</t>
        </is>
      </c>
      <c r="B53" s="12" t="n">
        <v>9354473.289999999</v>
      </c>
      <c r="C53" s="12" t="n">
        <v>9354473.289999999</v>
      </c>
      <c r="D53" s="9" t="n">
        <v>43</v>
      </c>
      <c r="E53" s="12" t="n">
        <v>8920001.949999999</v>
      </c>
      <c r="F53" s="13">
        <f>IFERROR(B53/B52-1,"")</f>
        <v/>
      </c>
      <c r="G53" s="14">
        <f>AVERAGE(E51:E53)</f>
        <v/>
      </c>
    </row>
    <row r="54">
      <c r="A54" s="9" t="inlineStr">
        <is>
          <t>2025-05</t>
        </is>
      </c>
      <c r="B54" s="12" t="n">
        <v>8579120.66</v>
      </c>
      <c r="C54" s="12" t="n">
        <v>8579120.66</v>
      </c>
      <c r="D54" s="9" t="n">
        <v>45</v>
      </c>
      <c r="E54" s="12" t="n">
        <v>6270263.21</v>
      </c>
      <c r="F54" s="13">
        <f>IFERROR(B54/B53-1,"")</f>
        <v/>
      </c>
      <c r="G54" s="14">
        <f>AVERAGE(E52:E54)</f>
        <v/>
      </c>
    </row>
    <row r="55">
      <c r="A55" s="9" t="inlineStr">
        <is>
          <t>2025-06</t>
        </is>
      </c>
      <c r="B55" s="12" t="n">
        <v>8639815.68</v>
      </c>
      <c r="C55" s="12" t="n">
        <v>8639815.68</v>
      </c>
      <c r="D55" s="9" t="n">
        <v>34</v>
      </c>
      <c r="E55" s="12" t="n">
        <v>4927438.83</v>
      </c>
      <c r="F55" s="13">
        <f>IFERROR(B55/B54-1,"")</f>
        <v/>
      </c>
      <c r="G55" s="14">
        <f>AVERAGE(E53:E55)</f>
        <v/>
      </c>
    </row>
    <row r="56">
      <c r="A56" s="9" t="inlineStr">
        <is>
          <t>2025-07</t>
        </is>
      </c>
      <c r="B56" s="12" t="n">
        <v>9776108.289999999</v>
      </c>
      <c r="C56" s="12" t="n">
        <v>9776108.289999999</v>
      </c>
      <c r="D56" s="9" t="n">
        <v>25</v>
      </c>
      <c r="E56" s="12" t="n">
        <v>5796557.53</v>
      </c>
      <c r="F56" s="13">
        <f>IFERROR(B56/B55-1,"")</f>
        <v/>
      </c>
      <c r="G56" s="14">
        <f>AVERAGE(E54:E56)</f>
        <v/>
      </c>
    </row>
    <row r="57">
      <c r="A57" s="9" t="inlineStr">
        <is>
          <t>2025-08</t>
        </is>
      </c>
      <c r="B57" s="12" t="n">
        <v>10448372.2</v>
      </c>
      <c r="C57" s="12" t="n">
        <v>10448372.2</v>
      </c>
      <c r="D57" s="9" t="n">
        <v>32</v>
      </c>
      <c r="E57" s="12" t="n">
        <v>4670539.42</v>
      </c>
      <c r="F57" s="13">
        <f>IFERROR(B57/B56-1,"")</f>
        <v/>
      </c>
      <c r="G57" s="14">
        <f>AVERAGE(E55:E57)</f>
        <v/>
      </c>
    </row>
    <row r="58">
      <c r="A58" s="9" t="inlineStr">
        <is>
          <t>2025-09</t>
        </is>
      </c>
      <c r="B58" s="12" t="n">
        <v>10448571.57</v>
      </c>
      <c r="C58" s="12" t="n">
        <v>10448571.57</v>
      </c>
      <c r="D58" s="9" t="n">
        <v>42</v>
      </c>
      <c r="E58" s="12" t="n">
        <v>6566593.189999999</v>
      </c>
      <c r="F58" s="13">
        <f>IFERROR(B58/B57-1,"")</f>
        <v/>
      </c>
      <c r="G58" s="14">
        <f>AVERAGE(E56:E58)</f>
        <v/>
      </c>
    </row>
    <row r="59">
      <c r="A59" s="9" t="inlineStr">
        <is>
          <t>2025-10</t>
        </is>
      </c>
      <c r="B59" s="12" t="n">
        <v>11178123.85</v>
      </c>
      <c r="C59" s="12" t="n">
        <v>11178123.85</v>
      </c>
      <c r="D59" s="9" t="n">
        <v>45</v>
      </c>
      <c r="E59" s="12" t="n">
        <v>7239329.13</v>
      </c>
      <c r="F59" s="13">
        <f>IFERROR(B59/B58-1,"")</f>
        <v/>
      </c>
      <c r="G59" s="14">
        <f>AVERAGE(E57:E59)</f>
        <v/>
      </c>
    </row>
    <row r="60">
      <c r="A60" s="9" t="inlineStr">
        <is>
          <t>2025-11</t>
        </is>
      </c>
      <c r="B60" s="12" t="n">
        <v>9974588.24</v>
      </c>
      <c r="C60" s="12" t="n">
        <v>9974588.24</v>
      </c>
      <c r="D60" s="9" t="n">
        <v>42</v>
      </c>
      <c r="E60" s="12" t="n">
        <v>7700505.34</v>
      </c>
      <c r="F60" s="13">
        <f>IFERROR(B60/B59-1,"")</f>
        <v/>
      </c>
      <c r="G60" s="14">
        <f>AVERAGE(E58:E60)</f>
        <v/>
      </c>
    </row>
    <row r="61">
      <c r="A61" s="9" t="inlineStr">
        <is>
          <t>2025-12</t>
        </is>
      </c>
      <c r="B61" s="12" t="n">
        <v>9288874.529999999</v>
      </c>
      <c r="C61" s="12" t="n">
        <v>9288874.529999999</v>
      </c>
      <c r="D61" s="9" t="n">
        <v>44</v>
      </c>
      <c r="E61" s="12" t="n">
        <v>4601758.01</v>
      </c>
      <c r="F61" s="13">
        <f>IFERROR(B61/B60-1,"")</f>
        <v/>
      </c>
      <c r="G61" s="14">
        <f>AVERAGE(E59:E61)</f>
        <v/>
      </c>
    </row>
    <row r="62">
      <c r="A62" s="9" t="inlineStr">
        <is>
          <t>2026-01</t>
        </is>
      </c>
      <c r="B62" s="12" t="n">
        <v>8602106.92</v>
      </c>
      <c r="C62" s="12" t="n">
        <v>8602106.92</v>
      </c>
      <c r="D62" s="9" t="n">
        <v>46</v>
      </c>
      <c r="E62" s="12" t="n">
        <v>6470890.39</v>
      </c>
      <c r="F62" s="13">
        <f>IFERROR(B62/B61-1,"")</f>
        <v/>
      </c>
      <c r="G62" s="14">
        <f>AVERAGE(E60:E62)</f>
        <v/>
      </c>
    </row>
    <row r="63">
      <c r="A63" s="9" t="inlineStr">
        <is>
          <t>2026-02</t>
        </is>
      </c>
      <c r="B63" s="12" t="n">
        <v>8625816.85</v>
      </c>
      <c r="C63" s="12" t="n">
        <v>8625816.85</v>
      </c>
      <c r="D63" s="9" t="n">
        <v>31</v>
      </c>
      <c r="E63" s="12" t="n">
        <v>3061855.33</v>
      </c>
      <c r="F63" s="13">
        <f>IFERROR(B63/B62-1,"")</f>
        <v/>
      </c>
      <c r="G63" s="14">
        <f>AVERAGE(E61:E63)</f>
        <v/>
      </c>
    </row>
    <row r="64">
      <c r="A64" s="9" t="inlineStr">
        <is>
          <t>2026-03</t>
        </is>
      </c>
      <c r="B64" s="12" t="n">
        <v>8294504.03</v>
      </c>
      <c r="C64" s="12" t="n">
        <v>8294504.03</v>
      </c>
      <c r="D64" s="9" t="n">
        <v>56</v>
      </c>
      <c r="E64" s="12" t="n">
        <v>8718320.279999999</v>
      </c>
      <c r="F64" s="13">
        <f>IFERROR(B64/B63-1,"")</f>
        <v/>
      </c>
      <c r="G64" s="14">
        <f>AVERAGE(E62:E64)</f>
        <v/>
      </c>
    </row>
    <row r="65">
      <c r="A65" s="9" t="inlineStr">
        <is>
          <t>2026-04</t>
        </is>
      </c>
      <c r="B65" s="12" t="n">
        <v>8523365.09</v>
      </c>
      <c r="C65" s="12" t="n">
        <v>8523365.09</v>
      </c>
      <c r="D65" s="9" t="n">
        <v>50</v>
      </c>
      <c r="E65" s="12" t="n">
        <v>12357393.9</v>
      </c>
      <c r="F65" s="13">
        <f>IFERROR(B65/B64-1,"")</f>
        <v/>
      </c>
      <c r="G65" s="14">
        <f>AVERAGE(E63:E65)</f>
        <v/>
      </c>
    </row>
    <row r="66">
      <c r="A66" s="9" t="inlineStr">
        <is>
          <t>2026-05</t>
        </is>
      </c>
      <c r="B66" s="12" t="n">
        <v>9697797.890000001</v>
      </c>
      <c r="C66" s="12" t="n">
        <v>9697797.890000001</v>
      </c>
      <c r="D66" s="9" t="n">
        <v>50</v>
      </c>
      <c r="E66" s="12" t="n">
        <v>6629407.6</v>
      </c>
      <c r="F66" s="13">
        <f>IFERROR(B66/B65-1,"")</f>
        <v/>
      </c>
      <c r="G66" s="14">
        <f>AVERAGE(E64:E66)</f>
        <v/>
      </c>
    </row>
    <row r="67">
      <c r="A67" s="9" t="inlineStr">
        <is>
          <t>2026-06</t>
        </is>
      </c>
      <c r="B67" s="12" t="n">
        <v>9900526.82</v>
      </c>
      <c r="C67" s="12" t="n">
        <v>9900526.82</v>
      </c>
      <c r="D67" s="9" t="n">
        <v>52</v>
      </c>
      <c r="E67" s="12" t="n">
        <v>10373923.17</v>
      </c>
      <c r="F67" s="13">
        <f>IFERROR(B67/B66-1,"")</f>
        <v/>
      </c>
      <c r="G67" s="14">
        <f>AVERAGE(E65:E67)</f>
        <v/>
      </c>
    </row>
    <row r="68">
      <c r="A68" s="9" t="inlineStr">
        <is>
          <t>2026-07</t>
        </is>
      </c>
      <c r="B68" s="12" t="n">
        <v>8377817.9</v>
      </c>
      <c r="C68" s="12" t="n">
        <v>8377817.9</v>
      </c>
      <c r="D68" s="9" t="n">
        <v>56</v>
      </c>
      <c r="E68" s="12" t="n">
        <v>13228030.6</v>
      </c>
      <c r="F68" s="13">
        <f>IFERROR(B68/B67-1,"")</f>
        <v/>
      </c>
      <c r="G68" s="14">
        <f>AVERAGE(E66:E68)</f>
        <v/>
      </c>
    </row>
    <row r="69">
      <c r="A69" s="9" t="inlineStr">
        <is>
          <t>2026-08</t>
        </is>
      </c>
      <c r="B69" s="12" t="n">
        <v>7757805.9</v>
      </c>
      <c r="C69" s="12" t="n">
        <v>7757805.9</v>
      </c>
      <c r="D69" s="9" t="n">
        <v>48</v>
      </c>
      <c r="E69" s="12" t="n">
        <v>9105385.01</v>
      </c>
      <c r="F69" s="13">
        <f>IFERROR(B69/B68-1,"")</f>
        <v/>
      </c>
      <c r="G69" s="14">
        <f>AVERAGE(E67:E69)</f>
        <v/>
      </c>
    </row>
    <row r="70">
      <c r="A70" s="9" t="inlineStr">
        <is>
          <t>2026-09</t>
        </is>
      </c>
      <c r="B70" s="12" t="n">
        <v>6537187.05</v>
      </c>
      <c r="C70" s="12" t="n">
        <v>2954887.77</v>
      </c>
      <c r="D70" s="9" t="n">
        <v>54</v>
      </c>
      <c r="E70" s="12" t="n">
        <v>4559340.96</v>
      </c>
      <c r="F70" s="13">
        <f>IFERROR(B70/B69-1,"")</f>
        <v/>
      </c>
      <c r="G70" s="14">
        <f>AVERAGE(E68:E70)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2" customWidth="1" min="4" max="4"/>
    <col width="15" customWidth="1" min="5" max="5"/>
    <col width="13" customWidth="1" min="6" max="6"/>
    <col width="14" customWidth="1" min="7" max="7"/>
    <col width="11" customWidth="1" min="8" max="8"/>
    <col width="15" customWidth="1" min="9" max="9"/>
    <col width="16" customWidth="1" min="10" max="10"/>
    <col width="19" customWidth="1" min="11" max="11"/>
    <col width="17" customWidth="1" min="12" max="12"/>
  </cols>
  <sheetData>
    <row r="1">
      <c r="A1" s="4" t="inlineStr">
        <is>
          <t>claim_id</t>
        </is>
      </c>
      <c r="B1" s="4" t="inlineStr">
        <is>
          <t>treaty_id</t>
        </is>
      </c>
      <c r="C1" s="4" t="inlineStr">
        <is>
          <t>cedant_name</t>
        </is>
      </c>
      <c r="D1" s="4" t="inlineStr">
        <is>
          <t>lob_name</t>
        </is>
      </c>
      <c r="E1" s="4" t="inlineStr">
        <is>
          <t>region_name</t>
        </is>
      </c>
      <c r="F1" s="4" t="inlineStr">
        <is>
          <t>loss_date</t>
        </is>
      </c>
      <c r="G1" s="4" t="inlineStr">
        <is>
          <t>claim_type</t>
        </is>
      </c>
      <c r="H1" s="4" t="inlineStr">
        <is>
          <t>status</t>
        </is>
      </c>
      <c r="I1" s="4" t="inlineStr">
        <is>
          <t>paid_amount</t>
        </is>
      </c>
      <c r="J1" s="4" t="inlineStr">
        <is>
          <t>case_reserve</t>
        </is>
      </c>
      <c r="K1" s="4" t="inlineStr">
        <is>
          <t>incurred_amount</t>
        </is>
      </c>
      <c r="L1" s="4" t="inlineStr">
        <is>
          <t>exceeds_limit</t>
        </is>
      </c>
    </row>
    <row r="2">
      <c r="A2" s="9" t="inlineStr">
        <is>
          <t>CL005584</t>
        </is>
      </c>
      <c r="B2" s="9" t="inlineStr">
        <is>
          <t>T0549</t>
        </is>
      </c>
      <c r="C2" s="9" t="inlineStr">
        <is>
          <t>Orion General</t>
        </is>
      </c>
      <c r="D2" s="9" t="inlineStr">
        <is>
          <t>Casualty</t>
        </is>
      </c>
      <c r="E2" s="9" t="inlineStr">
        <is>
          <t>North America</t>
        </is>
      </c>
      <c r="F2" s="9" t="inlineStr">
        <is>
          <t>2026-07-05</t>
        </is>
      </c>
      <c r="G2" s="9" t="inlineStr">
        <is>
          <t>Auto Liability</t>
        </is>
      </c>
      <c r="H2" s="9" t="inlineStr">
        <is>
          <t>Open</t>
        </is>
      </c>
      <c r="I2" s="12" t="n">
        <v>1042044.26</v>
      </c>
      <c r="J2" s="12" t="n">
        <v>4168177.05</v>
      </c>
      <c r="K2" s="12" t="n">
        <v>5210221.31</v>
      </c>
      <c r="L2" s="9" t="n">
        <v>1</v>
      </c>
    </row>
    <row r="3">
      <c r="A3" s="9" t="inlineStr">
        <is>
          <t>CL005836</t>
        </is>
      </c>
      <c r="B3" s="9" t="inlineStr">
        <is>
          <t>T0549</t>
        </is>
      </c>
      <c r="C3" s="9" t="inlineStr">
        <is>
          <t>Orion General</t>
        </is>
      </c>
      <c r="D3" s="9" t="inlineStr">
        <is>
          <t>Casualty</t>
        </is>
      </c>
      <c r="E3" s="9" t="inlineStr">
        <is>
          <t>North America</t>
        </is>
      </c>
      <c r="F3" s="9" t="inlineStr">
        <is>
          <t>2026-08-12</t>
        </is>
      </c>
      <c r="G3" s="9" t="inlineStr">
        <is>
          <t>General Liability</t>
        </is>
      </c>
      <c r="H3" s="9" t="inlineStr">
        <is>
          <t>Open</t>
        </is>
      </c>
      <c r="I3" s="12" t="n">
        <v>944562.62</v>
      </c>
      <c r="J3" s="12" t="n">
        <v>3778250.49</v>
      </c>
      <c r="K3" s="12" t="n">
        <v>4722813.11</v>
      </c>
      <c r="L3" s="9" t="n">
        <v>1</v>
      </c>
    </row>
    <row r="4">
      <c r="A4" s="9" t="inlineStr">
        <is>
          <t>CL000871</t>
        </is>
      </c>
      <c r="B4" s="9" t="inlineStr">
        <is>
          <t>T0422</t>
        </is>
      </c>
      <c r="C4" s="9" t="inlineStr">
        <is>
          <t>Evergreen Insurance</t>
        </is>
      </c>
      <c r="D4" s="9" t="inlineStr">
        <is>
          <t>Property</t>
        </is>
      </c>
      <c r="E4" s="9" t="inlineStr">
        <is>
          <t>North America</t>
        </is>
      </c>
      <c r="F4" s="9" t="inlineStr">
        <is>
          <t>2022-09-09</t>
        </is>
      </c>
      <c r="G4" s="9" t="inlineStr">
        <is>
          <t>Fire &amp; Explosion</t>
        </is>
      </c>
      <c r="H4" s="9" t="inlineStr">
        <is>
          <t>Settled</t>
        </is>
      </c>
      <c r="I4" s="12" t="n">
        <v>4351650.38</v>
      </c>
      <c r="J4" s="12" t="n">
        <v>0</v>
      </c>
      <c r="K4" s="12" t="n">
        <v>4351650.38</v>
      </c>
      <c r="L4" s="9" t="n">
        <v>0</v>
      </c>
    </row>
    <row r="5">
      <c r="A5" s="9" t="inlineStr">
        <is>
          <t>CL002962</t>
        </is>
      </c>
      <c r="B5" s="9" t="inlineStr">
        <is>
          <t>T0469</t>
        </is>
      </c>
      <c r="C5" s="9" t="inlineStr">
        <is>
          <t>Crown General</t>
        </is>
      </c>
      <c r="D5" s="9" t="inlineStr">
        <is>
          <t>Specialty</t>
        </is>
      </c>
      <c r="E5" s="9" t="inlineStr">
        <is>
          <t>North America</t>
        </is>
      </c>
      <c r="F5" s="9" t="inlineStr">
        <is>
          <t>2024-07-01</t>
        </is>
      </c>
      <c r="G5" s="9" t="inlineStr">
        <is>
          <t>Political Risk</t>
        </is>
      </c>
      <c r="H5" s="9" t="inlineStr">
        <is>
          <t>Open</t>
        </is>
      </c>
      <c r="I5" s="12" t="n">
        <v>712453.1</v>
      </c>
      <c r="J5" s="12" t="n">
        <v>2849812.38</v>
      </c>
      <c r="K5" s="12" t="n">
        <v>3562265.48</v>
      </c>
      <c r="L5" s="9" t="n">
        <v>1</v>
      </c>
    </row>
    <row r="6">
      <c r="A6" s="9" t="inlineStr">
        <is>
          <t>CL003195</t>
        </is>
      </c>
      <c r="B6" s="9" t="inlineStr">
        <is>
          <t>T0456</t>
        </is>
      </c>
      <c r="C6" s="9" t="inlineStr">
        <is>
          <t>Meridian General</t>
        </is>
      </c>
      <c r="D6" s="9" t="inlineStr">
        <is>
          <t>Property</t>
        </is>
      </c>
      <c r="E6" s="9" t="inlineStr">
        <is>
          <t>North America</t>
        </is>
      </c>
      <c r="F6" s="9" t="inlineStr">
        <is>
          <t>2024-07-24</t>
        </is>
      </c>
      <c r="G6" s="9" t="inlineStr">
        <is>
          <t>Natural Catastrophe</t>
        </is>
      </c>
      <c r="H6" s="9" t="inlineStr">
        <is>
          <t>Settled</t>
        </is>
      </c>
      <c r="I6" s="12" t="n">
        <v>3442803.59</v>
      </c>
      <c r="J6" s="12" t="n">
        <v>0</v>
      </c>
      <c r="K6" s="12" t="n">
        <v>3442803.59</v>
      </c>
      <c r="L6" s="9" t="n">
        <v>0</v>
      </c>
    </row>
    <row r="7">
      <c r="A7" s="9" t="inlineStr">
        <is>
          <t>CL002836</t>
        </is>
      </c>
      <c r="B7" s="9" t="inlineStr">
        <is>
          <t>T0272</t>
        </is>
      </c>
      <c r="C7" s="9" t="inlineStr">
        <is>
          <t>Evergreen Indemnity</t>
        </is>
      </c>
      <c r="D7" s="9" t="inlineStr">
        <is>
          <t>Casualty</t>
        </is>
      </c>
      <c r="E7" s="9" t="inlineStr">
        <is>
          <t>North America</t>
        </is>
      </c>
      <c r="F7" s="9" t="inlineStr">
        <is>
          <t>2024-04-23</t>
        </is>
      </c>
      <c r="G7" s="9" t="inlineStr">
        <is>
          <t>Workers Compensation</t>
        </is>
      </c>
      <c r="H7" s="9" t="inlineStr">
        <is>
          <t>Settled</t>
        </is>
      </c>
      <c r="I7" s="12" t="n">
        <v>3424691.22</v>
      </c>
      <c r="J7" s="12" t="n">
        <v>0</v>
      </c>
      <c r="K7" s="12" t="n">
        <v>3424691.22</v>
      </c>
      <c r="L7" s="9" t="n">
        <v>0</v>
      </c>
    </row>
    <row r="8">
      <c r="A8" s="9" t="inlineStr">
        <is>
          <t>CL005471</t>
        </is>
      </c>
      <c r="B8" s="9" t="inlineStr">
        <is>
          <t>T0058</t>
        </is>
      </c>
      <c r="C8" s="9" t="inlineStr">
        <is>
          <t>Cobalt Indemnity</t>
        </is>
      </c>
      <c r="D8" s="9" t="inlineStr">
        <is>
          <t>Specialty</t>
        </is>
      </c>
      <c r="E8" s="9" t="inlineStr">
        <is>
          <t>North America</t>
        </is>
      </c>
      <c r="F8" s="9" t="inlineStr">
        <is>
          <t>2026-06-04</t>
        </is>
      </c>
      <c r="G8" s="9" t="inlineStr">
        <is>
          <t>Aviation</t>
        </is>
      </c>
      <c r="H8" s="9" t="inlineStr">
        <is>
          <t>Open</t>
        </is>
      </c>
      <c r="I8" s="12" t="n">
        <v>612738.99</v>
      </c>
      <c r="J8" s="12" t="n">
        <v>2450955.96</v>
      </c>
      <c r="K8" s="12" t="n">
        <v>3063694.95</v>
      </c>
      <c r="L8" s="9" t="n">
        <v>1</v>
      </c>
    </row>
    <row r="9">
      <c r="A9" s="9" t="inlineStr">
        <is>
          <t>CL004133</t>
        </is>
      </c>
      <c r="B9" s="9" t="inlineStr">
        <is>
          <t>T0483</t>
        </is>
      </c>
      <c r="C9" s="9" t="inlineStr">
        <is>
          <t>Evergreen General</t>
        </is>
      </c>
      <c r="D9" s="9" t="inlineStr">
        <is>
          <t>Casualty</t>
        </is>
      </c>
      <c r="E9" s="9" t="inlineStr">
        <is>
          <t>North America</t>
        </is>
      </c>
      <c r="F9" s="9" t="inlineStr">
        <is>
          <t>2025-05-07</t>
        </is>
      </c>
      <c r="G9" s="9" t="inlineStr">
        <is>
          <t>General Liability</t>
        </is>
      </c>
      <c r="H9" s="9" t="inlineStr">
        <is>
          <t>Open</t>
        </is>
      </c>
      <c r="I9" s="12" t="n">
        <v>594963.96</v>
      </c>
      <c r="J9" s="12" t="n">
        <v>2379855.82</v>
      </c>
      <c r="K9" s="12" t="n">
        <v>2974819.78</v>
      </c>
      <c r="L9" s="9" t="n">
        <v>1</v>
      </c>
    </row>
    <row r="10">
      <c r="A10" s="9" t="inlineStr">
        <is>
          <t>CL002257</t>
        </is>
      </c>
      <c r="B10" s="9" t="inlineStr">
        <is>
          <t>T0611</t>
        </is>
      </c>
      <c r="C10" s="9" t="inlineStr">
        <is>
          <t>Evergreen General</t>
        </is>
      </c>
      <c r="D10" s="9" t="inlineStr">
        <is>
          <t>Specialty</t>
        </is>
      </c>
      <c r="E10" s="9" t="inlineStr">
        <is>
          <t>North America</t>
        </is>
      </c>
      <c r="F10" s="9" t="inlineStr">
        <is>
          <t>2023-12-14</t>
        </is>
      </c>
      <c r="G10" s="9" t="inlineStr">
        <is>
          <t>Energy</t>
        </is>
      </c>
      <c r="H10" s="9" t="inlineStr">
        <is>
          <t>Open</t>
        </is>
      </c>
      <c r="I10" s="12" t="n">
        <v>592643</v>
      </c>
      <c r="J10" s="12" t="n">
        <v>2370572</v>
      </c>
      <c r="K10" s="12" t="n">
        <v>2963215</v>
      </c>
      <c r="L10" s="9" t="n">
        <v>1</v>
      </c>
    </row>
    <row r="11">
      <c r="A11" s="9" t="inlineStr">
        <is>
          <t>CL005721</t>
        </is>
      </c>
      <c r="B11" s="9" t="inlineStr">
        <is>
          <t>T0132</t>
        </is>
      </c>
      <c r="C11" s="9" t="inlineStr">
        <is>
          <t>Cobalt General</t>
        </is>
      </c>
      <c r="D11" s="9" t="inlineStr">
        <is>
          <t>Property</t>
        </is>
      </c>
      <c r="E11" s="9" t="inlineStr">
        <is>
          <t>North America</t>
        </is>
      </c>
      <c r="F11" s="9" t="inlineStr">
        <is>
          <t>2026-07-25</t>
        </is>
      </c>
      <c r="G11" s="9" t="inlineStr">
        <is>
          <t>Business Interruption</t>
        </is>
      </c>
      <c r="H11" s="9" t="inlineStr">
        <is>
          <t>Open</t>
        </is>
      </c>
      <c r="I11" s="12" t="n">
        <v>590213.65</v>
      </c>
      <c r="J11" s="12" t="n">
        <v>2360854.59</v>
      </c>
      <c r="K11" s="12" t="n">
        <v>2951068.24</v>
      </c>
      <c r="L11" s="9" t="n">
        <v>1</v>
      </c>
    </row>
    <row r="12">
      <c r="A12" s="9" t="inlineStr">
        <is>
          <t>CL001527</t>
        </is>
      </c>
      <c r="B12" s="9" t="inlineStr">
        <is>
          <t>T0422</t>
        </is>
      </c>
      <c r="C12" s="9" t="inlineStr">
        <is>
          <t>Evergreen Insurance</t>
        </is>
      </c>
      <c r="D12" s="9" t="inlineStr">
        <is>
          <t>Property</t>
        </is>
      </c>
      <c r="E12" s="9" t="inlineStr">
        <is>
          <t>North America</t>
        </is>
      </c>
      <c r="F12" s="9" t="inlineStr">
        <is>
          <t>2023-03-12</t>
        </is>
      </c>
      <c r="G12" s="9" t="inlineStr">
        <is>
          <t>Natural Catastrophe</t>
        </is>
      </c>
      <c r="H12" s="9" t="inlineStr">
        <is>
          <t>Settled</t>
        </is>
      </c>
      <c r="I12" s="12" t="n">
        <v>2479969.82</v>
      </c>
      <c r="J12" s="12" t="n">
        <v>0</v>
      </c>
      <c r="K12" s="12" t="n">
        <v>2479969.82</v>
      </c>
      <c r="L12" s="9" t="n">
        <v>0</v>
      </c>
    </row>
    <row r="13">
      <c r="A13" s="9" t="inlineStr">
        <is>
          <t>CL003176</t>
        </is>
      </c>
      <c r="B13" s="9" t="inlineStr">
        <is>
          <t>T0272</t>
        </is>
      </c>
      <c r="C13" s="9" t="inlineStr">
        <is>
          <t>Evergreen Indemnity</t>
        </is>
      </c>
      <c r="D13" s="9" t="inlineStr">
        <is>
          <t>Casualty</t>
        </is>
      </c>
      <c r="E13" s="9" t="inlineStr">
        <is>
          <t>North America</t>
        </is>
      </c>
      <c r="F13" s="9" t="inlineStr">
        <is>
          <t>2024-09-24</t>
        </is>
      </c>
      <c r="G13" s="9" t="inlineStr">
        <is>
          <t>Workers Compensation</t>
        </is>
      </c>
      <c r="H13" s="9" t="inlineStr">
        <is>
          <t>Settled</t>
        </is>
      </c>
      <c r="I13" s="12" t="n">
        <v>2302779.03</v>
      </c>
      <c r="J13" s="12" t="n">
        <v>0</v>
      </c>
      <c r="K13" s="12" t="n">
        <v>2302779.03</v>
      </c>
      <c r="L13" s="9" t="n">
        <v>0</v>
      </c>
    </row>
    <row r="14">
      <c r="A14" s="9" t="inlineStr">
        <is>
          <t>CL005550</t>
        </is>
      </c>
      <c r="B14" s="9" t="inlineStr">
        <is>
          <t>T0427</t>
        </is>
      </c>
      <c r="C14" s="9" t="inlineStr">
        <is>
          <t>Evergreen Insurance</t>
        </is>
      </c>
      <c r="D14" s="9" t="inlineStr">
        <is>
          <t>Specialty</t>
        </is>
      </c>
      <c r="E14" s="9" t="inlineStr">
        <is>
          <t>North America</t>
        </is>
      </c>
      <c r="F14" s="9" t="inlineStr">
        <is>
          <t>2026-04-20</t>
        </is>
      </c>
      <c r="G14" s="9" t="inlineStr">
        <is>
          <t>Political Risk</t>
        </is>
      </c>
      <c r="H14" s="9" t="inlineStr">
        <is>
          <t>Open</t>
        </is>
      </c>
      <c r="I14" s="12" t="n">
        <v>408972.88</v>
      </c>
      <c r="J14" s="12" t="n">
        <v>1842202.72</v>
      </c>
      <c r="K14" s="12" t="n">
        <v>2251175.6</v>
      </c>
      <c r="L14" s="9" t="n">
        <v>0</v>
      </c>
    </row>
    <row r="15">
      <c r="A15" s="9" t="inlineStr">
        <is>
          <t>CL005601</t>
        </is>
      </c>
      <c r="B15" s="9" t="inlineStr">
        <is>
          <t>T0174</t>
        </is>
      </c>
      <c r="C15" s="9" t="inlineStr">
        <is>
          <t>Cobalt Indemnity</t>
        </is>
      </c>
      <c r="D15" s="9" t="inlineStr">
        <is>
          <t>Casualty</t>
        </is>
      </c>
      <c r="E15" s="9" t="inlineStr">
        <is>
          <t>North America</t>
        </is>
      </c>
      <c r="F15" s="9" t="inlineStr">
        <is>
          <t>2026-06-23</t>
        </is>
      </c>
      <c r="G15" s="9" t="inlineStr">
        <is>
          <t>Workers Compensation</t>
        </is>
      </c>
      <c r="H15" s="9" t="inlineStr">
        <is>
          <t>Open</t>
        </is>
      </c>
      <c r="I15" s="12" t="n">
        <v>513047.63</v>
      </c>
      <c r="J15" s="12" t="n">
        <v>1611625.93</v>
      </c>
      <c r="K15" s="12" t="n">
        <v>2124673.56</v>
      </c>
      <c r="L15" s="9" t="n">
        <v>0</v>
      </c>
    </row>
    <row r="16">
      <c r="A16" s="9" t="inlineStr">
        <is>
          <t>CL004700</t>
        </is>
      </c>
      <c r="B16" s="9" t="inlineStr">
        <is>
          <t>T0200</t>
        </is>
      </c>
      <c r="C16" s="9" t="inlineStr">
        <is>
          <t>Lumen Insurance</t>
        </is>
      </c>
      <c r="D16" s="9" t="inlineStr">
        <is>
          <t>Specialty</t>
        </is>
      </c>
      <c r="E16" s="9" t="inlineStr">
        <is>
          <t>North America</t>
        </is>
      </c>
      <c r="F16" s="9" t="inlineStr">
        <is>
          <t>2025-11-14</t>
        </is>
      </c>
      <c r="G16" s="9" t="inlineStr">
        <is>
          <t>Marine Hull</t>
        </is>
      </c>
      <c r="H16" s="9" t="inlineStr">
        <is>
          <t>Open</t>
        </is>
      </c>
      <c r="I16" s="12" t="n">
        <v>556837.79</v>
      </c>
      <c r="J16" s="12" t="n">
        <v>1415607.64</v>
      </c>
      <c r="K16" s="12" t="n">
        <v>1972445.43</v>
      </c>
      <c r="L16" s="9" t="n">
        <v>0</v>
      </c>
    </row>
    <row r="17">
      <c r="A17" s="9" t="inlineStr">
        <is>
          <t>CL001180</t>
        </is>
      </c>
      <c r="B17" s="9" t="inlineStr">
        <is>
          <t>T0422</t>
        </is>
      </c>
      <c r="C17" s="9" t="inlineStr">
        <is>
          <t>Evergreen Insurance</t>
        </is>
      </c>
      <c r="D17" s="9" t="inlineStr">
        <is>
          <t>Property</t>
        </is>
      </c>
      <c r="E17" s="9" t="inlineStr">
        <is>
          <t>North America</t>
        </is>
      </c>
      <c r="F17" s="9" t="inlineStr">
        <is>
          <t>2022-12-18</t>
        </is>
      </c>
      <c r="G17" s="9" t="inlineStr">
        <is>
          <t>Fire &amp; Explosion</t>
        </is>
      </c>
      <c r="H17" s="9" t="inlineStr">
        <is>
          <t>Settled</t>
        </is>
      </c>
      <c r="I17" s="12" t="n">
        <v>1960557.24</v>
      </c>
      <c r="J17" s="12" t="n">
        <v>0</v>
      </c>
      <c r="K17" s="12" t="n">
        <v>1960557.24</v>
      </c>
      <c r="L17" s="9" t="n">
        <v>0</v>
      </c>
    </row>
    <row r="18">
      <c r="A18" s="9" t="inlineStr">
        <is>
          <t>CL003108</t>
        </is>
      </c>
      <c r="B18" s="9" t="inlineStr">
        <is>
          <t>T0001</t>
        </is>
      </c>
      <c r="C18" s="9" t="inlineStr">
        <is>
          <t>Crown General</t>
        </is>
      </c>
      <c r="D18" s="9" t="inlineStr">
        <is>
          <t>Property</t>
        </is>
      </c>
      <c r="E18" s="9" t="inlineStr">
        <is>
          <t>North America</t>
        </is>
      </c>
      <c r="F18" s="9" t="inlineStr">
        <is>
          <t>2024-08-30</t>
        </is>
      </c>
      <c r="G18" s="9" t="inlineStr">
        <is>
          <t>Natural Catastrophe</t>
        </is>
      </c>
      <c r="H18" s="9" t="inlineStr">
        <is>
          <t>Settled</t>
        </is>
      </c>
      <c r="I18" s="12" t="n">
        <v>1942431.11</v>
      </c>
      <c r="J18" s="12" t="n">
        <v>0</v>
      </c>
      <c r="K18" s="12" t="n">
        <v>1942431.11</v>
      </c>
      <c r="L18" s="9" t="n">
        <v>0</v>
      </c>
    </row>
    <row r="19">
      <c r="A19" s="9" t="inlineStr">
        <is>
          <t>CL004171</t>
        </is>
      </c>
      <c r="B19" s="9" t="inlineStr">
        <is>
          <t>T0020</t>
        </is>
      </c>
      <c r="C19" s="9" t="inlineStr">
        <is>
          <t>Orion General</t>
        </is>
      </c>
      <c r="D19" s="9" t="inlineStr">
        <is>
          <t>Professional</t>
        </is>
      </c>
      <c r="E19" s="9" t="inlineStr">
        <is>
          <t>North America</t>
        </is>
      </c>
      <c r="F19" s="9" t="inlineStr">
        <is>
          <t>2025-06-10</t>
        </is>
      </c>
      <c r="G19" s="9" t="inlineStr">
        <is>
          <t>Medical Malpractice</t>
        </is>
      </c>
      <c r="H19" s="9" t="inlineStr">
        <is>
          <t>Open</t>
        </is>
      </c>
      <c r="I19" s="12" t="n">
        <v>465131.41</v>
      </c>
      <c r="J19" s="12" t="n">
        <v>1456602.98</v>
      </c>
      <c r="K19" s="12" t="n">
        <v>1921734.39</v>
      </c>
      <c r="L19" s="9" t="n">
        <v>0</v>
      </c>
    </row>
    <row r="20">
      <c r="A20" s="9" t="inlineStr">
        <is>
          <t>CL003793</t>
        </is>
      </c>
      <c r="B20" s="9" t="inlineStr">
        <is>
          <t>T0300</t>
        </is>
      </c>
      <c r="C20" s="9" t="inlineStr">
        <is>
          <t>Evergreen Assurance</t>
        </is>
      </c>
      <c r="D20" s="9" t="inlineStr">
        <is>
          <t>Specialty</t>
        </is>
      </c>
      <c r="E20" s="9" t="inlineStr">
        <is>
          <t>North America</t>
        </is>
      </c>
      <c r="F20" s="9" t="inlineStr">
        <is>
          <t>2025-03-09</t>
        </is>
      </c>
      <c r="G20" s="9" t="inlineStr">
        <is>
          <t>Energy</t>
        </is>
      </c>
      <c r="H20" s="9" t="inlineStr">
        <is>
          <t>Settled</t>
        </is>
      </c>
      <c r="I20" s="12" t="n">
        <v>1846527.21</v>
      </c>
      <c r="J20" s="12" t="n">
        <v>0</v>
      </c>
      <c r="K20" s="12" t="n">
        <v>1846527.21</v>
      </c>
      <c r="L20" s="9" t="n">
        <v>0</v>
      </c>
    </row>
    <row r="21">
      <c r="A21" s="9" t="inlineStr">
        <is>
          <t>CL002384</t>
        </is>
      </c>
      <c r="B21" s="9" t="inlineStr">
        <is>
          <t>T0295</t>
        </is>
      </c>
      <c r="C21" s="9" t="inlineStr">
        <is>
          <t>Evergreen General</t>
        </is>
      </c>
      <c r="D21" s="9" t="inlineStr">
        <is>
          <t>Property</t>
        </is>
      </c>
      <c r="E21" s="9" t="inlineStr">
        <is>
          <t>North America</t>
        </is>
      </c>
      <c r="F21" s="9" t="inlineStr">
        <is>
          <t>2024-01-25</t>
        </is>
      </c>
      <c r="G21" s="9" t="inlineStr">
        <is>
          <t>Business Interruption</t>
        </is>
      </c>
      <c r="H21" s="9" t="inlineStr">
        <is>
          <t>Settled</t>
        </is>
      </c>
      <c r="I21" s="12" t="n">
        <v>1802975.22</v>
      </c>
      <c r="J21" s="12" t="n">
        <v>0</v>
      </c>
      <c r="K21" s="12" t="n">
        <v>1802975.22</v>
      </c>
      <c r="L21" s="9" t="n">
        <v>0</v>
      </c>
    </row>
    <row r="22">
      <c r="A22" s="9" t="inlineStr">
        <is>
          <t>CL002470</t>
        </is>
      </c>
      <c r="B22" s="9" t="inlineStr">
        <is>
          <t>T0699</t>
        </is>
      </c>
      <c r="C22" s="9" t="inlineStr">
        <is>
          <t>Evergreen Assurance</t>
        </is>
      </c>
      <c r="D22" s="9" t="inlineStr">
        <is>
          <t>Property</t>
        </is>
      </c>
      <c r="E22" s="9" t="inlineStr">
        <is>
          <t>North America</t>
        </is>
      </c>
      <c r="F22" s="9" t="inlineStr">
        <is>
          <t>2024-01-15</t>
        </is>
      </c>
      <c r="G22" s="9" t="inlineStr">
        <is>
          <t>Fire &amp; Explosion</t>
        </is>
      </c>
      <c r="H22" s="9" t="inlineStr">
        <is>
          <t>Settled</t>
        </is>
      </c>
      <c r="I22" s="12" t="n">
        <v>1692018.41</v>
      </c>
      <c r="J22" s="12" t="n">
        <v>0</v>
      </c>
      <c r="K22" s="12" t="n">
        <v>1692018.41</v>
      </c>
      <c r="L22" s="9" t="n">
        <v>0</v>
      </c>
    </row>
    <row r="23">
      <c r="A23" s="9" t="inlineStr">
        <is>
          <t>CL005226</t>
        </is>
      </c>
      <c r="B23" s="9" t="inlineStr">
        <is>
          <t>T0200</t>
        </is>
      </c>
      <c r="C23" s="9" t="inlineStr">
        <is>
          <t>Lumen Insurance</t>
        </is>
      </c>
      <c r="D23" s="9" t="inlineStr">
        <is>
          <t>Specialty</t>
        </is>
      </c>
      <c r="E23" s="9" t="inlineStr">
        <is>
          <t>North America</t>
        </is>
      </c>
      <c r="F23" s="9" t="inlineStr">
        <is>
          <t>2026-01-24</t>
        </is>
      </c>
      <c r="G23" s="9" t="inlineStr">
        <is>
          <t>Political Risk</t>
        </is>
      </c>
      <c r="H23" s="9" t="inlineStr">
        <is>
          <t>Settled</t>
        </is>
      </c>
      <c r="I23" s="12" t="n">
        <v>1679625.07</v>
      </c>
      <c r="J23" s="12" t="n">
        <v>0</v>
      </c>
      <c r="K23" s="12" t="n">
        <v>1679625.07</v>
      </c>
      <c r="L23" s="9" t="n">
        <v>0</v>
      </c>
    </row>
    <row r="24">
      <c r="A24" s="9" t="inlineStr">
        <is>
          <t>CL004463</t>
        </is>
      </c>
      <c r="B24" s="9" t="inlineStr">
        <is>
          <t>T0427</t>
        </is>
      </c>
      <c r="C24" s="9" t="inlineStr">
        <is>
          <t>Evergreen Insurance</t>
        </is>
      </c>
      <c r="D24" s="9" t="inlineStr">
        <is>
          <t>Specialty</t>
        </is>
      </c>
      <c r="E24" s="9" t="inlineStr">
        <is>
          <t>North America</t>
        </is>
      </c>
      <c r="F24" s="9" t="inlineStr">
        <is>
          <t>2025-09-22</t>
        </is>
      </c>
      <c r="G24" s="9" t="inlineStr">
        <is>
          <t>Aviation</t>
        </is>
      </c>
      <c r="H24" s="9" t="inlineStr">
        <is>
          <t>Settled</t>
        </is>
      </c>
      <c r="I24" s="12" t="n">
        <v>1642957.89</v>
      </c>
      <c r="J24" s="12" t="n">
        <v>0</v>
      </c>
      <c r="K24" s="12" t="n">
        <v>1642957.89</v>
      </c>
      <c r="L24" s="9" t="n">
        <v>0</v>
      </c>
    </row>
    <row r="25">
      <c r="A25" s="9" t="inlineStr">
        <is>
          <t>CL004703</t>
        </is>
      </c>
      <c r="B25" s="9" t="inlineStr">
        <is>
          <t>T0200</t>
        </is>
      </c>
      <c r="C25" s="9" t="inlineStr">
        <is>
          <t>Lumen Insurance</t>
        </is>
      </c>
      <c r="D25" s="9" t="inlineStr">
        <is>
          <t>Specialty</t>
        </is>
      </c>
      <c r="E25" s="9" t="inlineStr">
        <is>
          <t>North America</t>
        </is>
      </c>
      <c r="F25" s="9" t="inlineStr">
        <is>
          <t>2025-11-29</t>
        </is>
      </c>
      <c r="G25" s="9" t="inlineStr">
        <is>
          <t>Aviation</t>
        </is>
      </c>
      <c r="H25" s="9" t="inlineStr">
        <is>
          <t>Settled</t>
        </is>
      </c>
      <c r="I25" s="12" t="n">
        <v>1609066.66</v>
      </c>
      <c r="J25" s="12" t="n">
        <v>0</v>
      </c>
      <c r="K25" s="12" t="n">
        <v>1609066.66</v>
      </c>
      <c r="L25" s="9" t="n">
        <v>0</v>
      </c>
    </row>
    <row r="26">
      <c r="A26" s="9" t="inlineStr">
        <is>
          <t>CL000908</t>
        </is>
      </c>
      <c r="B26" s="9" t="inlineStr">
        <is>
          <t>T0687</t>
        </is>
      </c>
      <c r="C26" s="9" t="inlineStr">
        <is>
          <t>Evergreen Indemnity</t>
        </is>
      </c>
      <c r="D26" s="9" t="inlineStr">
        <is>
          <t>Casualty</t>
        </is>
      </c>
      <c r="E26" s="9" t="inlineStr">
        <is>
          <t>North America</t>
        </is>
      </c>
      <c r="F26" s="9" t="inlineStr">
        <is>
          <t>2022-09-12</t>
        </is>
      </c>
      <c r="G26" s="9" t="inlineStr">
        <is>
          <t>General Liability</t>
        </is>
      </c>
      <c r="H26" s="9" t="inlineStr">
        <is>
          <t>Settled</t>
        </is>
      </c>
      <c r="I26" s="12" t="n">
        <v>1520757.47</v>
      </c>
      <c r="J26" s="12" t="n">
        <v>0</v>
      </c>
      <c r="K26" s="12" t="n">
        <v>1520757.47</v>
      </c>
      <c r="L26" s="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5" customWidth="1" min="4" max="4"/>
    <col width="20" customWidth="1" min="5" max="5"/>
    <col width="13" customWidth="1" min="6" max="6"/>
    <col width="12" customWidth="1" min="7" max="7"/>
    <col width="21" customWidth="1" min="8" max="8"/>
  </cols>
  <sheetData>
    <row r="1">
      <c r="A1" s="4" t="inlineStr">
        <is>
          <t>treaty_id</t>
        </is>
      </c>
      <c r="B1" s="4" t="inlineStr">
        <is>
          <t>cedant_name</t>
        </is>
      </c>
      <c r="C1" s="4" t="inlineStr">
        <is>
          <t>lob_name</t>
        </is>
      </c>
      <c r="D1" s="4" t="inlineStr">
        <is>
          <t>region_name</t>
        </is>
      </c>
      <c r="E1" s="4" t="inlineStr">
        <is>
          <t>underwriter_name</t>
        </is>
      </c>
      <c r="F1" s="4" t="inlineStr">
        <is>
          <t>limit_usd</t>
        </is>
      </c>
      <c r="G1" s="4" t="inlineStr">
        <is>
          <t>incurred</t>
        </is>
      </c>
      <c r="H1" s="4" t="inlineStr">
        <is>
          <t>limit_utilisation</t>
        </is>
      </c>
    </row>
    <row r="2">
      <c r="A2" s="9" t="inlineStr">
        <is>
          <t>T0549</t>
        </is>
      </c>
      <c r="B2" s="9" t="inlineStr">
        <is>
          <t>Orion General</t>
        </is>
      </c>
      <c r="C2" s="9" t="inlineStr">
        <is>
          <t>Casualty</t>
        </is>
      </c>
      <c r="D2" s="9" t="inlineStr">
        <is>
          <t>North America</t>
        </is>
      </c>
      <c r="E2" s="9" t="inlineStr">
        <is>
          <t>Omar Haddad</t>
        </is>
      </c>
      <c r="F2" s="12" t="n">
        <v>3500000</v>
      </c>
      <c r="G2" s="12" t="n">
        <v>10700458.39</v>
      </c>
      <c r="H2" s="15" t="n">
        <v>3.057273825714286</v>
      </c>
    </row>
    <row r="3">
      <c r="A3" s="9" t="inlineStr">
        <is>
          <t>T0611</t>
        </is>
      </c>
      <c r="B3" s="9" t="inlineStr">
        <is>
          <t>Evergreen General</t>
        </is>
      </c>
      <c r="C3" s="9" t="inlineStr">
        <is>
          <t>Specialty</t>
        </is>
      </c>
      <c r="D3" s="9" t="inlineStr">
        <is>
          <t>North America</t>
        </is>
      </c>
      <c r="E3" s="9" t="inlineStr">
        <is>
          <t>James Whitfield</t>
        </is>
      </c>
      <c r="F3" s="12" t="n">
        <v>2200000</v>
      </c>
      <c r="G3" s="12" t="n">
        <v>3226670.7</v>
      </c>
      <c r="H3" s="15" t="n">
        <v>1.4666685</v>
      </c>
    </row>
    <row r="4">
      <c r="A4" s="9" t="inlineStr">
        <is>
          <t>T0058</t>
        </is>
      </c>
      <c r="B4" s="9" t="inlineStr">
        <is>
          <t>Cobalt Indemnity</t>
        </is>
      </c>
      <c r="C4" s="9" t="inlineStr">
        <is>
          <t>Specialty</t>
        </is>
      </c>
      <c r="D4" s="9" t="inlineStr">
        <is>
          <t>North America</t>
        </is>
      </c>
      <c r="E4" s="9" t="inlineStr">
        <is>
          <t>Carlos Ibarra</t>
        </is>
      </c>
      <c r="F4" s="12" t="n">
        <v>2300000</v>
      </c>
      <c r="G4" s="12" t="n">
        <v>3184909.96</v>
      </c>
      <c r="H4" s="15" t="n">
        <v>1.384743460869565</v>
      </c>
    </row>
    <row r="5">
      <c r="A5" s="9" t="inlineStr">
        <is>
          <t>T0483</t>
        </is>
      </c>
      <c r="B5" s="9" t="inlineStr">
        <is>
          <t>Evergreen General</t>
        </is>
      </c>
      <c r="C5" s="9" t="inlineStr">
        <is>
          <t>Casualty</t>
        </is>
      </c>
      <c r="D5" s="9" t="inlineStr">
        <is>
          <t>North America</t>
        </is>
      </c>
      <c r="E5" s="9" t="inlineStr">
        <is>
          <t>Kenji Sato</t>
        </is>
      </c>
      <c r="F5" s="12" t="n">
        <v>2400000</v>
      </c>
      <c r="G5" s="12" t="n">
        <v>3277690.35</v>
      </c>
      <c r="H5" s="15" t="n">
        <v>1.3657043125</v>
      </c>
    </row>
    <row r="6">
      <c r="A6" s="9" t="inlineStr">
        <is>
          <t>T0132</t>
        </is>
      </c>
      <c r="B6" s="9" t="inlineStr">
        <is>
          <t>Cobalt General</t>
        </is>
      </c>
      <c r="C6" s="9" t="inlineStr">
        <is>
          <t>Property</t>
        </is>
      </c>
      <c r="D6" s="9" t="inlineStr">
        <is>
          <t>North America</t>
        </is>
      </c>
      <c r="E6" s="9" t="inlineStr">
        <is>
          <t>Omar Haddad</t>
        </is>
      </c>
      <c r="F6" s="12" t="n">
        <v>2600000</v>
      </c>
      <c r="G6" s="12" t="n">
        <v>3165653.25</v>
      </c>
      <c r="H6" s="15" t="n">
        <v>1.217558942307692</v>
      </c>
    </row>
    <row r="7">
      <c r="A7" s="9" t="inlineStr">
        <is>
          <t>T0469</t>
        </is>
      </c>
      <c r="B7" s="9" t="inlineStr">
        <is>
          <t>Crown General</t>
        </is>
      </c>
      <c r="C7" s="9" t="inlineStr">
        <is>
          <t>Specialty</t>
        </is>
      </c>
      <c r="D7" s="9" t="inlineStr">
        <is>
          <t>North America</t>
        </is>
      </c>
      <c r="E7" s="9" t="inlineStr">
        <is>
          <t>Omar Haddad</t>
        </is>
      </c>
      <c r="F7" s="12" t="n">
        <v>3200000</v>
      </c>
      <c r="G7" s="12" t="n">
        <v>3741523.78</v>
      </c>
      <c r="H7" s="15" t="n">
        <v>1.16922618125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8" customWidth="1" min="2" max="2"/>
    <col width="12" customWidth="1" min="3" max="3"/>
    <col width="12" customWidth="1" min="4" max="4"/>
    <col width="18" customWidth="1" min="5" max="5"/>
    <col width="18" customWidth="1" min="6" max="6"/>
    <col width="11" customWidth="1" min="7" max="7"/>
    <col width="26" customWidth="1" min="8" max="8"/>
  </cols>
  <sheetData>
    <row r="1">
      <c r="A1" s="4" t="inlineStr">
        <is>
          <t>check_id</t>
        </is>
      </c>
      <c r="B1" s="4" t="inlineStr">
        <is>
          <t>check_name</t>
        </is>
      </c>
      <c r="C1" s="4" t="inlineStr">
        <is>
          <t>category</t>
        </is>
      </c>
      <c r="D1" s="4" t="inlineStr">
        <is>
          <t>severity</t>
        </is>
      </c>
      <c r="E1" s="4" t="inlineStr">
        <is>
          <t>records_tested</t>
        </is>
      </c>
      <c r="F1" s="4" t="inlineStr">
        <is>
          <t>records_failed</t>
        </is>
      </c>
      <c r="G1" s="4" t="inlineStr">
        <is>
          <t>status</t>
        </is>
      </c>
      <c r="H1" s="4" t="inlineStr">
        <is>
          <t>action_taken</t>
        </is>
      </c>
    </row>
    <row r="2">
      <c r="A2" s="9" t="inlineStr">
        <is>
          <t>C01</t>
        </is>
      </c>
      <c r="B2" s="9" t="inlineStr">
        <is>
          <t>Treaty has blank region</t>
        </is>
      </c>
      <c r="C2" s="9" t="inlineStr">
        <is>
          <t>Completeness</t>
        </is>
      </c>
      <c r="D2" s="9" t="inlineStr">
        <is>
          <t>Medium</t>
        </is>
      </c>
      <c r="E2" s="9" t="n">
        <v>703</v>
      </c>
      <c r="F2" s="9" t="n">
        <v>20</v>
      </c>
      <c r="G2" s="9" t="inlineStr">
        <is>
          <t>FAIL</t>
        </is>
      </c>
      <c r="H2" s="9" t="inlineStr">
        <is>
          <t>Mapped to Unassigned</t>
        </is>
      </c>
    </row>
    <row r="3">
      <c r="A3" s="9" t="inlineStr">
        <is>
          <t>C02</t>
        </is>
      </c>
      <c r="B3" s="9" t="inlineStr">
        <is>
          <t>Treaty has blank underwriter</t>
        </is>
      </c>
      <c r="C3" s="9" t="inlineStr">
        <is>
          <t>Completeness</t>
        </is>
      </c>
      <c r="D3" s="9" t="inlineStr">
        <is>
          <t>Low</t>
        </is>
      </c>
      <c r="E3" s="9" t="n">
        <v>703</v>
      </c>
      <c r="F3" s="9" t="n">
        <v>15</v>
      </c>
      <c r="G3" s="9" t="inlineStr">
        <is>
          <t>FAIL</t>
        </is>
      </c>
      <c r="H3" s="9" t="inlineStr">
        <is>
          <t>Mapped to Unassigned</t>
        </is>
      </c>
    </row>
    <row r="4">
      <c r="A4" s="9" t="inlineStr">
        <is>
          <t>C03</t>
        </is>
      </c>
      <c r="B4" s="9" t="inlineStr">
        <is>
          <t>Treaty has blank currency</t>
        </is>
      </c>
      <c r="C4" s="9" t="inlineStr">
        <is>
          <t>Completeness</t>
        </is>
      </c>
      <c r="D4" s="9" t="inlineStr">
        <is>
          <t>High</t>
        </is>
      </c>
      <c r="E4" s="9" t="n">
        <v>703</v>
      </c>
      <c r="F4" s="9" t="n">
        <v>0</v>
      </c>
      <c r="G4" s="9" t="inlineStr">
        <is>
          <t>PASS</t>
        </is>
      </c>
      <c r="H4" s="9" t="inlineStr">
        <is>
          <t>None required</t>
        </is>
      </c>
    </row>
    <row r="5">
      <c r="A5" s="9" t="inlineStr">
        <is>
          <t>C04</t>
        </is>
      </c>
      <c r="B5" s="9" t="inlineStr">
        <is>
          <t>Premium transaction has null gross premium</t>
        </is>
      </c>
      <c r="C5" s="9" t="inlineStr">
        <is>
          <t>Completeness</t>
        </is>
      </c>
      <c r="D5" s="9" t="inlineStr">
        <is>
          <t>High</t>
        </is>
      </c>
      <c r="E5" s="9" t="n">
        <v>8058</v>
      </c>
      <c r="F5" s="9" t="n">
        <v>0</v>
      </c>
      <c r="G5" s="9" t="inlineStr">
        <is>
          <t>PASS</t>
        </is>
      </c>
      <c r="H5" s="9" t="inlineStr">
        <is>
          <t>None required</t>
        </is>
      </c>
    </row>
    <row r="6">
      <c r="A6" s="9" t="inlineStr">
        <is>
          <t>K01</t>
        </is>
      </c>
      <c r="B6" s="9" t="inlineStr">
        <is>
          <t>Incurred does not equal paid + case reserve</t>
        </is>
      </c>
      <c r="C6" s="9" t="inlineStr">
        <is>
          <t>Consistency</t>
        </is>
      </c>
      <c r="D6" s="9" t="inlineStr">
        <is>
          <t>Medium</t>
        </is>
      </c>
      <c r="E6" s="9" t="n">
        <v>6018</v>
      </c>
      <c r="F6" s="9" t="n">
        <v>30</v>
      </c>
      <c r="G6" s="9" t="inlineStr">
        <is>
          <t>FAIL</t>
        </is>
      </c>
      <c r="H6" s="9" t="inlineStr">
        <is>
          <t>Corrected</t>
        </is>
      </c>
    </row>
    <row r="7">
      <c r="A7" s="9" t="inlineStr">
        <is>
          <t>K02</t>
        </is>
      </c>
      <c r="B7" s="9" t="inlineStr">
        <is>
          <t>System C premium differs from System A annual estimate (&gt;2%)</t>
        </is>
      </c>
      <c r="C7" s="9" t="inlineStr">
        <is>
          <t>Consistency</t>
        </is>
      </c>
      <c r="D7" s="9" t="inlineStr">
        <is>
          <t>Medium</t>
        </is>
      </c>
      <c r="E7" s="9" t="n">
        <v>587</v>
      </c>
      <c r="F7" s="9" t="n">
        <v>10</v>
      </c>
      <c r="G7" s="9" t="inlineStr">
        <is>
          <t>FAIL</t>
        </is>
      </c>
      <c r="H7" s="9" t="inlineStr">
        <is>
          <t>Flagged</t>
        </is>
      </c>
    </row>
    <row r="8">
      <c r="A8" s="9" t="inlineStr">
        <is>
          <t>K03</t>
        </is>
      </c>
      <c r="B8" s="9" t="inlineStr">
        <is>
          <t>Earned premium exceeds gross premium</t>
        </is>
      </c>
      <c r="C8" s="9" t="inlineStr">
        <is>
          <t>Consistency</t>
        </is>
      </c>
      <c r="D8" s="9" t="inlineStr">
        <is>
          <t>Medium</t>
        </is>
      </c>
      <c r="E8" s="9" t="n">
        <v>8058</v>
      </c>
      <c r="F8" s="9" t="n">
        <v>0</v>
      </c>
      <c r="G8" s="9" t="inlineStr">
        <is>
          <t>PASS</t>
        </is>
      </c>
      <c r="H8" s="9" t="inlineStr">
        <is>
          <t>None required</t>
        </is>
      </c>
    </row>
    <row r="9">
      <c r="A9" s="9" t="inlineStr">
        <is>
          <t>K04</t>
        </is>
      </c>
      <c r="B9" s="9" t="inlineStr">
        <is>
          <t>Ceded premium exceeds gross premium</t>
        </is>
      </c>
      <c r="C9" s="9" t="inlineStr">
        <is>
          <t>Consistency</t>
        </is>
      </c>
      <c r="D9" s="9" t="inlineStr">
        <is>
          <t>Medium</t>
        </is>
      </c>
      <c r="E9" s="9" t="n">
        <v>8058</v>
      </c>
      <c r="F9" s="9" t="n">
        <v>0</v>
      </c>
      <c r="G9" s="9" t="inlineStr">
        <is>
          <t>PASS</t>
        </is>
      </c>
      <c r="H9" s="9" t="inlineStr">
        <is>
          <t>None required</t>
        </is>
      </c>
    </row>
    <row r="10">
      <c r="A10" s="9" t="inlineStr">
        <is>
          <t>R01</t>
        </is>
      </c>
      <c r="B10" s="9" t="inlineStr">
        <is>
          <t>Claim references a treaty that does not exist</t>
        </is>
      </c>
      <c r="C10" s="9" t="inlineStr">
        <is>
          <t>Referential integrity</t>
        </is>
      </c>
      <c r="D10" s="9" t="inlineStr">
        <is>
          <t>High</t>
        </is>
      </c>
      <c r="E10" s="9" t="n">
        <v>6018</v>
      </c>
      <c r="F10" s="9" t="n">
        <v>25</v>
      </c>
      <c r="G10" s="9" t="inlineStr">
        <is>
          <t>FAIL</t>
        </is>
      </c>
      <c r="H10" s="9" t="inlineStr">
        <is>
          <t>Quarantined</t>
        </is>
      </c>
    </row>
    <row r="11">
      <c r="A11" s="9" t="inlineStr">
        <is>
          <t>R02</t>
        </is>
      </c>
      <c r="B11" s="9" t="inlineStr">
        <is>
          <t>Premium transaction references an unknown treaty</t>
        </is>
      </c>
      <c r="C11" s="9" t="inlineStr">
        <is>
          <t>Referential integrity</t>
        </is>
      </c>
      <c r="D11" s="9" t="inlineStr">
        <is>
          <t>High</t>
        </is>
      </c>
      <c r="E11" s="9" t="n">
        <v>8058</v>
      </c>
      <c r="F11" s="9" t="n">
        <v>6</v>
      </c>
      <c r="G11" s="9" t="inlineStr">
        <is>
          <t>FAIL</t>
        </is>
      </c>
      <c r="H11" s="9" t="inlineStr">
        <is>
          <t>Quarantined</t>
        </is>
      </c>
    </row>
    <row r="12">
      <c r="A12" s="9" t="inlineStr">
        <is>
          <t>R03</t>
        </is>
      </c>
      <c r="B12" s="9" t="inlineStr">
        <is>
          <t>Exposure record references an unknown treaty</t>
        </is>
      </c>
      <c r="C12" s="9" t="inlineStr">
        <is>
          <t>Referential integrity</t>
        </is>
      </c>
      <c r="D12" s="9" t="inlineStr">
        <is>
          <t>Medium</t>
        </is>
      </c>
      <c r="E12" s="9" t="n">
        <v>700</v>
      </c>
      <c r="F12" s="9" t="n">
        <v>0</v>
      </c>
      <c r="G12" s="9" t="inlineStr">
        <is>
          <t>PASS</t>
        </is>
      </c>
      <c r="H12" s="9" t="inlineStr">
        <is>
          <t>None required</t>
        </is>
      </c>
    </row>
    <row r="13">
      <c r="A13" s="9" t="inlineStr">
        <is>
          <t>R04</t>
        </is>
      </c>
      <c r="B13" s="9" t="inlineStr">
        <is>
          <t>Treaty incepted but has no premium booked</t>
        </is>
      </c>
      <c r="C13" s="9" t="inlineStr">
        <is>
          <t>Referential integrity</t>
        </is>
      </c>
      <c r="D13" s="9" t="inlineStr">
        <is>
          <t>Low</t>
        </is>
      </c>
      <c r="E13" s="9" t="n">
        <v>703</v>
      </c>
      <c r="F13" s="9" t="n">
        <v>0</v>
      </c>
      <c r="G13" s="9" t="inlineStr">
        <is>
          <t>PASS</t>
        </is>
      </c>
      <c r="H13" s="9" t="inlineStr">
        <is>
          <t>None required</t>
        </is>
      </c>
    </row>
    <row r="14">
      <c r="A14" s="9" t="inlineStr">
        <is>
          <t>T01</t>
        </is>
      </c>
      <c r="B14" s="9" t="inlineStr">
        <is>
          <t>Monthly gross premium moves &gt;35% vs prior month</t>
        </is>
      </c>
      <c r="C14" s="9" t="inlineStr">
        <is>
          <t>Trend</t>
        </is>
      </c>
      <c r="D14" s="9" t="inlineStr">
        <is>
          <t>Medium</t>
        </is>
      </c>
      <c r="E14" s="9" t="n">
        <v>57</v>
      </c>
      <c r="F14" s="9" t="n">
        <v>2</v>
      </c>
      <c r="G14" s="9" t="inlineStr">
        <is>
          <t>FAIL</t>
        </is>
      </c>
      <c r="H14" s="9" t="inlineStr">
        <is>
          <t>Flagged - investigate</t>
        </is>
      </c>
    </row>
    <row r="15">
      <c r="A15" s="9" t="inlineStr">
        <is>
          <t>U01</t>
        </is>
      </c>
      <c r="B15" s="9" t="inlineStr">
        <is>
          <t>Duplicate treaty ID in System A</t>
        </is>
      </c>
      <c r="C15" s="9" t="inlineStr">
        <is>
          <t>Uniqueness</t>
        </is>
      </c>
      <c r="D15" s="9" t="inlineStr">
        <is>
          <t>High</t>
        </is>
      </c>
      <c r="E15" s="9" t="n">
        <v>703</v>
      </c>
      <c r="F15" s="9" t="n">
        <v>3</v>
      </c>
      <c r="G15" s="9" t="inlineStr">
        <is>
          <t>FAIL</t>
        </is>
      </c>
      <c r="H15" s="9" t="inlineStr">
        <is>
          <t>Quarantined</t>
        </is>
      </c>
    </row>
    <row r="16">
      <c r="A16" s="9" t="inlineStr">
        <is>
          <t>U02</t>
        </is>
      </c>
      <c r="B16" s="9" t="inlineStr">
        <is>
          <t>Duplicate claim ID in System B</t>
        </is>
      </c>
      <c r="C16" s="9" t="inlineStr">
        <is>
          <t>Uniqueness</t>
        </is>
      </c>
      <c r="D16" s="9" t="inlineStr">
        <is>
          <t>High</t>
        </is>
      </c>
      <c r="E16" s="9" t="n">
        <v>6018</v>
      </c>
      <c r="F16" s="9" t="n">
        <v>15</v>
      </c>
      <c r="G16" s="9" t="inlineStr">
        <is>
          <t>FAIL</t>
        </is>
      </c>
      <c r="H16" s="9" t="inlineStr">
        <is>
          <t>Quarantined</t>
        </is>
      </c>
    </row>
    <row r="17">
      <c r="A17" s="9" t="inlineStr">
        <is>
          <t>U03</t>
        </is>
      </c>
      <c r="B17" s="9" t="inlineStr">
        <is>
          <t>Duplicate premium transaction (same treaty, date, amount)</t>
        </is>
      </c>
      <c r="C17" s="9" t="inlineStr">
        <is>
          <t>Uniqueness</t>
        </is>
      </c>
      <c r="D17" s="9" t="inlineStr">
        <is>
          <t>High</t>
        </is>
      </c>
      <c r="E17" s="9" t="n">
        <v>8058</v>
      </c>
      <c r="F17" s="9" t="n">
        <v>151</v>
      </c>
      <c r="G17" s="9" t="inlineStr">
        <is>
          <t>FAIL</t>
        </is>
      </c>
      <c r="H17" s="9" t="inlineStr">
        <is>
          <t>Quarantined</t>
        </is>
      </c>
    </row>
    <row r="18">
      <c r="A18" s="9" t="inlineStr">
        <is>
          <t>V01</t>
        </is>
      </c>
      <c r="B18" s="9" t="inlineStr">
        <is>
          <t>Claim loss date before treaty inception</t>
        </is>
      </c>
      <c r="C18" s="9" t="inlineStr">
        <is>
          <t>Validity</t>
        </is>
      </c>
      <c r="D18" s="9" t="inlineStr">
        <is>
          <t>High</t>
        </is>
      </c>
      <c r="E18" s="9" t="n">
        <v>6018</v>
      </c>
      <c r="F18" s="9" t="n">
        <v>20</v>
      </c>
      <c r="G18" s="9" t="inlineStr">
        <is>
          <t>FAIL</t>
        </is>
      </c>
      <c r="H18" s="9" t="inlineStr">
        <is>
          <t>Quarantined</t>
        </is>
      </c>
    </row>
    <row r="19">
      <c r="A19" s="9" t="inlineStr">
        <is>
          <t>V02</t>
        </is>
      </c>
      <c r="B19" s="9" t="inlineStr">
        <is>
          <t>Claim loss date after treaty expiry</t>
        </is>
      </c>
      <c r="C19" s="9" t="inlineStr">
        <is>
          <t>Validity</t>
        </is>
      </c>
      <c r="D19" s="9" t="inlineStr">
        <is>
          <t>High</t>
        </is>
      </c>
      <c r="E19" s="9" t="n">
        <v>6018</v>
      </c>
      <c r="F19" s="9" t="n">
        <v>15</v>
      </c>
      <c r="G19" s="9" t="inlineStr">
        <is>
          <t>FAIL</t>
        </is>
      </c>
      <c r="H19" s="9" t="inlineStr">
        <is>
          <t>Quarantined</t>
        </is>
      </c>
    </row>
    <row r="20">
      <c r="A20" s="9" t="inlineStr">
        <is>
          <t>V03</t>
        </is>
      </c>
      <c r="B20" s="9" t="inlineStr">
        <is>
          <t>Premium transaction zero or negative</t>
        </is>
      </c>
      <c r="C20" s="9" t="inlineStr">
        <is>
          <t>Validity</t>
        </is>
      </c>
      <c r="D20" s="9" t="inlineStr">
        <is>
          <t>High</t>
        </is>
      </c>
      <c r="E20" s="9" t="n">
        <v>8058</v>
      </c>
      <c r="F20" s="9" t="n">
        <v>17</v>
      </c>
      <c r="G20" s="9" t="inlineStr">
        <is>
          <t>FAIL</t>
        </is>
      </c>
      <c r="H20" s="9" t="inlineStr">
        <is>
          <t>Quarantined</t>
        </is>
      </c>
    </row>
    <row r="21">
      <c r="A21" s="9" t="inlineStr">
        <is>
          <t>V04</t>
        </is>
      </c>
      <c r="B21" s="9" t="inlineStr">
        <is>
          <t>Claim status code not in mapping</t>
        </is>
      </c>
      <c r="C21" s="9" t="inlineStr">
        <is>
          <t>Validity</t>
        </is>
      </c>
      <c r="D21" s="9" t="inlineStr">
        <is>
          <t>Medium</t>
        </is>
      </c>
      <c r="E21" s="9" t="n">
        <v>6018</v>
      </c>
      <c r="F21" s="9" t="n">
        <v>10</v>
      </c>
      <c r="G21" s="9" t="inlineStr">
        <is>
          <t>FAIL</t>
        </is>
      </c>
      <c r="H21" s="9" t="inlineStr">
        <is>
          <t>Loaded as Unmapped</t>
        </is>
      </c>
    </row>
    <row r="22">
      <c r="A22" s="9" t="inlineStr">
        <is>
          <t>V05</t>
        </is>
      </c>
      <c r="B22" s="9" t="inlineStr">
        <is>
          <t>Line-of-business code not in mapping</t>
        </is>
      </c>
      <c r="C22" s="9" t="inlineStr">
        <is>
          <t>Validity</t>
        </is>
      </c>
      <c r="D22" s="9" t="inlineStr">
        <is>
          <t>Medium</t>
        </is>
      </c>
      <c r="E22" s="9" t="n">
        <v>703</v>
      </c>
      <c r="F22" s="9" t="n">
        <v>8</v>
      </c>
      <c r="G22" s="9" t="inlineStr">
        <is>
          <t>FAIL</t>
        </is>
      </c>
      <c r="H22" s="9" t="inlineStr">
        <is>
          <t>Loaded as Unmapped</t>
        </is>
      </c>
    </row>
    <row r="23">
      <c r="A23" s="9" t="inlineStr">
        <is>
          <t>V06</t>
        </is>
      </c>
      <c r="B23" s="9" t="inlineStr">
        <is>
          <t>Currency not in mapping (no FX rate)</t>
        </is>
      </c>
      <c r="C23" s="9" t="inlineStr">
        <is>
          <t>Validity</t>
        </is>
      </c>
      <c r="D23" s="9" t="inlineStr">
        <is>
          <t>High</t>
        </is>
      </c>
      <c r="E23" s="9" t="n">
        <v>703</v>
      </c>
      <c r="F23" s="9" t="n">
        <v>0</v>
      </c>
      <c r="G23" s="9" t="inlineStr">
        <is>
          <t>PASS</t>
        </is>
      </c>
      <c r="H23" s="9" t="inlineStr">
        <is>
          <t>None required</t>
        </is>
      </c>
    </row>
    <row r="24">
      <c r="A24" s="9" t="inlineStr">
        <is>
          <t>V07</t>
        </is>
      </c>
      <c r="B24" s="9" t="inlineStr">
        <is>
          <t>Non-blank region not in mapping</t>
        </is>
      </c>
      <c r="C24" s="9" t="inlineStr">
        <is>
          <t>Validity</t>
        </is>
      </c>
      <c r="D24" s="9" t="inlineStr">
        <is>
          <t>Medium</t>
        </is>
      </c>
      <c r="E24" s="9" t="n">
        <v>703</v>
      </c>
      <c r="F24" s="9" t="n">
        <v>0</v>
      </c>
      <c r="G24" s="9" t="inlineStr">
        <is>
          <t>PASS</t>
        </is>
      </c>
      <c r="H24" s="9" t="inlineStr">
        <is>
          <t>None required</t>
        </is>
      </c>
    </row>
    <row r="25">
      <c r="A25" s="9" t="inlineStr">
        <is>
          <t>V08</t>
        </is>
      </c>
      <c r="B25" s="9" t="inlineStr">
        <is>
          <t>Negative claim amount</t>
        </is>
      </c>
      <c r="C25" s="9" t="inlineStr">
        <is>
          <t>Validity</t>
        </is>
      </c>
      <c r="D25" s="9" t="inlineStr">
        <is>
          <t>High</t>
        </is>
      </c>
      <c r="E25" s="9" t="n">
        <v>6018</v>
      </c>
      <c r="F25" s="9" t="n">
        <v>0</v>
      </c>
      <c r="G25" s="9" t="inlineStr">
        <is>
          <t>PASS</t>
        </is>
      </c>
      <c r="H25" s="9" t="inlineStr">
        <is>
          <t>None required</t>
        </is>
      </c>
    </row>
    <row r="26">
      <c r="A26" s="9" t="inlineStr">
        <is>
          <t>V09</t>
        </is>
      </c>
      <c r="B26" s="9" t="inlineStr">
        <is>
          <t>Treaty expiry on/before inception</t>
        </is>
      </c>
      <c r="C26" s="9" t="inlineStr">
        <is>
          <t>Validity</t>
        </is>
      </c>
      <c r="D26" s="9" t="inlineStr">
        <is>
          <t>High</t>
        </is>
      </c>
      <c r="E26" s="9" t="n">
        <v>703</v>
      </c>
      <c r="F26" s="9" t="n">
        <v>0</v>
      </c>
      <c r="G26" s="9" t="inlineStr">
        <is>
          <t>PASS</t>
        </is>
      </c>
      <c r="H26" s="9" t="inlineStr">
        <is>
          <t>None required</t>
        </is>
      </c>
    </row>
    <row r="27">
      <c r="A27" s="9" t="inlineStr">
        <is>
          <t>V10</t>
        </is>
      </c>
      <c r="B27" s="9" t="inlineStr">
        <is>
          <t>Claim incurred exceeds treaty limit</t>
        </is>
      </c>
      <c r="C27" s="9" t="inlineStr">
        <is>
          <t>Validity</t>
        </is>
      </c>
      <c r="D27" s="9" t="inlineStr">
        <is>
          <t>Medium</t>
        </is>
      </c>
      <c r="E27" s="9" t="n">
        <v>6018</v>
      </c>
      <c r="F27" s="9" t="n">
        <v>12</v>
      </c>
      <c r="G27" s="9" t="inlineStr">
        <is>
          <t>FAIL</t>
        </is>
      </c>
      <c r="H27" s="9" t="inlineStr">
        <is>
          <t>Flagged</t>
        </is>
      </c>
    </row>
    <row r="28">
      <c r="A28" s="9" t="inlineStr">
        <is>
          <t>Z01</t>
        </is>
      </c>
      <c r="B28" s="9" t="inlineStr">
        <is>
          <t>Premium: source = core + quarantined (USD)</t>
        </is>
      </c>
      <c r="C28" s="9" t="inlineStr">
        <is>
          <t>Reconciliation</t>
        </is>
      </c>
      <c r="D28" s="9" t="inlineStr">
        <is>
          <t>High</t>
        </is>
      </c>
      <c r="E28" s="9" t="n">
        <v>1</v>
      </c>
      <c r="F28" s="9" t="n">
        <v>0</v>
      </c>
      <c r="G28" s="9" t="inlineStr">
        <is>
          <t>PASS</t>
        </is>
      </c>
      <c r="H28" s="9" t="inlineStr">
        <is>
          <t>None required</t>
        </is>
      </c>
    </row>
    <row r="29">
      <c r="A29" s="9" t="inlineStr">
        <is>
          <t>Z02</t>
        </is>
      </c>
      <c r="B29" s="9" t="inlineStr">
        <is>
          <t>Paid + reserve: source = core + quarantined (USD)</t>
        </is>
      </c>
      <c r="C29" s="9" t="inlineStr">
        <is>
          <t>Reconciliation</t>
        </is>
      </c>
      <c r="D29" s="9" t="inlineStr">
        <is>
          <t>High</t>
        </is>
      </c>
      <c r="E29" s="9" t="n">
        <v>1</v>
      </c>
      <c r="F29" s="9" t="n">
        <v>0</v>
      </c>
      <c r="G29" s="9" t="inlineStr">
        <is>
          <t>PASS</t>
        </is>
      </c>
      <c r="H29" s="9" t="inlineStr">
        <is>
          <t>None required</t>
        </is>
      </c>
    </row>
  </sheetData>
  <conditionalFormatting sqref="G2:G29">
    <cfRule type="cellIs" priority="1" operator="equal" dxfId="0">
      <formula>"FAIL"</formula>
    </cfRule>
    <cfRule type="cellIs" priority="2" operator="equal" dxfId="1">
      <formula>"PASS"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6" t="inlineStr">
        <is>
          <t>Definitions</t>
        </is>
      </c>
    </row>
    <row r="2">
      <c r="A2" s="9" t="inlineStr">
        <is>
          <t>Gross written premium (GWP): premium booked from cedants, converted to USD at valuation-date FX.</t>
        </is>
      </c>
    </row>
    <row r="3">
      <c r="A3" s="9" t="inlineStr">
        <is>
          <t>Earned premium: portion of GWP for risk exposure elapsed to the valuation date (pro-rata by month).</t>
        </is>
      </c>
    </row>
    <row r="4">
      <c r="A4" s="9" t="inlineStr">
        <is>
          <t>Ceded premium: premium passed on to retrocessionaires.</t>
        </is>
      </c>
    </row>
    <row r="5">
      <c r="A5" s="9" t="inlineStr">
        <is>
          <t>Incurred = paid + case reserve (no IBNR in this dataset).</t>
        </is>
      </c>
    </row>
    <row r="6">
      <c r="A6" s="9" t="inlineStr">
        <is>
          <t>Loss ratio = incurred / earned premium. Combined ratio = loss ratio + earned commission ratio + admin expense assumption.</t>
        </is>
      </c>
    </row>
    <row r="7">
      <c r="A7" s="9" t="inlineStr">
        <is>
          <t>Underwriting year = year the treaty incepted. Recent years are immature: open claims still develop.</t>
        </is>
      </c>
    </row>
    <row r="8">
      <c r="A8" s="9" t="inlineStr">
        <is>
          <t>Quarantined source records (see DQ_Log) are excluded. Unmapped line-of-business codes appear as 'Unmapped'.</t>
        </is>
      </c>
    </row>
    <row r="9">
      <c r="A9" s="9" t="inlineStr">
        <is>
          <t>Source: SQLite warehouse built by python/pipeline.py; views in sql/04_mi_views.sql.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2026-10-08T11:45:47Z</dcterms:created>
  <dcterms:modified xmlns:dcterms="http://purl.org/dc/terms/" xmlns:xsi="http://www.w3.org/2001/XMLSchema-instance" xsi:type="dcterms:W3CDTF">2026-10-08T11:45:47Z</dcterms:modified>
</cp:coreProperties>
</file>