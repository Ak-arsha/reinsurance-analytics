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'Summary'!$A$11:$A$16</f>
            </numRef>
          </cat>
          <val>
            <numRef>
              <f>'Summary'!$E$11:$E$16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Europe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SUM(Treaty_Data!$I$2:$I$189)/1000000</f>
        <v/>
      </c>
      <c r="B7" s="5">
        <f>SUM(Treaty_Data!$J$2:$J$189)/1000000</f>
        <v/>
      </c>
      <c r="C7" s="5">
        <f>SUM(Treaty_Data!$K$2:$K$189)/1000000</f>
        <v/>
      </c>
      <c r="D7" s="5">
        <f>SUM(Treaty_Data!$O$2:$O$189)/1000000</f>
        <v/>
      </c>
      <c r="E7" s="6">
        <f>IFERROR(D7/C7,0)</f>
        <v/>
      </c>
      <c r="F7" s="6">
        <f>IFERROR(E7+SUM(Treaty_Data!$L$2:$L$189)/1000000/C7+B4,0)</f>
        <v/>
      </c>
      <c r="G7" s="7">
        <f>SUM(Treaty_Data!$P$2:$P$189)/1000000</f>
        <v/>
      </c>
      <c r="H7" s="7">
        <f>COUNTA(Treaty_Data!$A$2:$A$189)</f>
        <v/>
      </c>
      <c r="I7" s="7">
        <f>SUM(Treaty_Data!$M$2:$M$189)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Casualty</t>
        </is>
      </c>
      <c r="B11" s="10">
        <f>SUMIFS(Treaty_Data!$I$2:$I$189,Treaty_Data!$C$2:$C$189,$A11)/1000000</f>
        <v/>
      </c>
      <c r="C11" s="10">
        <f>SUMIFS(Treaty_Data!$K$2:$K$189,Treaty_Data!$C$2:$C$189,$A11)/1000000</f>
        <v/>
      </c>
      <c r="D11" s="10">
        <f>SUMIFS(Treaty_Data!$O$2:$O$189,Treaty_Data!$C$2:$C$189,$A11)/1000000</f>
        <v/>
      </c>
      <c r="E11" s="11">
        <f>IFERROR(D11/C11,0)</f>
        <v/>
      </c>
      <c r="F11" s="11">
        <f>IFERROR(SUMIFS(Treaty_Data!$L$2:$L$189,Treaty_Data!$C$2:$C$189,$A11)/1000000/C11,0)</f>
        <v/>
      </c>
      <c r="G11" s="11">
        <f>E11+F11+$B$4</f>
        <v/>
      </c>
      <c r="H11" s="12">
        <f>COUNTIF(Treaty_Data!$C$2:$C$189,$A11)</f>
        <v/>
      </c>
    </row>
    <row r="12">
      <c r="A12" s="9" t="inlineStr">
        <is>
          <t>Financial Lines</t>
        </is>
      </c>
      <c r="B12" s="10">
        <f>SUMIFS(Treaty_Data!$I$2:$I$189,Treaty_Data!$C$2:$C$189,$A12)/1000000</f>
        <v/>
      </c>
      <c r="C12" s="10">
        <f>SUMIFS(Treaty_Data!$K$2:$K$189,Treaty_Data!$C$2:$C$189,$A12)/1000000</f>
        <v/>
      </c>
      <c r="D12" s="10">
        <f>SUMIFS(Treaty_Data!$O$2:$O$189,Treaty_Data!$C$2:$C$189,$A12)/1000000</f>
        <v/>
      </c>
      <c r="E12" s="11">
        <f>IFERROR(D12/C12,0)</f>
        <v/>
      </c>
      <c r="F12" s="11">
        <f>IFERROR(SUMIFS(Treaty_Data!$L$2:$L$189,Treaty_Data!$C$2:$C$189,$A12)/1000000/C12,0)</f>
        <v/>
      </c>
      <c r="G12" s="11">
        <f>E12+F12+$B$4</f>
        <v/>
      </c>
      <c r="H12" s="12">
        <f>COUNTIF(Treaty_Data!$C$2:$C$189,$A12)</f>
        <v/>
      </c>
    </row>
    <row r="13">
      <c r="A13" s="9" t="inlineStr">
        <is>
          <t>Professional</t>
        </is>
      </c>
      <c r="B13" s="10">
        <f>SUMIFS(Treaty_Data!$I$2:$I$189,Treaty_Data!$C$2:$C$189,$A13)/1000000</f>
        <v/>
      </c>
      <c r="C13" s="10">
        <f>SUMIFS(Treaty_Data!$K$2:$K$189,Treaty_Data!$C$2:$C$189,$A13)/1000000</f>
        <v/>
      </c>
      <c r="D13" s="10">
        <f>SUMIFS(Treaty_Data!$O$2:$O$189,Treaty_Data!$C$2:$C$189,$A13)/1000000</f>
        <v/>
      </c>
      <c r="E13" s="11">
        <f>IFERROR(D13/C13,0)</f>
        <v/>
      </c>
      <c r="F13" s="11">
        <f>IFERROR(SUMIFS(Treaty_Data!$L$2:$L$189,Treaty_Data!$C$2:$C$189,$A13)/1000000/C13,0)</f>
        <v/>
      </c>
      <c r="G13" s="11">
        <f>E13+F13+$B$4</f>
        <v/>
      </c>
      <c r="H13" s="12">
        <f>COUNTIF(Treaty_Data!$C$2:$C$189,$A13)</f>
        <v/>
      </c>
    </row>
    <row r="14">
      <c r="A14" s="9" t="inlineStr">
        <is>
          <t>Property</t>
        </is>
      </c>
      <c r="B14" s="10">
        <f>SUMIFS(Treaty_Data!$I$2:$I$189,Treaty_Data!$C$2:$C$189,$A14)/1000000</f>
        <v/>
      </c>
      <c r="C14" s="10">
        <f>SUMIFS(Treaty_Data!$K$2:$K$189,Treaty_Data!$C$2:$C$189,$A14)/1000000</f>
        <v/>
      </c>
      <c r="D14" s="10">
        <f>SUMIFS(Treaty_Data!$O$2:$O$189,Treaty_Data!$C$2:$C$189,$A14)/1000000</f>
        <v/>
      </c>
      <c r="E14" s="11">
        <f>IFERROR(D14/C14,0)</f>
        <v/>
      </c>
      <c r="F14" s="11">
        <f>IFERROR(SUMIFS(Treaty_Data!$L$2:$L$189,Treaty_Data!$C$2:$C$189,$A14)/1000000/C14,0)</f>
        <v/>
      </c>
      <c r="G14" s="11">
        <f>E14+F14+$B$4</f>
        <v/>
      </c>
      <c r="H14" s="12">
        <f>COUNTIF(Treaty_Data!$C$2:$C$189,$A14)</f>
        <v/>
      </c>
    </row>
    <row r="15">
      <c r="A15" s="9" t="inlineStr">
        <is>
          <t>Specialty</t>
        </is>
      </c>
      <c r="B15" s="10">
        <f>SUMIFS(Treaty_Data!$I$2:$I$189,Treaty_Data!$C$2:$C$189,$A15)/1000000</f>
        <v/>
      </c>
      <c r="C15" s="10">
        <f>SUMIFS(Treaty_Data!$K$2:$K$189,Treaty_Data!$C$2:$C$189,$A15)/1000000</f>
        <v/>
      </c>
      <c r="D15" s="10">
        <f>SUMIFS(Treaty_Data!$O$2:$O$189,Treaty_Data!$C$2:$C$189,$A15)/1000000</f>
        <v/>
      </c>
      <c r="E15" s="11">
        <f>IFERROR(D15/C15,0)</f>
        <v/>
      </c>
      <c r="F15" s="11">
        <f>IFERROR(SUMIFS(Treaty_Data!$L$2:$L$189,Treaty_Data!$C$2:$C$189,$A15)/1000000/C15,0)</f>
        <v/>
      </c>
      <c r="G15" s="11">
        <f>E15+F15+$B$4</f>
        <v/>
      </c>
      <c r="H15" s="12">
        <f>COUNTIF(Treaty_Data!$C$2:$C$189,$A15)</f>
        <v/>
      </c>
    </row>
    <row r="16">
      <c r="A16" s="9" t="inlineStr">
        <is>
          <t>Unmapped</t>
        </is>
      </c>
      <c r="B16" s="10">
        <f>SUMIFS(Treaty_Data!$I$2:$I$189,Treaty_Data!$C$2:$C$189,$A16)/1000000</f>
        <v/>
      </c>
      <c r="C16" s="10">
        <f>SUMIFS(Treaty_Data!$K$2:$K$189,Treaty_Data!$C$2:$C$189,$A16)/1000000</f>
        <v/>
      </c>
      <c r="D16" s="10">
        <f>SUMIFS(Treaty_Data!$O$2:$O$189,Treaty_Data!$C$2:$C$189,$A16)/1000000</f>
        <v/>
      </c>
      <c r="E16" s="11">
        <f>IFERROR(D16/C16,0)</f>
        <v/>
      </c>
      <c r="F16" s="11">
        <f>IFERROR(SUMIFS(Treaty_Data!$L$2:$L$189,Treaty_Data!$C$2:$C$189,$A16)/1000000/C16,0)</f>
        <v/>
      </c>
      <c r="G16" s="11">
        <f>E16+F16+$B$4</f>
        <v/>
      </c>
      <c r="H16" s="12">
        <f>COUNTIF(Treaty_Data!$C$2:$C$189,$A16)</f>
        <v/>
      </c>
    </row>
    <row r="19">
      <c r="A19" s="4" t="inlineStr">
        <is>
          <t>Region</t>
        </is>
      </c>
      <c r="B19" s="4" t="inlineStr">
        <is>
          <t>GWP</t>
        </is>
      </c>
      <c r="C19" s="4" t="inlineStr">
        <is>
          <t>Earned</t>
        </is>
      </c>
      <c r="D19" s="4" t="inlineStr">
        <is>
          <t>Incurred</t>
        </is>
      </c>
      <c r="E19" s="4" t="inlineStr">
        <is>
          <t>Loss ratio</t>
        </is>
      </c>
      <c r="F19" s="4" t="inlineStr">
        <is>
          <t>Commission ratio</t>
        </is>
      </c>
      <c r="G19" s="4" t="inlineStr">
        <is>
          <t>Combined ratio</t>
        </is>
      </c>
      <c r="H19" s="4" t="inlineStr">
        <is>
          <t>Treaties</t>
        </is>
      </c>
    </row>
    <row r="20">
      <c r="A20" s="9" t="inlineStr">
        <is>
          <t>Europe</t>
        </is>
      </c>
      <c r="B20" s="10">
        <f>SUMIFS(Treaty_Data!$I$2:$I$189,Treaty_Data!$D$2:$D$189,$A20)/1000000</f>
        <v/>
      </c>
      <c r="C20" s="10">
        <f>SUMIFS(Treaty_Data!$K$2:$K$189,Treaty_Data!$D$2:$D$189,$A20)/1000000</f>
        <v/>
      </c>
      <c r="D20" s="10">
        <f>SUMIFS(Treaty_Data!$O$2:$O$189,Treaty_Data!$D$2:$D$189,$A20)/1000000</f>
        <v/>
      </c>
      <c r="E20" s="11">
        <f>IFERROR(D20/C20,0)</f>
        <v/>
      </c>
      <c r="F20" s="11">
        <f>IFERROR(SUMIFS(Treaty_Data!$L$2:$L$189,Treaty_Data!$D$2:$D$189,$A20)/1000000/C20,0)</f>
        <v/>
      </c>
      <c r="G20" s="11">
        <f>E20+F20+$B$4</f>
        <v/>
      </c>
      <c r="H20" s="12">
        <f>COUNTIF(Treaty_Data!$D$2:$D$189,$A20)</f>
        <v/>
      </c>
    </row>
    <row r="23">
      <c r="A23" s="4" t="inlineStr">
        <is>
          <t>Underwriting year</t>
        </is>
      </c>
      <c r="B23" s="4" t="inlineStr">
        <is>
          <t>GWP</t>
        </is>
      </c>
      <c r="C23" s="4" t="inlineStr">
        <is>
          <t>Earned</t>
        </is>
      </c>
      <c r="D23" s="4" t="inlineStr">
        <is>
          <t>Incurred</t>
        </is>
      </c>
      <c r="E23" s="4" t="inlineStr">
        <is>
          <t>Loss ratio</t>
        </is>
      </c>
      <c r="F23" s="4" t="inlineStr">
        <is>
          <t>Commission ratio</t>
        </is>
      </c>
      <c r="G23" s="4" t="inlineStr">
        <is>
          <t>Combined ratio</t>
        </is>
      </c>
      <c r="H23" s="4" t="inlineStr">
        <is>
          <t>Treaties</t>
        </is>
      </c>
    </row>
    <row r="24">
      <c r="A24" s="9" t="n">
        <v>2021</v>
      </c>
      <c r="B24" s="10">
        <f>SUMIFS(Treaty_Data!$I$2:$I$189,Treaty_Data!$G$2:$G$189,$A24)/1000000</f>
        <v/>
      </c>
      <c r="C24" s="10">
        <f>SUMIFS(Treaty_Data!$K$2:$K$189,Treaty_Data!$G$2:$G$189,$A24)/1000000</f>
        <v/>
      </c>
      <c r="D24" s="10">
        <f>SUMIFS(Treaty_Data!$O$2:$O$189,Treaty_Data!$G$2:$G$189,$A24)/1000000</f>
        <v/>
      </c>
      <c r="E24" s="11">
        <f>IFERROR(D24/C24,0)</f>
        <v/>
      </c>
      <c r="F24" s="11">
        <f>IFERROR(SUMIFS(Treaty_Data!$L$2:$L$189,Treaty_Data!$G$2:$G$189,$A24)/1000000/C24,0)</f>
        <v/>
      </c>
      <c r="G24" s="11">
        <f>E24+F24+$B$4</f>
        <v/>
      </c>
      <c r="H24" s="12">
        <f>COUNTIF(Treaty_Data!$G$2:$G$189,$A24)</f>
        <v/>
      </c>
    </row>
    <row r="25">
      <c r="A25" s="9" t="n">
        <v>2022</v>
      </c>
      <c r="B25" s="10">
        <f>SUMIFS(Treaty_Data!$I$2:$I$189,Treaty_Data!$G$2:$G$189,$A25)/1000000</f>
        <v/>
      </c>
      <c r="C25" s="10">
        <f>SUMIFS(Treaty_Data!$K$2:$K$189,Treaty_Data!$G$2:$G$189,$A25)/1000000</f>
        <v/>
      </c>
      <c r="D25" s="10">
        <f>SUMIFS(Treaty_Data!$O$2:$O$189,Treaty_Data!$G$2:$G$189,$A25)/1000000</f>
        <v/>
      </c>
      <c r="E25" s="11">
        <f>IFERROR(D25/C25,0)</f>
        <v/>
      </c>
      <c r="F25" s="11">
        <f>IFERROR(SUMIFS(Treaty_Data!$L$2:$L$189,Treaty_Data!$G$2:$G$189,$A25)/1000000/C25,0)</f>
        <v/>
      </c>
      <c r="G25" s="11">
        <f>E25+F25+$B$4</f>
        <v/>
      </c>
      <c r="H25" s="12">
        <f>COUNTIF(Treaty_Data!$G$2:$G$189,$A25)</f>
        <v/>
      </c>
    </row>
    <row r="26">
      <c r="A26" s="9" t="n">
        <v>2023</v>
      </c>
      <c r="B26" s="10">
        <f>SUMIFS(Treaty_Data!$I$2:$I$189,Treaty_Data!$G$2:$G$189,$A26)/1000000</f>
        <v/>
      </c>
      <c r="C26" s="10">
        <f>SUMIFS(Treaty_Data!$K$2:$K$189,Treaty_Data!$G$2:$G$189,$A26)/1000000</f>
        <v/>
      </c>
      <c r="D26" s="10">
        <f>SUMIFS(Treaty_Data!$O$2:$O$189,Treaty_Data!$G$2:$G$189,$A26)/1000000</f>
        <v/>
      </c>
      <c r="E26" s="11">
        <f>IFERROR(D26/C26,0)</f>
        <v/>
      </c>
      <c r="F26" s="11">
        <f>IFERROR(SUMIFS(Treaty_Data!$L$2:$L$189,Treaty_Data!$G$2:$G$189,$A26)/1000000/C26,0)</f>
        <v/>
      </c>
      <c r="G26" s="11">
        <f>E26+F26+$B$4</f>
        <v/>
      </c>
      <c r="H26" s="12">
        <f>COUNTIF(Treaty_Data!$G$2:$G$189,$A26)</f>
        <v/>
      </c>
    </row>
    <row r="27">
      <c r="A27" s="9" t="n">
        <v>2024</v>
      </c>
      <c r="B27" s="10">
        <f>SUMIFS(Treaty_Data!$I$2:$I$189,Treaty_Data!$G$2:$G$189,$A27)/1000000</f>
        <v/>
      </c>
      <c r="C27" s="10">
        <f>SUMIFS(Treaty_Data!$K$2:$K$189,Treaty_Data!$G$2:$G$189,$A27)/1000000</f>
        <v/>
      </c>
      <c r="D27" s="10">
        <f>SUMIFS(Treaty_Data!$O$2:$O$189,Treaty_Data!$G$2:$G$189,$A27)/1000000</f>
        <v/>
      </c>
      <c r="E27" s="11">
        <f>IFERROR(D27/C27,0)</f>
        <v/>
      </c>
      <c r="F27" s="11">
        <f>IFERROR(SUMIFS(Treaty_Data!$L$2:$L$189,Treaty_Data!$G$2:$G$189,$A27)/1000000/C27,0)</f>
        <v/>
      </c>
      <c r="G27" s="11">
        <f>E27+F27+$B$4</f>
        <v/>
      </c>
      <c r="H27" s="12">
        <f>COUNTIF(Treaty_Data!$G$2:$G$189,$A27)</f>
        <v/>
      </c>
    </row>
    <row r="28">
      <c r="A28" s="9" t="n">
        <v>2025</v>
      </c>
      <c r="B28" s="10">
        <f>SUMIFS(Treaty_Data!$I$2:$I$189,Treaty_Data!$G$2:$G$189,$A28)/1000000</f>
        <v/>
      </c>
      <c r="C28" s="10">
        <f>SUMIFS(Treaty_Data!$K$2:$K$189,Treaty_Data!$G$2:$G$189,$A28)/1000000</f>
        <v/>
      </c>
      <c r="D28" s="10">
        <f>SUMIFS(Treaty_Data!$O$2:$O$189,Treaty_Data!$G$2:$G$189,$A28)/1000000</f>
        <v/>
      </c>
      <c r="E28" s="11">
        <f>IFERROR(D28/C28,0)</f>
        <v/>
      </c>
      <c r="F28" s="11">
        <f>IFERROR(SUMIFS(Treaty_Data!$L$2:$L$189,Treaty_Data!$G$2:$G$189,$A28)/1000000/C28,0)</f>
        <v/>
      </c>
      <c r="G28" s="11">
        <f>E28+F28+$B$4</f>
        <v/>
      </c>
      <c r="H28" s="12">
        <f>COUNTIF(Treaty_Data!$G$2:$G$189,$A28)</f>
        <v/>
      </c>
    </row>
    <row r="29">
      <c r="A29" s="9" t="n">
        <v>2026</v>
      </c>
      <c r="B29" s="10">
        <f>SUMIFS(Treaty_Data!$I$2:$I$189,Treaty_Data!$G$2:$G$189,$A29)/1000000</f>
        <v/>
      </c>
      <c r="C29" s="10">
        <f>SUMIFS(Treaty_Data!$K$2:$K$189,Treaty_Data!$G$2:$G$189,$A29)/1000000</f>
        <v/>
      </c>
      <c r="D29" s="10">
        <f>SUMIFS(Treaty_Data!$O$2:$O$189,Treaty_Data!$G$2:$G$189,$A29)/1000000</f>
        <v/>
      </c>
      <c r="E29" s="11">
        <f>IFERROR(D29/C29,0)</f>
        <v/>
      </c>
      <c r="F29" s="11">
        <f>IFERROR(SUMIFS(Treaty_Data!$L$2:$L$189,Treaty_Data!$G$2:$G$189,$A29)/1000000/C29,0)</f>
        <v/>
      </c>
      <c r="G29" s="11">
        <f>E29+F29+$B$4</f>
        <v/>
      </c>
      <c r="H29" s="12">
        <f>COUNTIF(Treaty_Data!$G$2:$G$189,$A29)</f>
        <v/>
      </c>
    </row>
  </sheetData>
  <conditionalFormatting sqref="G11:G16">
    <cfRule type="cellIs" priority="1" operator="greaterThan" dxfId="0">
      <formula>1</formula>
    </cfRule>
  </conditionalFormatting>
  <conditionalFormatting sqref="E11:E16">
    <cfRule type="dataBar" priority="2">
      <dataBar>
        <cfvo type="num" val="0"/>
        <cfvo type="num" val="1.2"/>
        <color rgb="007FA6BF"/>
      </dataBar>
    </cfRule>
  </conditionalFormatting>
  <conditionalFormatting sqref="G20">
    <cfRule type="cellIs" priority="3" operator="greaterThan" dxfId="0">
      <formula>1</formula>
    </cfRule>
  </conditionalFormatting>
  <conditionalFormatting sqref="E20">
    <cfRule type="dataBar" priority="4">
      <dataBar>
        <cfvo type="num" val="0"/>
        <cfvo type="num" val="1.2"/>
        <color rgb="007FA6BF"/>
      </dataBar>
    </cfRule>
  </conditionalFormatting>
  <conditionalFormatting sqref="G24:G29">
    <cfRule type="cellIs" priority="5" operator="greaterThan" dxfId="0">
      <formula>1</formula>
    </cfRule>
  </conditionalFormatting>
  <conditionalFormatting sqref="E24:E29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T0002</t>
        </is>
      </c>
      <c r="B2" s="9" t="inlineStr">
        <is>
          <t>Sterling Mutual</t>
        </is>
      </c>
      <c r="C2" s="9" t="inlineStr">
        <is>
          <t>Property</t>
        </is>
      </c>
      <c r="D2" s="9" t="inlineStr">
        <is>
          <t>Europe</t>
        </is>
      </c>
      <c r="E2" s="9" t="inlineStr">
        <is>
          <t>Hannah Weber</t>
        </is>
      </c>
      <c r="F2" s="9" t="inlineStr">
        <is>
          <t>Proportional</t>
        </is>
      </c>
      <c r="G2" s="9" t="n">
        <v>2026</v>
      </c>
      <c r="H2" s="12" t="n">
        <v>5700000.004600001</v>
      </c>
      <c r="I2" s="12" t="n">
        <v>332113.0645</v>
      </c>
      <c r="J2" s="12" t="n">
        <v>39542.8089</v>
      </c>
      <c r="K2" s="12" t="n">
        <v>284668.341</v>
      </c>
      <c r="L2" s="12" t="n">
        <v>89275.99620000001</v>
      </c>
      <c r="M2" s="9" t="n">
        <v>4</v>
      </c>
      <c r="N2" s="12" t="n">
        <v>41099.4098</v>
      </c>
      <c r="O2" s="12" t="n">
        <v>181769.5628</v>
      </c>
      <c r="P2" s="12" t="n">
        <v>570000.003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T0003</t>
        </is>
      </c>
      <c r="B3" s="9" t="inlineStr">
        <is>
          <t>Meridian Assurance</t>
        </is>
      </c>
      <c r="C3" s="9" t="inlineStr">
        <is>
          <t>Financial Lines</t>
        </is>
      </c>
      <c r="D3" s="9" t="inlineStr">
        <is>
          <t>Europe</t>
        </is>
      </c>
      <c r="E3" s="9" t="inlineStr">
        <is>
          <t>Priya Nair</t>
        </is>
      </c>
      <c r="F3" s="9" t="inlineStr">
        <is>
          <t>Proportional</t>
        </is>
      </c>
      <c r="G3" s="9" t="n">
        <v>2021</v>
      </c>
      <c r="H3" s="12" t="n">
        <v>12099999.996</v>
      </c>
      <c r="I3" s="12" t="n">
        <v>1175959.944</v>
      </c>
      <c r="J3" s="12" t="n">
        <v>96544.3536</v>
      </c>
      <c r="K3" s="12" t="n">
        <v>1175959.944</v>
      </c>
      <c r="L3" s="12" t="n">
        <v>339393.3696</v>
      </c>
      <c r="M3" s="9" t="n">
        <v>7</v>
      </c>
      <c r="N3" s="12" t="n">
        <v>1037174.5548</v>
      </c>
      <c r="O3" s="12" t="n">
        <v>1037174.5548</v>
      </c>
      <c r="P3" s="12" t="n">
        <v>4839999.998400001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T0011</t>
        </is>
      </c>
      <c r="B4" s="9" t="inlineStr">
        <is>
          <t>Pioneer Insurance</t>
        </is>
      </c>
      <c r="C4" s="9" t="inlineStr">
        <is>
          <t>Casualty</t>
        </is>
      </c>
      <c r="D4" s="9" t="inlineStr">
        <is>
          <t>Europe</t>
        </is>
      </c>
      <c r="E4" s="9" t="inlineStr">
        <is>
          <t>Carlos Ibarra</t>
        </is>
      </c>
      <c r="F4" s="9" t="inlineStr">
        <is>
          <t>Excess of Loss</t>
        </is>
      </c>
      <c r="G4" s="9" t="n">
        <v>2022</v>
      </c>
      <c r="H4" s="12" t="n">
        <v>20400000.0012</v>
      </c>
      <c r="I4" s="12" t="n">
        <v>1881415.512</v>
      </c>
      <c r="J4" s="12" t="n">
        <v>150888.096</v>
      </c>
      <c r="K4" s="12" t="n">
        <v>1881415.512</v>
      </c>
      <c r="L4" s="12" t="n">
        <v>197774.9136</v>
      </c>
      <c r="M4" s="9" t="n">
        <v>10</v>
      </c>
      <c r="N4" s="12" t="n">
        <v>1592613.1224</v>
      </c>
      <c r="O4" s="12" t="n">
        <v>1633416.03</v>
      </c>
      <c r="P4" s="12" t="n">
        <v>20400000.0012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T0017</t>
        </is>
      </c>
      <c r="B5" s="9" t="inlineStr">
        <is>
          <t>Sterling Indemnity</t>
        </is>
      </c>
      <c r="C5" s="9" t="inlineStr">
        <is>
          <t>Property</t>
        </is>
      </c>
      <c r="D5" s="9" t="inlineStr">
        <is>
          <t>Europe</t>
        </is>
      </c>
      <c r="E5" s="9" t="inlineStr">
        <is>
          <t>Hannah Weber</t>
        </is>
      </c>
      <c r="F5" s="9" t="inlineStr">
        <is>
          <t>Excess of Loss</t>
        </is>
      </c>
      <c r="G5" s="9" t="n">
        <v>2022</v>
      </c>
      <c r="H5" s="12" t="n">
        <v>7499999.995200001</v>
      </c>
      <c r="I5" s="12" t="n">
        <v>693625.6800000001</v>
      </c>
      <c r="J5" s="12" t="n">
        <v>51114.62880000001</v>
      </c>
      <c r="K5" s="12" t="n">
        <v>693625.6800000001</v>
      </c>
      <c r="L5" s="12" t="n">
        <v>37502.6112</v>
      </c>
      <c r="M5" s="9" t="n">
        <v>7</v>
      </c>
      <c r="N5" s="12" t="n">
        <v>133571.2464</v>
      </c>
      <c r="O5" s="12" t="n">
        <v>133571.2464</v>
      </c>
      <c r="P5" s="12" t="n">
        <v>7499999.995200001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T0037</t>
        </is>
      </c>
      <c r="B6" s="9" t="inlineStr">
        <is>
          <t>Granite Indemnity</t>
        </is>
      </c>
      <c r="C6" s="9" t="inlineStr">
        <is>
          <t>Financial Lines</t>
        </is>
      </c>
      <c r="D6" s="9" t="inlineStr">
        <is>
          <t>Europe</t>
        </is>
      </c>
      <c r="E6" s="9" t="inlineStr">
        <is>
          <t>Hannah Weber</t>
        </is>
      </c>
      <c r="F6" s="9" t="inlineStr">
        <is>
          <t>Proportional</t>
        </is>
      </c>
      <c r="G6" s="9" t="n">
        <v>2024</v>
      </c>
      <c r="H6" s="12" t="n">
        <v>9299999.9988</v>
      </c>
      <c r="I6" s="12" t="n">
        <v>1414416.9456</v>
      </c>
      <c r="J6" s="12" t="n">
        <v>169045.3152</v>
      </c>
      <c r="K6" s="12" t="n">
        <v>1414416.9456</v>
      </c>
      <c r="L6" s="12" t="n">
        <v>382924.0656</v>
      </c>
      <c r="M6" s="9" t="n">
        <v>7</v>
      </c>
      <c r="N6" s="12" t="n">
        <v>864921.0348</v>
      </c>
      <c r="O6" s="12" t="n">
        <v>933525.7452</v>
      </c>
      <c r="P6" s="12" t="n">
        <v>2789999.9964</v>
      </c>
      <c r="Q6" s="9" t="inlineStr">
        <is>
          <t>Low</t>
        </is>
      </c>
      <c r="R6" s="11">
        <f>IFERROR(O6/K6,0)</f>
        <v/>
      </c>
    </row>
    <row r="7">
      <c r="A7" s="9" t="inlineStr">
        <is>
          <t>T0042</t>
        </is>
      </c>
      <c r="B7" s="9" t="inlineStr">
        <is>
          <t>Vantage Assurance</t>
        </is>
      </c>
      <c r="C7" s="9" t="inlineStr">
        <is>
          <t>Unmapped</t>
        </is>
      </c>
      <c r="D7" s="9" t="inlineStr">
        <is>
          <t>Europe</t>
        </is>
      </c>
      <c r="E7" s="9" t="inlineStr">
        <is>
          <t>Sophie Laurent</t>
        </is>
      </c>
      <c r="F7" s="9" t="inlineStr">
        <is>
          <t>Excess of Loss</t>
        </is>
      </c>
      <c r="G7" s="9" t="n">
        <v>2021</v>
      </c>
      <c r="H7" s="12" t="n">
        <v>12399999.9984</v>
      </c>
      <c r="I7" s="12" t="n">
        <v>1013730.1632</v>
      </c>
      <c r="J7" s="12" t="n">
        <v>77449.08960000001</v>
      </c>
      <c r="K7" s="12" t="n">
        <v>1013730.1632</v>
      </c>
      <c r="L7" s="12" t="n">
        <v>103453.2</v>
      </c>
      <c r="M7" s="9" t="n">
        <v>7</v>
      </c>
      <c r="N7" s="12" t="n">
        <v>331871.1048</v>
      </c>
      <c r="O7" s="12" t="n">
        <v>331871.1048</v>
      </c>
      <c r="P7" s="12" t="n">
        <v>12399999.9984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T0043</t>
        </is>
      </c>
      <c r="B8" s="9" t="inlineStr">
        <is>
          <t>Meridian Assurance</t>
        </is>
      </c>
      <c r="C8" s="9" t="inlineStr">
        <is>
          <t>Financial Lines</t>
        </is>
      </c>
      <c r="D8" s="9" t="inlineStr">
        <is>
          <t>Europe</t>
        </is>
      </c>
      <c r="E8" s="9" t="inlineStr">
        <is>
          <t>Aarav Mehta</t>
        </is>
      </c>
      <c r="F8" s="9" t="inlineStr">
        <is>
          <t>Excess of Loss</t>
        </is>
      </c>
      <c r="G8" s="9" t="n">
        <v>2023</v>
      </c>
      <c r="H8" s="12" t="n">
        <v>19500000.0048</v>
      </c>
      <c r="I8" s="12" t="n">
        <v>1910042.5968</v>
      </c>
      <c r="J8" s="12" t="n">
        <v>145935.6912</v>
      </c>
      <c r="K8" s="12" t="n">
        <v>1910042.5968</v>
      </c>
      <c r="L8" s="12" t="n">
        <v>220565.4624</v>
      </c>
      <c r="M8" s="9" t="n">
        <v>12</v>
      </c>
      <c r="N8" s="12" t="n">
        <v>572307.5412</v>
      </c>
      <c r="O8" s="12" t="n">
        <v>572307.5412</v>
      </c>
      <c r="P8" s="12" t="n">
        <v>19500000.0048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T0046</t>
        </is>
      </c>
      <c r="B9" s="9" t="inlineStr">
        <is>
          <t>Vantage Assurance</t>
        </is>
      </c>
      <c r="C9" s="9" t="inlineStr">
        <is>
          <t>Financial Lines</t>
        </is>
      </c>
      <c r="D9" s="9" t="inlineStr">
        <is>
          <t>Europe</t>
        </is>
      </c>
      <c r="E9" s="9" t="inlineStr">
        <is>
          <t>Omar Haddad</t>
        </is>
      </c>
      <c r="F9" s="9" t="inlineStr">
        <is>
          <t>Facultative</t>
        </is>
      </c>
      <c r="G9" s="9" t="n">
        <v>2026</v>
      </c>
      <c r="H9" s="12" t="n">
        <v>3099999.9996</v>
      </c>
      <c r="I9" s="12" t="n">
        <v>408342.4488</v>
      </c>
      <c r="J9" s="12" t="n">
        <v>44593.31880000001</v>
      </c>
      <c r="K9" s="12" t="n">
        <v>369020.5884</v>
      </c>
      <c r="L9" s="12" t="n">
        <v>60970.79891272543</v>
      </c>
      <c r="M9" s="9" t="n">
        <v>7</v>
      </c>
      <c r="N9" s="12" t="n">
        <v>66423.32640000001</v>
      </c>
      <c r="O9" s="12" t="n">
        <v>248707.2492</v>
      </c>
      <c r="P9" s="12" t="n">
        <v>3099999.9996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T0048</t>
        </is>
      </c>
      <c r="B10" s="9" t="inlineStr">
        <is>
          <t>Vantage Assurance</t>
        </is>
      </c>
      <c r="C10" s="9" t="inlineStr">
        <is>
          <t>Property</t>
        </is>
      </c>
      <c r="D10" s="9" t="inlineStr">
        <is>
          <t>Europe</t>
        </is>
      </c>
      <c r="E10" s="9" t="inlineStr">
        <is>
          <t>Sophie Laurent</t>
        </is>
      </c>
      <c r="F10" s="9" t="inlineStr">
        <is>
          <t>Proportional</t>
        </is>
      </c>
      <c r="G10" s="9" t="n">
        <v>2026</v>
      </c>
      <c r="H10" s="12" t="n">
        <v>8499999.999600001</v>
      </c>
      <c r="I10" s="12" t="n">
        <v>577936.296</v>
      </c>
      <c r="J10" s="12" t="n">
        <v>57630.13920000001</v>
      </c>
      <c r="K10" s="12" t="n">
        <v>545828.7276</v>
      </c>
      <c r="L10" s="12" t="n">
        <v>166285.5418967322</v>
      </c>
      <c r="M10" s="9" t="n">
        <v>0</v>
      </c>
      <c r="N10" s="12" t="n">
        <v>0</v>
      </c>
      <c r="O10" s="12" t="n">
        <v>0</v>
      </c>
      <c r="P10" s="12" t="n">
        <v>850000.0032000002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T0050</t>
        </is>
      </c>
      <c r="B11" s="9" t="inlineStr">
        <is>
          <t>Meridian Indemnity</t>
        </is>
      </c>
      <c r="C11" s="9" t="inlineStr">
        <is>
          <t>Casualty</t>
        </is>
      </c>
      <c r="D11" s="9" t="inlineStr">
        <is>
          <t>Europe</t>
        </is>
      </c>
      <c r="E11" s="9" t="inlineStr">
        <is>
          <t>Sophie Laurent</t>
        </is>
      </c>
      <c r="F11" s="9" t="inlineStr">
        <is>
          <t>Facultative</t>
        </is>
      </c>
      <c r="G11" s="9" t="n">
        <v>2023</v>
      </c>
      <c r="H11" s="12" t="n">
        <v>13100000.0004</v>
      </c>
      <c r="I11" s="12" t="n">
        <v>1407178.1376</v>
      </c>
      <c r="J11" s="12" t="n">
        <v>95298.24960000001</v>
      </c>
      <c r="K11" s="12" t="n">
        <v>1407178.1376</v>
      </c>
      <c r="L11" s="12" t="n">
        <v>222585.7968</v>
      </c>
      <c r="M11" s="9" t="n">
        <v>11</v>
      </c>
      <c r="N11" s="12" t="n">
        <v>1408919.1516</v>
      </c>
      <c r="O11" s="12" t="n">
        <v>1525602.5028</v>
      </c>
      <c r="P11" s="12" t="n">
        <v>13100000.0004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T0054</t>
        </is>
      </c>
      <c r="B12" s="9" t="inlineStr">
        <is>
          <t>Meridian Assurance</t>
        </is>
      </c>
      <c r="C12" s="9" t="inlineStr">
        <is>
          <t>Casualty</t>
        </is>
      </c>
      <c r="D12" s="9" t="inlineStr">
        <is>
          <t>Europe</t>
        </is>
      </c>
      <c r="E12" s="9" t="inlineStr">
        <is>
          <t>Carlos Ibarra</t>
        </is>
      </c>
      <c r="F12" s="9" t="inlineStr">
        <is>
          <t>Facultative</t>
        </is>
      </c>
      <c r="G12" s="9" t="n">
        <v>2024</v>
      </c>
      <c r="H12" s="12" t="n">
        <v>16500000.0024</v>
      </c>
      <c r="I12" s="12" t="n">
        <v>2041557.5664</v>
      </c>
      <c r="J12" s="12" t="n">
        <v>166334.472</v>
      </c>
      <c r="K12" s="12" t="n">
        <v>2041557.5664</v>
      </c>
      <c r="L12" s="12" t="n">
        <v>375451.9776000001</v>
      </c>
      <c r="M12" s="9" t="n">
        <v>15</v>
      </c>
      <c r="N12" s="12" t="n">
        <v>789406.9272</v>
      </c>
      <c r="O12" s="12" t="n">
        <v>871919.1000000001</v>
      </c>
      <c r="P12" s="12" t="n">
        <v>16500000.0024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T0057</t>
        </is>
      </c>
      <c r="B13" s="9" t="inlineStr">
        <is>
          <t>Granite Indemnity</t>
        </is>
      </c>
      <c r="C13" s="9" t="inlineStr">
        <is>
          <t>Property</t>
        </is>
      </c>
      <c r="D13" s="9" t="inlineStr">
        <is>
          <t>Europe</t>
        </is>
      </c>
      <c r="E13" s="9" t="inlineStr">
        <is>
          <t>Hannah Weber</t>
        </is>
      </c>
      <c r="F13" s="9" t="inlineStr">
        <is>
          <t>Proportional</t>
        </is>
      </c>
      <c r="G13" s="9" t="n">
        <v>2025</v>
      </c>
      <c r="H13" s="12" t="n">
        <v>2099999.9952</v>
      </c>
      <c r="I13" s="12" t="n">
        <v>342885.4416</v>
      </c>
      <c r="J13" s="12" t="n">
        <v>38993.9184</v>
      </c>
      <c r="K13" s="12" t="n">
        <v>342885.4416</v>
      </c>
      <c r="L13" s="12" t="n">
        <v>84869.33760000001</v>
      </c>
      <c r="M13" s="9" t="n">
        <v>11</v>
      </c>
      <c r="N13" s="12" t="n">
        <v>64285.60680000001</v>
      </c>
      <c r="O13" s="12" t="n">
        <v>113704.6248</v>
      </c>
      <c r="P13" s="12" t="n">
        <v>1049999.9976</v>
      </c>
      <c r="Q13" s="9" t="inlineStr">
        <is>
          <t>Low</t>
        </is>
      </c>
      <c r="R13" s="11">
        <f>IFERROR(O13/K13,0)</f>
        <v/>
      </c>
    </row>
    <row r="14">
      <c r="A14" s="9" t="inlineStr">
        <is>
          <t>T0063</t>
        </is>
      </c>
      <c r="B14" s="9" t="inlineStr">
        <is>
          <t>Pioneer General</t>
        </is>
      </c>
      <c r="C14" s="9" t="inlineStr">
        <is>
          <t>Financial Lines</t>
        </is>
      </c>
      <c r="D14" s="9" t="inlineStr">
        <is>
          <t>Europe</t>
        </is>
      </c>
      <c r="E14" s="9" t="inlineStr">
        <is>
          <t>Aarav Mehta</t>
        </is>
      </c>
      <c r="F14" s="9" t="inlineStr">
        <is>
          <t>Proportional</t>
        </is>
      </c>
      <c r="G14" s="9" t="n">
        <v>2024</v>
      </c>
      <c r="H14" s="12" t="n">
        <v>3300000.0048</v>
      </c>
      <c r="I14" s="12" t="n">
        <v>376962.5952</v>
      </c>
      <c r="J14" s="12" t="n">
        <v>45220.2912</v>
      </c>
      <c r="K14" s="12" t="n">
        <v>376962.5952</v>
      </c>
      <c r="L14" s="12" t="n">
        <v>103747.1328</v>
      </c>
      <c r="M14" s="9" t="n">
        <v>10</v>
      </c>
      <c r="N14" s="12" t="n">
        <v>144890.5752</v>
      </c>
      <c r="O14" s="12" t="n">
        <v>185997.2652</v>
      </c>
      <c r="P14" s="12" t="n">
        <v>330000.0048</v>
      </c>
      <c r="Q14" s="9" t="inlineStr">
        <is>
          <t>Low</t>
        </is>
      </c>
      <c r="R14" s="11">
        <f>IFERROR(O14/K14,0)</f>
        <v/>
      </c>
    </row>
    <row r="15">
      <c r="A15" s="9" t="inlineStr">
        <is>
          <t>T0071</t>
        </is>
      </c>
      <c r="B15" s="9" t="inlineStr">
        <is>
          <t>Granite Indemnity</t>
        </is>
      </c>
      <c r="C15" s="9" t="inlineStr">
        <is>
          <t>Specialty</t>
        </is>
      </c>
      <c r="D15" s="9" t="inlineStr">
        <is>
          <t>Europe</t>
        </is>
      </c>
      <c r="E15" s="9" t="inlineStr">
        <is>
          <t>Kenji Sato</t>
        </is>
      </c>
      <c r="F15" s="9" t="inlineStr">
        <is>
          <t>Proportional</t>
        </is>
      </c>
      <c r="G15" s="9" t="n">
        <v>2024</v>
      </c>
      <c r="H15" s="12" t="n">
        <v>18100000.0008</v>
      </c>
      <c r="I15" s="12" t="n">
        <v>1387397.0304</v>
      </c>
      <c r="J15" s="12" t="n">
        <v>160227.5904</v>
      </c>
      <c r="K15" s="12" t="n">
        <v>1387397.0304</v>
      </c>
      <c r="L15" s="12" t="n">
        <v>394893.5328</v>
      </c>
      <c r="M15" s="9" t="n">
        <v>12</v>
      </c>
      <c r="N15" s="12" t="n">
        <v>743622.7032000001</v>
      </c>
      <c r="O15" s="12" t="n">
        <v>743622.7032000001</v>
      </c>
      <c r="P15" s="12" t="n">
        <v>1810000.0044</v>
      </c>
      <c r="Q15" s="9" t="inlineStr">
        <is>
          <t>Low</t>
        </is>
      </c>
      <c r="R15" s="11">
        <f>IFERROR(O15/K15,0)</f>
        <v/>
      </c>
    </row>
    <row r="16">
      <c r="A16" s="9" t="inlineStr">
        <is>
          <t>T0073</t>
        </is>
      </c>
      <c r="B16" s="9" t="inlineStr">
        <is>
          <t>Granite Indemnity</t>
        </is>
      </c>
      <c r="C16" s="9" t="inlineStr">
        <is>
          <t>Casualty</t>
        </is>
      </c>
      <c r="D16" s="9" t="inlineStr">
        <is>
          <t>Europe</t>
        </is>
      </c>
      <c r="E16" s="9" t="inlineStr">
        <is>
          <t>Carlos Ibarra</t>
        </is>
      </c>
      <c r="F16" s="9" t="inlineStr">
        <is>
          <t>Proportional</t>
        </is>
      </c>
      <c r="G16" s="9" t="n">
        <v>2021</v>
      </c>
      <c r="H16" s="12" t="n">
        <v>66700000.0008</v>
      </c>
      <c r="I16" s="12" t="n">
        <v>9736290.3312</v>
      </c>
      <c r="J16" s="12" t="n">
        <v>565414.0848000001</v>
      </c>
      <c r="K16" s="12" t="n">
        <v>9736290.3312</v>
      </c>
      <c r="L16" s="12" t="n">
        <v>3006922.305600001</v>
      </c>
      <c r="M16" s="9" t="n">
        <v>12</v>
      </c>
      <c r="N16" s="12" t="n">
        <v>7056522.165600001</v>
      </c>
      <c r="O16" s="12" t="n">
        <v>8729420.976</v>
      </c>
      <c r="P16" s="12" t="n">
        <v>33350000.0004</v>
      </c>
      <c r="Q16" s="9" t="inlineStr">
        <is>
          <t>Low</t>
        </is>
      </c>
      <c r="R16" s="11">
        <f>IFERROR(O16/K16,0)</f>
        <v/>
      </c>
    </row>
    <row r="17">
      <c r="A17" s="9" t="inlineStr">
        <is>
          <t>T0076</t>
        </is>
      </c>
      <c r="B17" s="9" t="inlineStr">
        <is>
          <t>Atlas Mutual</t>
        </is>
      </c>
      <c r="C17" s="9" t="inlineStr">
        <is>
          <t>Casualty</t>
        </is>
      </c>
      <c r="D17" s="9" t="inlineStr">
        <is>
          <t>Europe</t>
        </is>
      </c>
      <c r="E17" s="9" t="inlineStr">
        <is>
          <t>Priya Nair</t>
        </is>
      </c>
      <c r="F17" s="9" t="inlineStr">
        <is>
          <t>Facultative</t>
        </is>
      </c>
      <c r="G17" s="9" t="n">
        <v>2023</v>
      </c>
      <c r="H17" s="12" t="n">
        <v>19900000.0044</v>
      </c>
      <c r="I17" s="12" t="n">
        <v>1483287.4224</v>
      </c>
      <c r="J17" s="12" t="n">
        <v>142562.8512</v>
      </c>
      <c r="K17" s="12" t="n">
        <v>1483287.4224</v>
      </c>
      <c r="L17" s="12" t="n">
        <v>246912.624</v>
      </c>
      <c r="M17" s="9" t="n">
        <v>7</v>
      </c>
      <c r="N17" s="12" t="n">
        <v>547707.7656</v>
      </c>
      <c r="O17" s="12" t="n">
        <v>547707.7656</v>
      </c>
      <c r="P17" s="12" t="n">
        <v>19900000.0044</v>
      </c>
      <c r="Q17" s="9" t="inlineStr">
        <is>
          <t>Low</t>
        </is>
      </c>
      <c r="R17" s="11">
        <f>IFERROR(O17/K17,0)</f>
        <v/>
      </c>
    </row>
    <row r="18">
      <c r="A18" s="9" t="inlineStr">
        <is>
          <t>T0080</t>
        </is>
      </c>
      <c r="B18" s="9" t="inlineStr">
        <is>
          <t>Pioneer General</t>
        </is>
      </c>
      <c r="C18" s="9" t="inlineStr">
        <is>
          <t>Property</t>
        </is>
      </c>
      <c r="D18" s="9" t="inlineStr">
        <is>
          <t>Europe</t>
        </is>
      </c>
      <c r="E18" s="9" t="inlineStr">
        <is>
          <t>Priya Nair</t>
        </is>
      </c>
      <c r="F18" s="9" t="inlineStr">
        <is>
          <t>Facultative</t>
        </is>
      </c>
      <c r="G18" s="9" t="n">
        <v>2025</v>
      </c>
      <c r="H18" s="12" t="n">
        <v>23800000.0032</v>
      </c>
      <c r="I18" s="12" t="n">
        <v>1742754.0096</v>
      </c>
      <c r="J18" s="12" t="n">
        <v>132819.6528</v>
      </c>
      <c r="K18" s="12" t="n">
        <v>1742754.0096</v>
      </c>
      <c r="L18" s="12" t="n">
        <v>277760.9232</v>
      </c>
      <c r="M18" s="9" t="n">
        <v>5</v>
      </c>
      <c r="N18" s="12" t="n">
        <v>822075.534</v>
      </c>
      <c r="O18" s="12" t="n">
        <v>906550.3584</v>
      </c>
      <c r="P18" s="12" t="n">
        <v>23800000.0032</v>
      </c>
      <c r="Q18" s="9" t="inlineStr">
        <is>
          <t>Low</t>
        </is>
      </c>
      <c r="R18" s="11">
        <f>IFERROR(O18/K18,0)</f>
        <v/>
      </c>
    </row>
    <row r="19">
      <c r="A19" s="9" t="inlineStr">
        <is>
          <t>T0081</t>
        </is>
      </c>
      <c r="B19" s="9" t="inlineStr">
        <is>
          <t>Pioneer Assurance</t>
        </is>
      </c>
      <c r="C19" s="9" t="inlineStr">
        <is>
          <t>Professional</t>
        </is>
      </c>
      <c r="D19" s="9" t="inlineStr">
        <is>
          <t>Europe</t>
        </is>
      </c>
      <c r="E19" s="9" t="inlineStr">
        <is>
          <t>Carlos Ibarra</t>
        </is>
      </c>
      <c r="F19" s="9" t="inlineStr">
        <is>
          <t>Excess of Loss</t>
        </is>
      </c>
      <c r="G19" s="9" t="n">
        <v>2024</v>
      </c>
      <c r="H19" s="12" t="n">
        <v>1800000.0036</v>
      </c>
      <c r="I19" s="12" t="n">
        <v>200000.016</v>
      </c>
      <c r="J19" s="12" t="n">
        <v>21728.088</v>
      </c>
      <c r="K19" s="12" t="n">
        <v>200000.016</v>
      </c>
      <c r="L19" s="12" t="n">
        <v>11657.6496</v>
      </c>
      <c r="M19" s="9" t="n">
        <v>11</v>
      </c>
      <c r="N19" s="12" t="n">
        <v>86884.01280000001</v>
      </c>
      <c r="O19" s="12" t="n">
        <v>96905.08440000001</v>
      </c>
      <c r="P19" s="12" t="n">
        <v>1800000.0036</v>
      </c>
      <c r="Q19" s="9" t="inlineStr">
        <is>
          <t>Low</t>
        </is>
      </c>
      <c r="R19" s="11">
        <f>IFERROR(O19/K19,0)</f>
        <v/>
      </c>
    </row>
    <row r="20">
      <c r="A20" s="9" t="inlineStr">
        <is>
          <t>T0092</t>
        </is>
      </c>
      <c r="B20" s="9" t="inlineStr">
        <is>
          <t>Sterling Indemnity</t>
        </is>
      </c>
      <c r="C20" s="9" t="inlineStr">
        <is>
          <t>Casualty</t>
        </is>
      </c>
      <c r="D20" s="9" t="inlineStr">
        <is>
          <t>Europe</t>
        </is>
      </c>
      <c r="E20" s="9" t="inlineStr">
        <is>
          <t>Carlos Ibarra</t>
        </is>
      </c>
      <c r="F20" s="9" t="inlineStr">
        <is>
          <t>Excess of Loss</t>
        </is>
      </c>
      <c r="G20" s="9" t="n">
        <v>2026</v>
      </c>
      <c r="H20" s="12" t="n">
        <v>4299999.9984</v>
      </c>
      <c r="I20" s="12" t="n">
        <v>202054.824</v>
      </c>
      <c r="J20" s="12" t="n">
        <v>23983.344</v>
      </c>
      <c r="K20" s="12" t="n">
        <v>200707.794</v>
      </c>
      <c r="L20" s="12" t="n">
        <v>13238.24486246885</v>
      </c>
      <c r="M20" s="9" t="n">
        <v>2</v>
      </c>
      <c r="N20" s="12" t="n">
        <v>48080.844</v>
      </c>
      <c r="O20" s="12" t="n">
        <v>142428.4884</v>
      </c>
      <c r="P20" s="12" t="n">
        <v>4299999.9984</v>
      </c>
      <c r="Q20" s="9" t="inlineStr">
        <is>
          <t>Low</t>
        </is>
      </c>
      <c r="R20" s="11">
        <f>IFERROR(O20/K20,0)</f>
        <v/>
      </c>
    </row>
    <row r="21">
      <c r="A21" s="9" t="inlineStr">
        <is>
          <t>T0094</t>
        </is>
      </c>
      <c r="B21" s="9" t="inlineStr">
        <is>
          <t>Cobalt Assurance</t>
        </is>
      </c>
      <c r="C21" s="9" t="inlineStr">
        <is>
          <t>Specialty</t>
        </is>
      </c>
      <c r="D21" s="9" t="inlineStr">
        <is>
          <t>Europe</t>
        </is>
      </c>
      <c r="E21" s="9" t="inlineStr">
        <is>
          <t>Carlos Ibarra</t>
        </is>
      </c>
      <c r="F21" s="9" t="inlineStr">
        <is>
          <t>Excess of Loss</t>
        </is>
      </c>
      <c r="G21" s="9" t="n">
        <v>2026</v>
      </c>
      <c r="H21" s="12" t="n">
        <v>8300000.005200001</v>
      </c>
      <c r="I21" s="12" t="n">
        <v>225861.0048</v>
      </c>
      <c r="J21" s="12" t="n">
        <v>13366.6416</v>
      </c>
      <c r="K21" s="12" t="n">
        <v>220214.484</v>
      </c>
      <c r="L21" s="12" t="n">
        <v>18097.15319501617</v>
      </c>
      <c r="M21" s="9" t="n">
        <v>3</v>
      </c>
      <c r="N21" s="12" t="n">
        <v>30369.006</v>
      </c>
      <c r="O21" s="12" t="n">
        <v>79813.09080000001</v>
      </c>
      <c r="P21" s="12" t="n">
        <v>8300000.005200001</v>
      </c>
      <c r="Q21" s="9" t="inlineStr">
        <is>
          <t>Low</t>
        </is>
      </c>
      <c r="R21" s="11">
        <f>IFERROR(O21/K21,0)</f>
        <v/>
      </c>
    </row>
    <row r="22">
      <c r="A22" s="9" t="inlineStr">
        <is>
          <t>T0096</t>
        </is>
      </c>
      <c r="B22" s="9" t="inlineStr">
        <is>
          <t>Vantage Assurance</t>
        </is>
      </c>
      <c r="C22" s="9" t="inlineStr">
        <is>
          <t>Professional</t>
        </is>
      </c>
      <c r="D22" s="9" t="inlineStr">
        <is>
          <t>Europe</t>
        </is>
      </c>
      <c r="E22" s="9" t="inlineStr">
        <is>
          <t>Sophie Laurent</t>
        </is>
      </c>
      <c r="F22" s="9" t="inlineStr">
        <is>
          <t>Proportional</t>
        </is>
      </c>
      <c r="G22" s="9" t="n">
        <v>2022</v>
      </c>
      <c r="H22" s="12" t="n">
        <v>3300000.0048</v>
      </c>
      <c r="I22" s="12" t="n">
        <v>435796.3296000001</v>
      </c>
      <c r="J22" s="12" t="n">
        <v>36466.84800000001</v>
      </c>
      <c r="K22" s="12" t="n">
        <v>435796.3296000001</v>
      </c>
      <c r="L22" s="12" t="n">
        <v>109312.2864</v>
      </c>
      <c r="M22" s="9" t="n">
        <v>14</v>
      </c>
      <c r="N22" s="12" t="n">
        <v>354046.8204</v>
      </c>
      <c r="O22" s="12" t="n">
        <v>446010.5376</v>
      </c>
      <c r="P22" s="12" t="n">
        <v>659999.9988000001</v>
      </c>
      <c r="Q22" s="9" t="inlineStr">
        <is>
          <t>Low</t>
        </is>
      </c>
      <c r="R22" s="11">
        <f>IFERROR(O22/K22,0)</f>
        <v/>
      </c>
    </row>
    <row r="23">
      <c r="A23" s="9" t="inlineStr">
        <is>
          <t>T0097</t>
        </is>
      </c>
      <c r="B23" s="9" t="inlineStr">
        <is>
          <t>Vantage Assurance</t>
        </is>
      </c>
      <c r="C23" s="9" t="inlineStr">
        <is>
          <t>Professional</t>
        </is>
      </c>
      <c r="D23" s="9" t="inlineStr">
        <is>
          <t>Europe</t>
        </is>
      </c>
      <c r="E23" s="9" t="inlineStr">
        <is>
          <t>Hannah Weber</t>
        </is>
      </c>
      <c r="F23" s="9" t="inlineStr">
        <is>
          <t>Excess of Loss</t>
        </is>
      </c>
      <c r="G23" s="9" t="n">
        <v>2025</v>
      </c>
      <c r="H23" s="12" t="n">
        <v>3700000.0044</v>
      </c>
      <c r="I23" s="12" t="n">
        <v>512843.2704</v>
      </c>
      <c r="J23" s="12" t="n">
        <v>52630.3008</v>
      </c>
      <c r="K23" s="12" t="n">
        <v>512843.2704</v>
      </c>
      <c r="L23" s="12" t="n">
        <v>42424.4304</v>
      </c>
      <c r="M23" s="9" t="n">
        <v>13</v>
      </c>
      <c r="N23" s="12" t="n">
        <v>151496.406</v>
      </c>
      <c r="O23" s="12" t="n">
        <v>318707.2872</v>
      </c>
      <c r="P23" s="12" t="n">
        <v>3700000.0044</v>
      </c>
      <c r="Q23" s="9" t="inlineStr">
        <is>
          <t>Low</t>
        </is>
      </c>
      <c r="R23" s="11">
        <f>IFERROR(O23/K23,0)</f>
        <v/>
      </c>
    </row>
    <row r="24">
      <c r="A24" s="9" t="inlineStr">
        <is>
          <t>T0098</t>
        </is>
      </c>
      <c r="B24" s="9" t="inlineStr">
        <is>
          <t>Granite Indemnity</t>
        </is>
      </c>
      <c r="C24" s="9" t="inlineStr">
        <is>
          <t>Property</t>
        </is>
      </c>
      <c r="D24" s="9" t="inlineStr">
        <is>
          <t>Europe</t>
        </is>
      </c>
      <c r="E24" s="9" t="inlineStr">
        <is>
          <t>James Whitfield</t>
        </is>
      </c>
      <c r="F24" s="9" t="inlineStr">
        <is>
          <t>Proportional</t>
        </is>
      </c>
      <c r="G24" s="9" t="n">
        <v>2022</v>
      </c>
      <c r="H24" s="12" t="n">
        <v>15899999.9976</v>
      </c>
      <c r="I24" s="12" t="n">
        <v>2230847.0496</v>
      </c>
      <c r="J24" s="12" t="n">
        <v>246959.4096</v>
      </c>
      <c r="K24" s="12" t="n">
        <v>2230847.0496</v>
      </c>
      <c r="L24" s="12" t="n">
        <v>661034.6496</v>
      </c>
      <c r="M24" s="9" t="n">
        <v>15</v>
      </c>
      <c r="N24" s="12" t="n">
        <v>1194621.0912</v>
      </c>
      <c r="O24" s="12" t="n">
        <v>1194621.0912</v>
      </c>
      <c r="P24" s="12" t="n">
        <v>7949999.998800001</v>
      </c>
      <c r="Q24" s="9" t="inlineStr">
        <is>
          <t>Low</t>
        </is>
      </c>
      <c r="R24" s="11">
        <f>IFERROR(O24/K24,0)</f>
        <v/>
      </c>
    </row>
    <row r="25">
      <c r="A25" s="9" t="inlineStr">
        <is>
          <t>T0103</t>
        </is>
      </c>
      <c r="B25" s="9" t="inlineStr">
        <is>
          <t>Pioneer Insurance</t>
        </is>
      </c>
      <c r="C25" s="9" t="inlineStr">
        <is>
          <t>Property</t>
        </is>
      </c>
      <c r="D25" s="9" t="inlineStr">
        <is>
          <t>Europe</t>
        </is>
      </c>
      <c r="E25" s="9" t="inlineStr">
        <is>
          <t>Kenji Sato</t>
        </is>
      </c>
      <c r="F25" s="9" t="inlineStr">
        <is>
          <t>Excess of Loss</t>
        </is>
      </c>
      <c r="G25" s="9" t="n">
        <v>2025</v>
      </c>
      <c r="H25" s="12" t="n">
        <v>9600000.001200002</v>
      </c>
      <c r="I25" s="12" t="n">
        <v>1384687.224</v>
      </c>
      <c r="J25" s="12" t="n">
        <v>89395.2288</v>
      </c>
      <c r="K25" s="12" t="n">
        <v>1384687.224</v>
      </c>
      <c r="L25" s="12" t="n">
        <v>165588.4944</v>
      </c>
      <c r="M25" s="9" t="n">
        <v>8</v>
      </c>
      <c r="N25" s="12" t="n">
        <v>699327.4212</v>
      </c>
      <c r="O25" s="12" t="n">
        <v>1472718.7368</v>
      </c>
      <c r="P25" s="12" t="n">
        <v>9600000.001200002</v>
      </c>
      <c r="Q25" s="9" t="inlineStr">
        <is>
          <t>Low</t>
        </is>
      </c>
      <c r="R25" s="11">
        <f>IFERROR(O25/K25,0)</f>
        <v/>
      </c>
    </row>
    <row r="26">
      <c r="A26" s="9" t="inlineStr">
        <is>
          <t>T0111</t>
        </is>
      </c>
      <c r="B26" s="9" t="inlineStr">
        <is>
          <t>Pioneer Insurance</t>
        </is>
      </c>
      <c r="C26" s="9" t="inlineStr">
        <is>
          <t>Financial Lines</t>
        </is>
      </c>
      <c r="D26" s="9" t="inlineStr">
        <is>
          <t>Europe</t>
        </is>
      </c>
      <c r="E26" s="9" t="inlineStr">
        <is>
          <t>Kenji Sato</t>
        </is>
      </c>
      <c r="F26" s="9" t="inlineStr">
        <is>
          <t>Facultative</t>
        </is>
      </c>
      <c r="G26" s="9" t="n">
        <v>2022</v>
      </c>
      <c r="H26" s="12" t="n">
        <v>16800000.0048</v>
      </c>
      <c r="I26" s="12" t="n">
        <v>1297643.4576</v>
      </c>
      <c r="J26" s="12" t="n">
        <v>124695.288</v>
      </c>
      <c r="K26" s="12" t="n">
        <v>1297643.4576</v>
      </c>
      <c r="L26" s="12" t="n">
        <v>244618.3152</v>
      </c>
      <c r="M26" s="9" t="n">
        <v>5</v>
      </c>
      <c r="N26" s="12" t="n">
        <v>319748.4072</v>
      </c>
      <c r="O26" s="12" t="n">
        <v>350036.8668</v>
      </c>
      <c r="P26" s="12" t="n">
        <v>16800000.0048</v>
      </c>
      <c r="Q26" s="9" t="inlineStr">
        <is>
          <t>Low</t>
        </is>
      </c>
      <c r="R26" s="11">
        <f>IFERROR(O26/K26,0)</f>
        <v/>
      </c>
    </row>
    <row r="27">
      <c r="A27" s="9" t="inlineStr">
        <is>
          <t>T0120</t>
        </is>
      </c>
      <c r="B27" s="9" t="inlineStr">
        <is>
          <t>Sterling Indemnity</t>
        </is>
      </c>
      <c r="C27" s="9" t="inlineStr">
        <is>
          <t>Specialty</t>
        </is>
      </c>
      <c r="D27" s="9" t="inlineStr">
        <is>
          <t>Europe</t>
        </is>
      </c>
      <c r="E27" s="9" t="inlineStr">
        <is>
          <t>Priya Nair</t>
        </is>
      </c>
      <c r="F27" s="9" t="inlineStr">
        <is>
          <t>Excess of Loss</t>
        </is>
      </c>
      <c r="G27" s="9" t="n">
        <v>2026</v>
      </c>
      <c r="H27" s="12" t="n">
        <v>19500000.0048</v>
      </c>
      <c r="I27" s="12" t="n">
        <v>279090.1656</v>
      </c>
      <c r="J27" s="12" t="n">
        <v>23595.7968</v>
      </c>
      <c r="K27" s="12" t="n">
        <v>213969.1248</v>
      </c>
      <c r="L27" s="12" t="n">
        <v>17911.66013918332</v>
      </c>
      <c r="M27" s="9" t="n">
        <v>4</v>
      </c>
      <c r="N27" s="12" t="n">
        <v>49208.78520000001</v>
      </c>
      <c r="O27" s="12" t="n">
        <v>137587.9716</v>
      </c>
      <c r="P27" s="12" t="n">
        <v>19500000.0048</v>
      </c>
      <c r="Q27" s="9" t="inlineStr">
        <is>
          <t>Low</t>
        </is>
      </c>
      <c r="R27" s="11">
        <f>IFERROR(O27/K27,0)</f>
        <v/>
      </c>
    </row>
    <row r="28">
      <c r="A28" s="9" t="inlineStr">
        <is>
          <t>T0128</t>
        </is>
      </c>
      <c r="B28" s="9" t="inlineStr">
        <is>
          <t>Cobalt Assurance</t>
        </is>
      </c>
      <c r="C28" s="9" t="inlineStr">
        <is>
          <t>Professional</t>
        </is>
      </c>
      <c r="D28" s="9" t="inlineStr">
        <is>
          <t>Europe</t>
        </is>
      </c>
      <c r="E28" s="9" t="inlineStr">
        <is>
          <t>Aarav Mehta</t>
        </is>
      </c>
      <c r="F28" s="9" t="inlineStr">
        <is>
          <t>Excess of Loss</t>
        </is>
      </c>
      <c r="G28" s="9" t="n">
        <v>2024</v>
      </c>
      <c r="H28" s="12" t="n">
        <v>4399999.9956</v>
      </c>
      <c r="I28" s="12" t="n">
        <v>566470.8432</v>
      </c>
      <c r="J28" s="12" t="n">
        <v>56533.07520000001</v>
      </c>
      <c r="K28" s="12" t="n">
        <v>566470.8432</v>
      </c>
      <c r="L28" s="12" t="n">
        <v>37222.2864</v>
      </c>
      <c r="M28" s="9" t="n">
        <v>10</v>
      </c>
      <c r="N28" s="12" t="n">
        <v>264040.5708</v>
      </c>
      <c r="O28" s="12" t="n">
        <v>264040.5708</v>
      </c>
      <c r="P28" s="12" t="n">
        <v>4399999.9956</v>
      </c>
      <c r="Q28" s="9" t="inlineStr">
        <is>
          <t>Low</t>
        </is>
      </c>
      <c r="R28" s="11">
        <f>IFERROR(O28/K28,0)</f>
        <v/>
      </c>
    </row>
    <row r="29">
      <c r="A29" s="9" t="inlineStr">
        <is>
          <t>T0131</t>
        </is>
      </c>
      <c r="B29" s="9" t="inlineStr">
        <is>
          <t>Vantage Assurance</t>
        </is>
      </c>
      <c r="C29" s="9" t="inlineStr">
        <is>
          <t>Financial Lines</t>
        </is>
      </c>
      <c r="D29" s="9" t="inlineStr">
        <is>
          <t>Europe</t>
        </is>
      </c>
      <c r="E29" s="9" t="inlineStr">
        <is>
          <t>Hannah Weber</t>
        </is>
      </c>
      <c r="F29" s="9" t="inlineStr">
        <is>
          <t>Excess of Loss</t>
        </is>
      </c>
      <c r="G29" s="9" t="n">
        <v>2026</v>
      </c>
      <c r="H29" s="12" t="n">
        <v>4100000.004</v>
      </c>
      <c r="I29" s="12" t="n">
        <v>120193.092</v>
      </c>
      <c r="J29" s="12" t="n">
        <v>7301.793600000001</v>
      </c>
      <c r="K29" s="12" t="n">
        <v>80128.7316</v>
      </c>
      <c r="L29" s="12" t="n">
        <v>7454.505934913844</v>
      </c>
      <c r="M29" s="9" t="n">
        <v>1</v>
      </c>
      <c r="N29" s="12" t="n">
        <v>14175.162</v>
      </c>
      <c r="O29" s="12" t="n">
        <v>36539.748</v>
      </c>
      <c r="P29" s="12" t="n">
        <v>4100000.004</v>
      </c>
      <c r="Q29" s="9" t="inlineStr">
        <is>
          <t>Low</t>
        </is>
      </c>
      <c r="R29" s="11">
        <f>IFERROR(O29/K29,0)</f>
        <v/>
      </c>
    </row>
    <row r="30">
      <c r="A30" s="9" t="inlineStr">
        <is>
          <t>T0135</t>
        </is>
      </c>
      <c r="B30" s="9" t="inlineStr">
        <is>
          <t>Orion Mutual</t>
        </is>
      </c>
      <c r="C30" s="9" t="inlineStr">
        <is>
          <t>Casualty</t>
        </is>
      </c>
      <c r="D30" s="9" t="inlineStr">
        <is>
          <t>Europe</t>
        </is>
      </c>
      <c r="E30" s="9" t="inlineStr">
        <is>
          <t>Hannah Weber</t>
        </is>
      </c>
      <c r="F30" s="9" t="inlineStr">
        <is>
          <t>Excess of Loss</t>
        </is>
      </c>
      <c r="G30" s="9" t="n">
        <v>2026</v>
      </c>
      <c r="H30" s="12" t="n">
        <v>8000000.002800001</v>
      </c>
      <c r="I30" s="12" t="n">
        <v>496253.5956</v>
      </c>
      <c r="J30" s="12" t="n">
        <v>34768.2888</v>
      </c>
      <c r="K30" s="12" t="n">
        <v>489164.2596</v>
      </c>
      <c r="L30" s="12" t="n">
        <v>48000.4186659776</v>
      </c>
      <c r="M30" s="9" t="n">
        <v>5</v>
      </c>
      <c r="N30" s="12" t="n">
        <v>201993.2424</v>
      </c>
      <c r="O30" s="12" t="n">
        <v>282254.2524</v>
      </c>
      <c r="P30" s="12" t="n">
        <v>8000000.002800001</v>
      </c>
      <c r="Q30" s="9" t="inlineStr">
        <is>
          <t>Low</t>
        </is>
      </c>
      <c r="R30" s="11">
        <f>IFERROR(O30/K30,0)</f>
        <v/>
      </c>
    </row>
    <row r="31">
      <c r="A31" s="9" t="inlineStr">
        <is>
          <t>T0139</t>
        </is>
      </c>
      <c r="B31" s="9" t="inlineStr">
        <is>
          <t>Summit Insurance</t>
        </is>
      </c>
      <c r="C31" s="9" t="inlineStr">
        <is>
          <t>Financial Lines</t>
        </is>
      </c>
      <c r="D31" s="9" t="inlineStr">
        <is>
          <t>Europe</t>
        </is>
      </c>
      <c r="E31" s="9" t="inlineStr">
        <is>
          <t>Sophie Laurent</t>
        </is>
      </c>
      <c r="F31" s="9" t="inlineStr">
        <is>
          <t>Excess of Loss</t>
        </is>
      </c>
      <c r="G31" s="9" t="n">
        <v>2021</v>
      </c>
      <c r="H31" s="12" t="n">
        <v>4299999.9984</v>
      </c>
      <c r="I31" s="12" t="n">
        <v>544537.0800000001</v>
      </c>
      <c r="J31" s="12" t="n">
        <v>63263.8512</v>
      </c>
      <c r="K31" s="12" t="n">
        <v>544537.0800000001</v>
      </c>
      <c r="L31" s="12" t="n">
        <v>45327.9888</v>
      </c>
      <c r="M31" s="9" t="n">
        <v>13</v>
      </c>
      <c r="N31" s="12" t="n">
        <v>156209.1372</v>
      </c>
      <c r="O31" s="12" t="n">
        <v>157752.2088</v>
      </c>
      <c r="P31" s="12" t="n">
        <v>4299999.9984</v>
      </c>
      <c r="Q31" s="9" t="inlineStr">
        <is>
          <t>Low</t>
        </is>
      </c>
      <c r="R31" s="11">
        <f>IFERROR(O31/K31,0)</f>
        <v/>
      </c>
    </row>
    <row r="32">
      <c r="A32" s="9" t="inlineStr">
        <is>
          <t>T0140</t>
        </is>
      </c>
      <c r="B32" s="9" t="inlineStr">
        <is>
          <t>Pioneer General</t>
        </is>
      </c>
      <c r="C32" s="9" t="inlineStr">
        <is>
          <t>Casualty</t>
        </is>
      </c>
      <c r="D32" s="9" t="inlineStr">
        <is>
          <t>Europe</t>
        </is>
      </c>
      <c r="E32" s="9" t="inlineStr">
        <is>
          <t>Sophie Laurent</t>
        </is>
      </c>
      <c r="F32" s="9" t="inlineStr">
        <is>
          <t>Facultative</t>
        </is>
      </c>
      <c r="G32" s="9" t="n">
        <v>2021</v>
      </c>
      <c r="H32" s="12" t="n">
        <v>21900000.0024</v>
      </c>
      <c r="I32" s="12" t="n">
        <v>2295716.7744</v>
      </c>
      <c r="J32" s="12" t="n">
        <v>159699.4704</v>
      </c>
      <c r="K32" s="12" t="n">
        <v>2295716.7744</v>
      </c>
      <c r="L32" s="12" t="n">
        <v>374068.2384</v>
      </c>
      <c r="M32" s="9" t="n">
        <v>6</v>
      </c>
      <c r="N32" s="12" t="n">
        <v>663876.2376000001</v>
      </c>
      <c r="O32" s="12" t="n">
        <v>1775829.69</v>
      </c>
      <c r="P32" s="12" t="n">
        <v>21900000.0024</v>
      </c>
      <c r="Q32" s="9" t="inlineStr">
        <is>
          <t>Low</t>
        </is>
      </c>
      <c r="R32" s="11">
        <f>IFERROR(O32/K32,0)</f>
        <v/>
      </c>
    </row>
    <row r="33">
      <c r="A33" s="9" t="inlineStr">
        <is>
          <t>T0142</t>
        </is>
      </c>
      <c r="B33" s="9" t="inlineStr">
        <is>
          <t>Pioneer General</t>
        </is>
      </c>
      <c r="C33" s="9" t="inlineStr">
        <is>
          <t>Casualty</t>
        </is>
      </c>
      <c r="D33" s="9" t="inlineStr">
        <is>
          <t>Europe</t>
        </is>
      </c>
      <c r="E33" s="9" t="inlineStr">
        <is>
          <t>Hannah Weber</t>
        </is>
      </c>
      <c r="F33" s="9" t="inlineStr">
        <is>
          <t>Proportional</t>
        </is>
      </c>
      <c r="G33" s="9" t="n">
        <v>2023</v>
      </c>
      <c r="H33" s="12" t="n">
        <v>9299999.9988</v>
      </c>
      <c r="I33" s="12" t="n">
        <v>731651.3568000001</v>
      </c>
      <c r="J33" s="12" t="n">
        <v>61913.808</v>
      </c>
      <c r="K33" s="12" t="n">
        <v>731651.3568000001</v>
      </c>
      <c r="L33" s="12" t="n">
        <v>202810.1328</v>
      </c>
      <c r="M33" s="9" t="n">
        <v>9</v>
      </c>
      <c r="N33" s="12" t="n">
        <v>401828.526</v>
      </c>
      <c r="O33" s="12" t="n">
        <v>443886.6852000001</v>
      </c>
      <c r="P33" s="12" t="n">
        <v>3719999.9952</v>
      </c>
      <c r="Q33" s="9" t="inlineStr">
        <is>
          <t>Low</t>
        </is>
      </c>
      <c r="R33" s="11">
        <f>IFERROR(O33/K33,0)</f>
        <v/>
      </c>
    </row>
    <row r="34">
      <c r="A34" s="9" t="inlineStr">
        <is>
          <t>T0146</t>
        </is>
      </c>
      <c r="B34" s="9" t="inlineStr">
        <is>
          <t>Meridian Indemnity</t>
        </is>
      </c>
      <c r="C34" s="9" t="inlineStr">
        <is>
          <t>Property</t>
        </is>
      </c>
      <c r="D34" s="9" t="inlineStr">
        <is>
          <t>Europe</t>
        </is>
      </c>
      <c r="E34" s="9" t="inlineStr">
        <is>
          <t>Aarav Mehta</t>
        </is>
      </c>
      <c r="F34" s="9" t="inlineStr">
        <is>
          <t>Excess of Loss</t>
        </is>
      </c>
      <c r="G34" s="9" t="n">
        <v>2025</v>
      </c>
      <c r="H34" s="12" t="n">
        <v>21600000</v>
      </c>
      <c r="I34" s="12" t="n">
        <v>1377112.644</v>
      </c>
      <c r="J34" s="12" t="n">
        <v>77949.97200000001</v>
      </c>
      <c r="K34" s="12" t="n">
        <v>1358751.1428</v>
      </c>
      <c r="L34" s="12" t="n">
        <v>144636.2323966425</v>
      </c>
      <c r="M34" s="9" t="n">
        <v>6</v>
      </c>
      <c r="N34" s="12" t="n">
        <v>315926.1144</v>
      </c>
      <c r="O34" s="12" t="n">
        <v>751292.0532000001</v>
      </c>
      <c r="P34" s="12" t="n">
        <v>21600000</v>
      </c>
      <c r="Q34" s="9" t="inlineStr">
        <is>
          <t>Low</t>
        </is>
      </c>
      <c r="R34" s="11">
        <f>IFERROR(O34/K34,0)</f>
        <v/>
      </c>
    </row>
    <row r="35">
      <c r="A35" s="9" t="inlineStr">
        <is>
          <t>T0152</t>
        </is>
      </c>
      <c r="B35" s="9" t="inlineStr">
        <is>
          <t>Sterling Mutual</t>
        </is>
      </c>
      <c r="C35" s="9" t="inlineStr">
        <is>
          <t>Property</t>
        </is>
      </c>
      <c r="D35" s="9" t="inlineStr">
        <is>
          <t>Europe</t>
        </is>
      </c>
      <c r="E35" s="9" t="inlineStr">
        <is>
          <t>Priya Nair</t>
        </is>
      </c>
      <c r="F35" s="9" t="inlineStr">
        <is>
          <t>Excess of Loss</t>
        </is>
      </c>
      <c r="G35" s="9" t="n">
        <v>2026</v>
      </c>
      <c r="H35" s="12" t="n">
        <v>56299999.9982</v>
      </c>
      <c r="I35" s="12" t="n">
        <v>1057769.538</v>
      </c>
      <c r="J35" s="12" t="n">
        <v>76191.38940000001</v>
      </c>
      <c r="K35" s="12" t="n">
        <v>999004.5678999999</v>
      </c>
      <c r="L35" s="12" t="n">
        <v>114959.6977538143</v>
      </c>
      <c r="M35" s="9" t="n">
        <v>4</v>
      </c>
      <c r="N35" s="12" t="n">
        <v>216862.1774</v>
      </c>
      <c r="O35" s="12" t="n">
        <v>1156824.5596</v>
      </c>
      <c r="P35" s="12" t="n">
        <v>56299999.9982</v>
      </c>
      <c r="Q35" s="9" t="inlineStr">
        <is>
          <t>Low</t>
        </is>
      </c>
      <c r="R35" s="11">
        <f>IFERROR(O35/K35,0)</f>
        <v/>
      </c>
    </row>
    <row r="36">
      <c r="A36" s="9" t="inlineStr">
        <is>
          <t>T0159</t>
        </is>
      </c>
      <c r="B36" s="9" t="inlineStr">
        <is>
          <t>Pioneer Mutual</t>
        </is>
      </c>
      <c r="C36" s="9" t="inlineStr">
        <is>
          <t>Property</t>
        </is>
      </c>
      <c r="D36" s="9" t="inlineStr">
        <is>
          <t>Europe</t>
        </is>
      </c>
      <c r="E36" s="9" t="inlineStr">
        <is>
          <t>Kenji Sato</t>
        </is>
      </c>
      <c r="F36" s="9" t="inlineStr">
        <is>
          <t>Proportional</t>
        </is>
      </c>
      <c r="G36" s="9" t="n">
        <v>2021</v>
      </c>
      <c r="H36" s="12" t="n">
        <v>8599999.9968</v>
      </c>
      <c r="I36" s="12" t="n">
        <v>743447.1600000001</v>
      </c>
      <c r="J36" s="12" t="n">
        <v>54067.17600000001</v>
      </c>
      <c r="K36" s="12" t="n">
        <v>743447.1600000001</v>
      </c>
      <c r="L36" s="12" t="n">
        <v>234102.1824</v>
      </c>
      <c r="M36" s="9" t="n">
        <v>8</v>
      </c>
      <c r="N36" s="12" t="n">
        <v>426991.2084</v>
      </c>
      <c r="O36" s="12" t="n">
        <v>426991.2084</v>
      </c>
      <c r="P36" s="12" t="n">
        <v>3440000.0052</v>
      </c>
      <c r="Q36" s="9" t="inlineStr">
        <is>
          <t>Low</t>
        </is>
      </c>
      <c r="R36" s="11">
        <f>IFERROR(O36/K36,0)</f>
        <v/>
      </c>
    </row>
    <row r="37">
      <c r="A37" s="9" t="inlineStr">
        <is>
          <t>T0161</t>
        </is>
      </c>
      <c r="B37" s="9" t="inlineStr">
        <is>
          <t>Sterling Indemnity</t>
        </is>
      </c>
      <c r="C37" s="9" t="inlineStr">
        <is>
          <t>Financial Lines</t>
        </is>
      </c>
      <c r="D37" s="9" t="inlineStr">
        <is>
          <t>Europe</t>
        </is>
      </c>
      <c r="E37" s="9" t="inlineStr">
        <is>
          <t>Sophie Laurent</t>
        </is>
      </c>
      <c r="F37" s="9" t="inlineStr">
        <is>
          <t>Excess of Loss</t>
        </is>
      </c>
      <c r="G37" s="9" t="n">
        <v>2021</v>
      </c>
      <c r="H37" s="12" t="n">
        <v>3199999.9968</v>
      </c>
      <c r="I37" s="12" t="n">
        <v>554101.1712</v>
      </c>
      <c r="J37" s="12" t="n">
        <v>47020.9536</v>
      </c>
      <c r="K37" s="12" t="n">
        <v>554101.1712</v>
      </c>
      <c r="L37" s="12" t="n">
        <v>35810.0352</v>
      </c>
      <c r="M37" s="9" t="n">
        <v>7</v>
      </c>
      <c r="N37" s="12" t="n">
        <v>118064.466</v>
      </c>
      <c r="O37" s="12" t="n">
        <v>181643.1804</v>
      </c>
      <c r="P37" s="12" t="n">
        <v>3199999.9968</v>
      </c>
      <c r="Q37" s="9" t="inlineStr">
        <is>
          <t>Low</t>
        </is>
      </c>
      <c r="R37" s="11">
        <f>IFERROR(O37/K37,0)</f>
        <v/>
      </c>
    </row>
    <row r="38">
      <c r="A38" s="9" t="inlineStr">
        <is>
          <t>T0164</t>
        </is>
      </c>
      <c r="B38" s="9" t="inlineStr">
        <is>
          <t>Pioneer Insurance</t>
        </is>
      </c>
      <c r="C38" s="9" t="inlineStr">
        <is>
          <t>Professional</t>
        </is>
      </c>
      <c r="D38" s="9" t="inlineStr">
        <is>
          <t>Europe</t>
        </is>
      </c>
      <c r="E38" s="9" t="inlineStr">
        <is>
          <t>Aarav Mehta</t>
        </is>
      </c>
      <c r="F38" s="9" t="inlineStr">
        <is>
          <t>Facultative</t>
        </is>
      </c>
      <c r="G38" s="9" t="n">
        <v>2024</v>
      </c>
      <c r="H38" s="12" t="n">
        <v>8999999.996400001</v>
      </c>
      <c r="I38" s="12" t="n">
        <v>1416008.0448</v>
      </c>
      <c r="J38" s="12" t="n">
        <v>138719.304</v>
      </c>
      <c r="K38" s="12" t="n">
        <v>1416008.0448</v>
      </c>
      <c r="L38" s="12" t="n">
        <v>216065.1024</v>
      </c>
      <c r="M38" s="9" t="n">
        <v>6</v>
      </c>
      <c r="N38" s="12" t="n">
        <v>499698.1908</v>
      </c>
      <c r="O38" s="12" t="n">
        <v>768656.8116</v>
      </c>
      <c r="P38" s="12" t="n">
        <v>8999999.996400001</v>
      </c>
      <c r="Q38" s="9" t="inlineStr">
        <is>
          <t>Low</t>
        </is>
      </c>
      <c r="R38" s="11">
        <f>IFERROR(O38/K38,0)</f>
        <v/>
      </c>
    </row>
    <row r="39">
      <c r="A39" s="9" t="inlineStr">
        <is>
          <t>T0165</t>
        </is>
      </c>
      <c r="B39" s="9" t="inlineStr">
        <is>
          <t>Pioneer General</t>
        </is>
      </c>
      <c r="C39" s="9" t="inlineStr">
        <is>
          <t>Casualty</t>
        </is>
      </c>
      <c r="D39" s="9" t="inlineStr">
        <is>
          <t>Europe</t>
        </is>
      </c>
      <c r="E39" s="9" t="inlineStr">
        <is>
          <t>Kenji Sato</t>
        </is>
      </c>
      <c r="F39" s="9" t="inlineStr">
        <is>
          <t>Excess of Loss</t>
        </is>
      </c>
      <c r="G39" s="9" t="n">
        <v>2023</v>
      </c>
      <c r="H39" s="12" t="n">
        <v>8800000.002</v>
      </c>
      <c r="I39" s="12" t="n">
        <v>1112527.872</v>
      </c>
      <c r="J39" s="12" t="n">
        <v>102517.6176</v>
      </c>
      <c r="K39" s="12" t="n">
        <v>1112527.872</v>
      </c>
      <c r="L39" s="12" t="n">
        <v>84055.19040000001</v>
      </c>
      <c r="M39" s="9" t="n">
        <v>9</v>
      </c>
      <c r="N39" s="12" t="n">
        <v>962077.0464000001</v>
      </c>
      <c r="O39" s="12" t="n">
        <v>962077.0464000001</v>
      </c>
      <c r="P39" s="12" t="n">
        <v>8800000.002</v>
      </c>
      <c r="Q39" s="9" t="inlineStr">
        <is>
          <t>Low</t>
        </is>
      </c>
      <c r="R39" s="11">
        <f>IFERROR(O39/K39,0)</f>
        <v/>
      </c>
    </row>
    <row r="40">
      <c r="A40" s="9" t="inlineStr">
        <is>
          <t>T0169</t>
        </is>
      </c>
      <c r="B40" s="9" t="inlineStr">
        <is>
          <t>Pioneer Assurance</t>
        </is>
      </c>
      <c r="C40" s="9" t="inlineStr">
        <is>
          <t>Property</t>
        </is>
      </c>
      <c r="D40" s="9" t="inlineStr">
        <is>
          <t>Europe</t>
        </is>
      </c>
      <c r="E40" s="9" t="inlineStr">
        <is>
          <t>Omar Haddad</t>
        </is>
      </c>
      <c r="F40" s="9" t="inlineStr">
        <is>
          <t>Facultative</t>
        </is>
      </c>
      <c r="G40" s="9" t="n">
        <v>2024</v>
      </c>
      <c r="H40" s="12" t="n">
        <v>3999999.996</v>
      </c>
      <c r="I40" s="12" t="n">
        <v>660837.3984000001</v>
      </c>
      <c r="J40" s="12" t="n">
        <v>36216.2016</v>
      </c>
      <c r="K40" s="12" t="n">
        <v>660837.3984000001</v>
      </c>
      <c r="L40" s="12" t="n">
        <v>124413.2784</v>
      </c>
      <c r="M40" s="9" t="n">
        <v>13</v>
      </c>
      <c r="N40" s="12" t="n">
        <v>339607.8252</v>
      </c>
      <c r="O40" s="12" t="n">
        <v>441645.2532</v>
      </c>
      <c r="P40" s="12" t="n">
        <v>3999999.996</v>
      </c>
      <c r="Q40" s="9" t="inlineStr">
        <is>
          <t>Low</t>
        </is>
      </c>
      <c r="R40" s="11">
        <f>IFERROR(O40/K40,0)</f>
        <v/>
      </c>
    </row>
    <row r="41">
      <c r="A41" s="9" t="inlineStr">
        <is>
          <t>T0172</t>
        </is>
      </c>
      <c r="B41" s="9" t="inlineStr">
        <is>
          <t>Meridian Assurance</t>
        </is>
      </c>
      <c r="C41" s="9" t="inlineStr">
        <is>
          <t>Specialty</t>
        </is>
      </c>
      <c r="D41" s="9" t="inlineStr">
        <is>
          <t>Europe</t>
        </is>
      </c>
      <c r="E41" s="9" t="inlineStr">
        <is>
          <t>James Whitfield</t>
        </is>
      </c>
      <c r="F41" s="9" t="inlineStr">
        <is>
          <t>Proportional</t>
        </is>
      </c>
      <c r="G41" s="9" t="n">
        <v>2025</v>
      </c>
      <c r="H41" s="12" t="n">
        <v>6500000.0016</v>
      </c>
      <c r="I41" s="12" t="n">
        <v>670603.9248</v>
      </c>
      <c r="J41" s="12" t="n">
        <v>43939.0656</v>
      </c>
      <c r="K41" s="12" t="n">
        <v>670603.9248</v>
      </c>
      <c r="L41" s="12" t="n">
        <v>206075.664</v>
      </c>
      <c r="M41" s="9" t="n">
        <v>7</v>
      </c>
      <c r="N41" s="12" t="n">
        <v>426868.1964</v>
      </c>
      <c r="O41" s="12" t="n">
        <v>589517.5248</v>
      </c>
      <c r="P41" s="12" t="n">
        <v>649999.998</v>
      </c>
      <c r="Q41" s="9" t="inlineStr">
        <is>
          <t>Low</t>
        </is>
      </c>
      <c r="R41" s="11">
        <f>IFERROR(O41/K41,0)</f>
        <v/>
      </c>
    </row>
    <row r="42">
      <c r="A42" s="9" t="inlineStr">
        <is>
          <t>T0180</t>
        </is>
      </c>
      <c r="B42" s="9" t="inlineStr">
        <is>
          <t>Meridian Indemnity</t>
        </is>
      </c>
      <c r="C42" s="9" t="inlineStr">
        <is>
          <t>Casualty</t>
        </is>
      </c>
      <c r="D42" s="9" t="inlineStr">
        <is>
          <t>Europe</t>
        </is>
      </c>
      <c r="E42" s="9" t="inlineStr">
        <is>
          <t>Unassigned</t>
        </is>
      </c>
      <c r="F42" s="9" t="inlineStr">
        <is>
          <t>Excess of Loss</t>
        </is>
      </c>
      <c r="G42" s="9" t="n">
        <v>2024</v>
      </c>
      <c r="H42" s="12" t="n">
        <v>4600000.000800001</v>
      </c>
      <c r="I42" s="12" t="n">
        <v>878631.4944000001</v>
      </c>
      <c r="J42" s="12" t="n">
        <v>85650.56640000001</v>
      </c>
      <c r="K42" s="12" t="n">
        <v>878631.4944000001</v>
      </c>
      <c r="L42" s="12" t="n">
        <v>45837.8352</v>
      </c>
      <c r="M42" s="9" t="n">
        <v>10</v>
      </c>
      <c r="N42" s="12" t="n">
        <v>1044074.934</v>
      </c>
      <c r="O42" s="12" t="n">
        <v>1119547.3536</v>
      </c>
      <c r="P42" s="12" t="n">
        <v>4600000.000800001</v>
      </c>
      <c r="Q42" s="9" t="inlineStr">
        <is>
          <t>Medium</t>
        </is>
      </c>
      <c r="R42" s="11">
        <f>IFERROR(O42/K42,0)</f>
        <v/>
      </c>
    </row>
    <row r="43">
      <c r="A43" s="9" t="inlineStr">
        <is>
          <t>T0184</t>
        </is>
      </c>
      <c r="B43" s="9" t="inlineStr">
        <is>
          <t>Cobalt Assurance</t>
        </is>
      </c>
      <c r="C43" s="9" t="inlineStr">
        <is>
          <t>Casualty</t>
        </is>
      </c>
      <c r="D43" s="9" t="inlineStr">
        <is>
          <t>Europe</t>
        </is>
      </c>
      <c r="E43" s="9" t="inlineStr">
        <is>
          <t>Aarav Mehta</t>
        </is>
      </c>
      <c r="F43" s="9" t="inlineStr">
        <is>
          <t>Excess of Loss</t>
        </is>
      </c>
      <c r="G43" s="9" t="n">
        <v>2025</v>
      </c>
      <c r="H43" s="12" t="n">
        <v>7600000.0032</v>
      </c>
      <c r="I43" s="12" t="n">
        <v>1073972.7792</v>
      </c>
      <c r="J43" s="12" t="n">
        <v>90749.2896</v>
      </c>
      <c r="K43" s="12" t="n">
        <v>1073972.7792</v>
      </c>
      <c r="L43" s="12" t="n">
        <v>120354.984</v>
      </c>
      <c r="M43" s="9" t="n">
        <v>14</v>
      </c>
      <c r="N43" s="12" t="n">
        <v>370292.2236</v>
      </c>
      <c r="O43" s="12" t="n">
        <v>703195.8516000001</v>
      </c>
      <c r="P43" s="12" t="n">
        <v>7600000.0032</v>
      </c>
      <c r="Q43" s="9" t="inlineStr">
        <is>
          <t>Low</t>
        </is>
      </c>
      <c r="R43" s="11">
        <f>IFERROR(O43/K43,0)</f>
        <v/>
      </c>
    </row>
    <row r="44">
      <c r="A44" s="9" t="inlineStr">
        <is>
          <t>T0185</t>
        </is>
      </c>
      <c r="B44" s="9" t="inlineStr">
        <is>
          <t>Vantage Assurance</t>
        </is>
      </c>
      <c r="C44" s="9" t="inlineStr">
        <is>
          <t>Property</t>
        </is>
      </c>
      <c r="D44" s="9" t="inlineStr">
        <is>
          <t>Europe</t>
        </is>
      </c>
      <c r="E44" s="9" t="inlineStr">
        <is>
          <t>Sophie Laurent</t>
        </is>
      </c>
      <c r="F44" s="9" t="inlineStr">
        <is>
          <t>Excess of Loss</t>
        </is>
      </c>
      <c r="G44" s="9" t="n">
        <v>2024</v>
      </c>
      <c r="H44" s="12" t="n">
        <v>62199999.9972</v>
      </c>
      <c r="I44" s="12" t="n">
        <v>4740902.3952</v>
      </c>
      <c r="J44" s="12" t="n">
        <v>426609.7632</v>
      </c>
      <c r="K44" s="12" t="n">
        <v>4740902.3952</v>
      </c>
      <c r="L44" s="12" t="n">
        <v>312821.4816</v>
      </c>
      <c r="M44" s="9" t="n">
        <v>6</v>
      </c>
      <c r="N44" s="12" t="n">
        <v>2867392.4292</v>
      </c>
      <c r="O44" s="12" t="n">
        <v>3220746.2892</v>
      </c>
      <c r="P44" s="12" t="n">
        <v>62199999.9972</v>
      </c>
      <c r="Q44" s="9" t="inlineStr">
        <is>
          <t>Low</t>
        </is>
      </c>
      <c r="R44" s="11">
        <f>IFERROR(O44/K44,0)</f>
        <v/>
      </c>
    </row>
    <row r="45">
      <c r="A45" s="9" t="inlineStr">
        <is>
          <t>T0186</t>
        </is>
      </c>
      <c r="B45" s="9" t="inlineStr">
        <is>
          <t>Pioneer Insurance</t>
        </is>
      </c>
      <c r="C45" s="9" t="inlineStr">
        <is>
          <t>Specialty</t>
        </is>
      </c>
      <c r="D45" s="9" t="inlineStr">
        <is>
          <t>Europe</t>
        </is>
      </c>
      <c r="E45" s="9" t="inlineStr">
        <is>
          <t>Sophie Laurent</t>
        </is>
      </c>
      <c r="F45" s="9" t="inlineStr">
        <is>
          <t>Proportional</t>
        </is>
      </c>
      <c r="G45" s="9" t="n">
        <v>2023</v>
      </c>
      <c r="H45" s="12" t="n">
        <v>91499999.9976</v>
      </c>
      <c r="I45" s="12" t="n">
        <v>9665040.398400001</v>
      </c>
      <c r="J45" s="12" t="n">
        <v>624839.1840000001</v>
      </c>
      <c r="K45" s="12" t="n">
        <v>9665040.398400001</v>
      </c>
      <c r="L45" s="12" t="n">
        <v>2984334.192</v>
      </c>
      <c r="M45" s="9" t="n">
        <v>12</v>
      </c>
      <c r="N45" s="12" t="n">
        <v>2926081.3788</v>
      </c>
      <c r="O45" s="12" t="n">
        <v>3365065.7928</v>
      </c>
      <c r="P45" s="12" t="n">
        <v>18299999.9952</v>
      </c>
      <c r="Q45" s="9" t="inlineStr">
        <is>
          <t>Low</t>
        </is>
      </c>
      <c r="R45" s="11">
        <f>IFERROR(O45/K45,0)</f>
        <v/>
      </c>
    </row>
    <row r="46">
      <c r="A46" s="9" t="inlineStr">
        <is>
          <t>T0194</t>
        </is>
      </c>
      <c r="B46" s="9" t="inlineStr">
        <is>
          <t>Pioneer Insurance</t>
        </is>
      </c>
      <c r="C46" s="9" t="inlineStr">
        <is>
          <t>Property</t>
        </is>
      </c>
      <c r="D46" s="9" t="inlineStr">
        <is>
          <t>Europe</t>
        </is>
      </c>
      <c r="E46" s="9" t="inlineStr">
        <is>
          <t>Priya Nair</t>
        </is>
      </c>
      <c r="F46" s="9" t="inlineStr">
        <is>
          <t>Proportional</t>
        </is>
      </c>
      <c r="G46" s="9" t="n">
        <v>2025</v>
      </c>
      <c r="H46" s="12" t="n">
        <v>12700000.0008</v>
      </c>
      <c r="I46" s="12" t="n">
        <v>977551.1568000001</v>
      </c>
      <c r="J46" s="12" t="n">
        <v>67493.2176</v>
      </c>
      <c r="K46" s="12" t="n">
        <v>920527.3404000001</v>
      </c>
      <c r="L46" s="12" t="n">
        <v>202765.1888378924</v>
      </c>
      <c r="M46" s="9" t="n">
        <v>5</v>
      </c>
      <c r="N46" s="12" t="n">
        <v>303081.2424</v>
      </c>
      <c r="O46" s="12" t="n">
        <v>725261.2128</v>
      </c>
      <c r="P46" s="12" t="n">
        <v>1905000.0012</v>
      </c>
      <c r="Q46" s="9" t="inlineStr">
        <is>
          <t>Low</t>
        </is>
      </c>
      <c r="R46" s="11">
        <f>IFERROR(O46/K46,0)</f>
        <v/>
      </c>
    </row>
    <row r="47">
      <c r="A47" s="9" t="inlineStr">
        <is>
          <t>T0196</t>
        </is>
      </c>
      <c r="B47" s="9" t="inlineStr">
        <is>
          <t>Sterling Indemnity</t>
        </is>
      </c>
      <c r="C47" s="9" t="inlineStr">
        <is>
          <t>Property</t>
        </is>
      </c>
      <c r="D47" s="9" t="inlineStr">
        <is>
          <t>Europe</t>
        </is>
      </c>
      <c r="E47" s="9" t="inlineStr">
        <is>
          <t>Carlos Ibarra</t>
        </is>
      </c>
      <c r="F47" s="9" t="inlineStr">
        <is>
          <t>Excess of Loss</t>
        </is>
      </c>
      <c r="G47" s="9" t="n">
        <v>2022</v>
      </c>
      <c r="H47" s="12" t="n">
        <v>1599999.9984</v>
      </c>
      <c r="I47" s="12" t="n">
        <v>276145.848</v>
      </c>
      <c r="J47" s="12" t="n">
        <v>23957.4672</v>
      </c>
      <c r="K47" s="12" t="n">
        <v>276145.848</v>
      </c>
      <c r="L47" s="12" t="n">
        <v>30618.5184</v>
      </c>
      <c r="M47" s="9" t="n">
        <v>14</v>
      </c>
      <c r="N47" s="12" t="n">
        <v>90510.16680000001</v>
      </c>
      <c r="O47" s="12" t="n">
        <v>102483.3492</v>
      </c>
      <c r="P47" s="12" t="n">
        <v>1599999.9984</v>
      </c>
      <c r="Q47" s="9" t="inlineStr">
        <is>
          <t>Low</t>
        </is>
      </c>
      <c r="R47" s="11">
        <f>IFERROR(O47/K47,0)</f>
        <v/>
      </c>
    </row>
    <row r="48">
      <c r="A48" s="9" t="inlineStr">
        <is>
          <t>T0207</t>
        </is>
      </c>
      <c r="B48" s="9" t="inlineStr">
        <is>
          <t>Granite Indemnity</t>
        </is>
      </c>
      <c r="C48" s="9" t="inlineStr">
        <is>
          <t>Specialty</t>
        </is>
      </c>
      <c r="D48" s="9" t="inlineStr">
        <is>
          <t>Europe</t>
        </is>
      </c>
      <c r="E48" s="9" t="inlineStr">
        <is>
          <t>Carlos Ibarra</t>
        </is>
      </c>
      <c r="F48" s="9" t="inlineStr">
        <is>
          <t>Proportional</t>
        </is>
      </c>
      <c r="G48" s="9" t="n">
        <v>2022</v>
      </c>
      <c r="H48" s="12" t="n">
        <v>15300000.0036</v>
      </c>
      <c r="I48" s="12" t="n">
        <v>2735637.3648</v>
      </c>
      <c r="J48" s="12" t="n">
        <v>153717.5232</v>
      </c>
      <c r="K48" s="12" t="n">
        <v>2735637.3648</v>
      </c>
      <c r="L48" s="12" t="n">
        <v>641930.1840000001</v>
      </c>
      <c r="M48" s="9" t="n">
        <v>5</v>
      </c>
      <c r="N48" s="12" t="n">
        <v>778239.6084</v>
      </c>
      <c r="O48" s="12" t="n">
        <v>1461392.9388</v>
      </c>
      <c r="P48" s="12" t="n">
        <v>1530000.0036</v>
      </c>
      <c r="Q48" s="9" t="inlineStr">
        <is>
          <t>Low</t>
        </is>
      </c>
      <c r="R48" s="11">
        <f>IFERROR(O48/K48,0)</f>
        <v/>
      </c>
    </row>
    <row r="49">
      <c r="A49" s="9" t="inlineStr">
        <is>
          <t>T0212</t>
        </is>
      </c>
      <c r="B49" s="9" t="inlineStr">
        <is>
          <t>Pioneer Insurance</t>
        </is>
      </c>
      <c r="C49" s="9" t="inlineStr">
        <is>
          <t>Casualty</t>
        </is>
      </c>
      <c r="D49" s="9" t="inlineStr">
        <is>
          <t>Europe</t>
        </is>
      </c>
      <c r="E49" s="9" t="inlineStr">
        <is>
          <t>Sophie Laurent</t>
        </is>
      </c>
      <c r="F49" s="9" t="inlineStr">
        <is>
          <t>Excess of Loss</t>
        </is>
      </c>
      <c r="G49" s="9" t="n">
        <v>2025</v>
      </c>
      <c r="H49" s="12" t="n">
        <v>23599999.998</v>
      </c>
      <c r="I49" s="12" t="n">
        <v>3691980.7776</v>
      </c>
      <c r="J49" s="12" t="n">
        <v>225180.5184000001</v>
      </c>
      <c r="K49" s="12" t="n">
        <v>3691980.7776</v>
      </c>
      <c r="L49" s="12" t="n">
        <v>420652.0512</v>
      </c>
      <c r="M49" s="9" t="n">
        <v>10</v>
      </c>
      <c r="N49" s="12" t="n">
        <v>3781792.702800001</v>
      </c>
      <c r="O49" s="12" t="n">
        <v>3992470.3764</v>
      </c>
      <c r="P49" s="12" t="n">
        <v>23599999.998</v>
      </c>
      <c r="Q49" s="9" t="inlineStr">
        <is>
          <t>Low</t>
        </is>
      </c>
      <c r="R49" s="11">
        <f>IFERROR(O49/K49,0)</f>
        <v/>
      </c>
    </row>
    <row r="50">
      <c r="A50" s="9" t="inlineStr">
        <is>
          <t>T0217</t>
        </is>
      </c>
      <c r="B50" s="9" t="inlineStr">
        <is>
          <t>Vantage Assurance</t>
        </is>
      </c>
      <c r="C50" s="9" t="inlineStr">
        <is>
          <t>Specialty</t>
        </is>
      </c>
      <c r="D50" s="9" t="inlineStr">
        <is>
          <t>Europe</t>
        </is>
      </c>
      <c r="E50" s="9" t="inlineStr">
        <is>
          <t>Kenji Sato</t>
        </is>
      </c>
      <c r="F50" s="9" t="inlineStr">
        <is>
          <t>Proportional</t>
        </is>
      </c>
      <c r="G50" s="9" t="n">
        <v>2021</v>
      </c>
      <c r="H50" s="12" t="n">
        <v>18599999.9976</v>
      </c>
      <c r="I50" s="12" t="n">
        <v>1429398.4464</v>
      </c>
      <c r="J50" s="12" t="n">
        <v>80631.1584</v>
      </c>
      <c r="K50" s="12" t="n">
        <v>1429398.4464</v>
      </c>
      <c r="L50" s="12" t="n">
        <v>423398.2752</v>
      </c>
      <c r="M50" s="9" t="n">
        <v>9</v>
      </c>
      <c r="N50" s="12" t="n">
        <v>847405.2492000001</v>
      </c>
      <c r="O50" s="12" t="n">
        <v>877431.5388000001</v>
      </c>
      <c r="P50" s="12" t="n">
        <v>1859999.9976</v>
      </c>
      <c r="Q50" s="9" t="inlineStr">
        <is>
          <t>Low</t>
        </is>
      </c>
      <c r="R50" s="11">
        <f>IFERROR(O50/K50,0)</f>
        <v/>
      </c>
    </row>
    <row r="51">
      <c r="A51" s="9" t="inlineStr">
        <is>
          <t>T0218</t>
        </is>
      </c>
      <c r="B51" s="9" t="inlineStr">
        <is>
          <t>Granite Indemnity</t>
        </is>
      </c>
      <c r="C51" s="9" t="inlineStr">
        <is>
          <t>Property</t>
        </is>
      </c>
      <c r="D51" s="9" t="inlineStr">
        <is>
          <t>Europe</t>
        </is>
      </c>
      <c r="E51" s="9" t="inlineStr">
        <is>
          <t>Aarav Mehta</t>
        </is>
      </c>
      <c r="F51" s="9" t="inlineStr">
        <is>
          <t>Excess of Loss</t>
        </is>
      </c>
      <c r="G51" s="9" t="n">
        <v>2023</v>
      </c>
      <c r="H51" s="12" t="n">
        <v>1999999.998</v>
      </c>
      <c r="I51" s="12" t="n">
        <v>200000.016</v>
      </c>
      <c r="J51" s="12" t="n">
        <v>15291.8928</v>
      </c>
      <c r="K51" s="12" t="n">
        <v>200000.016</v>
      </c>
      <c r="L51" s="12" t="n">
        <v>13737.0816</v>
      </c>
      <c r="M51" s="9" t="n">
        <v>12</v>
      </c>
      <c r="N51" s="12" t="n">
        <v>114579.7812</v>
      </c>
      <c r="O51" s="12" t="n">
        <v>114579.7812</v>
      </c>
      <c r="P51" s="12" t="n">
        <v>1999999.998</v>
      </c>
      <c r="Q51" s="9" t="inlineStr">
        <is>
          <t>Low</t>
        </is>
      </c>
      <c r="R51" s="11">
        <f>IFERROR(O51/K51,0)</f>
        <v/>
      </c>
    </row>
    <row r="52">
      <c r="A52" s="9" t="inlineStr">
        <is>
          <t>T0220</t>
        </is>
      </c>
      <c r="B52" s="9" t="inlineStr">
        <is>
          <t>Vantage Assurance</t>
        </is>
      </c>
      <c r="C52" s="9" t="inlineStr">
        <is>
          <t>Casualty</t>
        </is>
      </c>
      <c r="D52" s="9" t="inlineStr">
        <is>
          <t>Europe</t>
        </is>
      </c>
      <c r="E52" s="9" t="inlineStr">
        <is>
          <t>Kenji Sato</t>
        </is>
      </c>
      <c r="F52" s="9" t="inlineStr">
        <is>
          <t>Excess of Loss</t>
        </is>
      </c>
      <c r="G52" s="9" t="n">
        <v>2025</v>
      </c>
      <c r="H52" s="12" t="n">
        <v>4799999.995200001</v>
      </c>
      <c r="I52" s="12" t="n">
        <v>446457.2256000001</v>
      </c>
      <c r="J52" s="12" t="n">
        <v>46788.06240000001</v>
      </c>
      <c r="K52" s="12" t="n">
        <v>446457.2256000001</v>
      </c>
      <c r="L52" s="12" t="n">
        <v>50029.6176</v>
      </c>
      <c r="M52" s="9" t="n">
        <v>12</v>
      </c>
      <c r="N52" s="12" t="n">
        <v>123747.4368</v>
      </c>
      <c r="O52" s="12" t="n">
        <v>207793.728</v>
      </c>
      <c r="P52" s="12" t="n">
        <v>4799999.995200001</v>
      </c>
      <c r="Q52" s="9" t="inlineStr">
        <is>
          <t>Low</t>
        </is>
      </c>
      <c r="R52" s="11">
        <f>IFERROR(O52/K52,0)</f>
        <v/>
      </c>
    </row>
    <row r="53">
      <c r="A53" s="9" t="inlineStr">
        <is>
          <t>T0222</t>
        </is>
      </c>
      <c r="B53" s="9" t="inlineStr">
        <is>
          <t>Pioneer Insurance</t>
        </is>
      </c>
      <c r="C53" s="9" t="inlineStr">
        <is>
          <t>Property</t>
        </is>
      </c>
      <c r="D53" s="9" t="inlineStr">
        <is>
          <t>Europe</t>
        </is>
      </c>
      <c r="E53" s="9" t="inlineStr">
        <is>
          <t>Priya Nair</t>
        </is>
      </c>
      <c r="F53" s="9" t="inlineStr">
        <is>
          <t>Facultative</t>
        </is>
      </c>
      <c r="G53" s="9" t="n">
        <v>2025</v>
      </c>
      <c r="H53" s="12" t="n">
        <v>13000000.0032</v>
      </c>
      <c r="I53" s="12" t="n">
        <v>1053870.5232</v>
      </c>
      <c r="J53" s="12" t="n">
        <v>97764.53760000001</v>
      </c>
      <c r="K53" s="12" t="n">
        <v>1053870.5232</v>
      </c>
      <c r="L53" s="12" t="n">
        <v>203876.0928</v>
      </c>
      <c r="M53" s="9" t="n">
        <v>9</v>
      </c>
      <c r="N53" s="12" t="n">
        <v>563830.5780000001</v>
      </c>
      <c r="O53" s="12" t="n">
        <v>702610.4052</v>
      </c>
      <c r="P53" s="12" t="n">
        <v>13000000.0032</v>
      </c>
      <c r="Q53" s="9" t="inlineStr">
        <is>
          <t>Low</t>
        </is>
      </c>
      <c r="R53" s="11">
        <f>IFERROR(O53/K53,0)</f>
        <v/>
      </c>
    </row>
    <row r="54">
      <c r="A54" s="9" t="inlineStr">
        <is>
          <t>T0225</t>
        </is>
      </c>
      <c r="B54" s="9" t="inlineStr">
        <is>
          <t>Vantage Assurance</t>
        </is>
      </c>
      <c r="C54" s="9" t="inlineStr">
        <is>
          <t>Specialty</t>
        </is>
      </c>
      <c r="D54" s="9" t="inlineStr">
        <is>
          <t>Europe</t>
        </is>
      </c>
      <c r="E54" s="9" t="inlineStr">
        <is>
          <t>Carlos Ibarra</t>
        </is>
      </c>
      <c r="F54" s="9" t="inlineStr">
        <is>
          <t>Excess of Loss</t>
        </is>
      </c>
      <c r="G54" s="9" t="n">
        <v>2024</v>
      </c>
      <c r="H54" s="12" t="n">
        <v>3300000.0048</v>
      </c>
      <c r="I54" s="12" t="n">
        <v>492328.4976</v>
      </c>
      <c r="J54" s="12" t="n">
        <v>40169.52</v>
      </c>
      <c r="K54" s="12" t="n">
        <v>492328.4976</v>
      </c>
      <c r="L54" s="12" t="n">
        <v>33410.88</v>
      </c>
      <c r="M54" s="9" t="n">
        <v>6</v>
      </c>
      <c r="N54" s="12" t="n">
        <v>115702.9596</v>
      </c>
      <c r="O54" s="12" t="n">
        <v>147331.6236</v>
      </c>
      <c r="P54" s="12" t="n">
        <v>3300000.0048</v>
      </c>
      <c r="Q54" s="9" t="inlineStr">
        <is>
          <t>Low</t>
        </is>
      </c>
      <c r="R54" s="11">
        <f>IFERROR(O54/K54,0)</f>
        <v/>
      </c>
    </row>
    <row r="55">
      <c r="A55" s="9" t="inlineStr">
        <is>
          <t>T0240</t>
        </is>
      </c>
      <c r="B55" s="9" t="inlineStr">
        <is>
          <t>Pioneer Insurance</t>
        </is>
      </c>
      <c r="C55" s="9" t="inlineStr">
        <is>
          <t>Property</t>
        </is>
      </c>
      <c r="D55" s="9" t="inlineStr">
        <is>
          <t>Europe</t>
        </is>
      </c>
      <c r="E55" s="9" t="inlineStr">
        <is>
          <t>Omar Haddad</t>
        </is>
      </c>
      <c r="F55" s="9" t="inlineStr">
        <is>
          <t>Excess of Loss</t>
        </is>
      </c>
      <c r="G55" s="9" t="n">
        <v>2023</v>
      </c>
      <c r="H55" s="12" t="n">
        <v>21200000.0004</v>
      </c>
      <c r="I55" s="12" t="n">
        <v>2081006.5104</v>
      </c>
      <c r="J55" s="12" t="n">
        <v>173858.9184</v>
      </c>
      <c r="K55" s="12" t="n">
        <v>2081006.5104</v>
      </c>
      <c r="L55" s="12" t="n">
        <v>244811.2896</v>
      </c>
      <c r="M55" s="9" t="n">
        <v>6</v>
      </c>
      <c r="N55" s="12" t="n">
        <v>596302.8516000001</v>
      </c>
      <c r="O55" s="12" t="n">
        <v>1120724.6508</v>
      </c>
      <c r="P55" s="12" t="n">
        <v>21200000.0004</v>
      </c>
      <c r="Q55" s="9" t="inlineStr">
        <is>
          <t>Low</t>
        </is>
      </c>
      <c r="R55" s="11">
        <f>IFERROR(O55/K55,0)</f>
        <v/>
      </c>
    </row>
    <row r="56">
      <c r="A56" s="9" t="inlineStr">
        <is>
          <t>T0245</t>
        </is>
      </c>
      <c r="B56" s="9" t="inlineStr">
        <is>
          <t>Vantage Assurance</t>
        </is>
      </c>
      <c r="C56" s="9" t="inlineStr">
        <is>
          <t>Casualty</t>
        </is>
      </c>
      <c r="D56" s="9" t="inlineStr">
        <is>
          <t>Europe</t>
        </is>
      </c>
      <c r="E56" s="9" t="inlineStr">
        <is>
          <t>James Whitfield</t>
        </is>
      </c>
      <c r="F56" s="9" t="inlineStr">
        <is>
          <t>Proportional</t>
        </is>
      </c>
      <c r="G56" s="9" t="n">
        <v>2021</v>
      </c>
      <c r="H56" s="12" t="n">
        <v>2600000.0028</v>
      </c>
      <c r="I56" s="12" t="n">
        <v>274495.2624</v>
      </c>
      <c r="J56" s="12" t="n">
        <v>26540.2656</v>
      </c>
      <c r="K56" s="12" t="n">
        <v>274495.2624</v>
      </c>
      <c r="L56" s="12" t="n">
        <v>70169.71680000001</v>
      </c>
      <c r="M56" s="9" t="n">
        <v>6</v>
      </c>
      <c r="N56" s="12" t="n">
        <v>254769.4512</v>
      </c>
      <c r="O56" s="12" t="n">
        <v>254769.4512</v>
      </c>
      <c r="P56" s="12" t="n">
        <v>259999.9992</v>
      </c>
      <c r="Q56" s="9" t="inlineStr">
        <is>
          <t>Low</t>
        </is>
      </c>
      <c r="R56" s="11">
        <f>IFERROR(O56/K56,0)</f>
        <v/>
      </c>
    </row>
    <row r="57">
      <c r="A57" s="9" t="inlineStr">
        <is>
          <t>T0246</t>
        </is>
      </c>
      <c r="B57" s="9" t="inlineStr">
        <is>
          <t>Granite Indemnity</t>
        </is>
      </c>
      <c r="C57" s="9" t="inlineStr">
        <is>
          <t>Casualty</t>
        </is>
      </c>
      <c r="D57" s="9" t="inlineStr">
        <is>
          <t>Europe</t>
        </is>
      </c>
      <c r="E57" s="9" t="inlineStr">
        <is>
          <t>Carlos Ibarra</t>
        </is>
      </c>
      <c r="F57" s="9" t="inlineStr">
        <is>
          <t>Proportional</t>
        </is>
      </c>
      <c r="G57" s="9" t="n">
        <v>2024</v>
      </c>
      <c r="H57" s="12" t="n">
        <v>39200000.004</v>
      </c>
      <c r="I57" s="12" t="n">
        <v>3485952.806400001</v>
      </c>
      <c r="J57" s="12" t="n">
        <v>382971.888</v>
      </c>
      <c r="K57" s="12" t="n">
        <v>3485952.806400001</v>
      </c>
      <c r="L57" s="12" t="n">
        <v>992593.9583999999</v>
      </c>
      <c r="M57" s="9" t="n">
        <v>5</v>
      </c>
      <c r="N57" s="12" t="n">
        <v>1911034.0476</v>
      </c>
      <c r="O57" s="12" t="n">
        <v>2301403.3524</v>
      </c>
      <c r="P57" s="12" t="n">
        <v>11760000.0012</v>
      </c>
      <c r="Q57" s="9" t="inlineStr">
        <is>
          <t>Low</t>
        </is>
      </c>
      <c r="R57" s="11">
        <f>IFERROR(O57/K57,0)</f>
        <v/>
      </c>
    </row>
    <row r="58">
      <c r="A58" s="9" t="inlineStr">
        <is>
          <t>T0247</t>
        </is>
      </c>
      <c r="B58" s="9" t="inlineStr">
        <is>
          <t>Sterling Mutual</t>
        </is>
      </c>
      <c r="C58" s="9" t="inlineStr">
        <is>
          <t>Unmapped</t>
        </is>
      </c>
      <c r="D58" s="9" t="inlineStr">
        <is>
          <t>Europe</t>
        </is>
      </c>
      <c r="E58" s="9" t="inlineStr">
        <is>
          <t>Hannah Weber</t>
        </is>
      </c>
      <c r="F58" s="9" t="inlineStr">
        <is>
          <t>Facultative</t>
        </is>
      </c>
      <c r="G58" s="9" t="n">
        <v>2023</v>
      </c>
      <c r="H58" s="12" t="n">
        <v>14499999.9941</v>
      </c>
      <c r="I58" s="12" t="n">
        <v>1592463.1092</v>
      </c>
      <c r="J58" s="12" t="n">
        <v>102216.204</v>
      </c>
      <c r="K58" s="12" t="n">
        <v>1592463.1092</v>
      </c>
      <c r="L58" s="12" t="n">
        <v>261700.9752</v>
      </c>
      <c r="M58" s="9" t="n">
        <v>10</v>
      </c>
      <c r="N58" s="12" t="n">
        <v>1179582.4135</v>
      </c>
      <c r="O58" s="12" t="n">
        <v>1288611.6976</v>
      </c>
      <c r="P58" s="12" t="n">
        <v>14499999.9941</v>
      </c>
      <c r="Q58" s="9" t="inlineStr">
        <is>
          <t>Low</t>
        </is>
      </c>
      <c r="R58" s="11">
        <f>IFERROR(O58/K58,0)</f>
        <v/>
      </c>
    </row>
    <row r="59">
      <c r="A59" s="9" t="inlineStr">
        <is>
          <t>T0250</t>
        </is>
      </c>
      <c r="B59" s="9" t="inlineStr">
        <is>
          <t>Pioneer Assurance</t>
        </is>
      </c>
      <c r="C59" s="9" t="inlineStr">
        <is>
          <t>Specialty</t>
        </is>
      </c>
      <c r="D59" s="9" t="inlineStr">
        <is>
          <t>Europe</t>
        </is>
      </c>
      <c r="E59" s="9" t="inlineStr">
        <is>
          <t>James Whitfield</t>
        </is>
      </c>
      <c r="F59" s="9" t="inlineStr">
        <is>
          <t>Proportional</t>
        </is>
      </c>
      <c r="G59" s="9" t="n">
        <v>2022</v>
      </c>
      <c r="H59" s="12" t="n">
        <v>8000000.002800001</v>
      </c>
      <c r="I59" s="12" t="n">
        <v>1135044.7056</v>
      </c>
      <c r="J59" s="12" t="n">
        <v>83946.58560000001</v>
      </c>
      <c r="K59" s="12" t="n">
        <v>1135044.7056</v>
      </c>
      <c r="L59" s="12" t="n">
        <v>320086.2096000001</v>
      </c>
      <c r="M59" s="9" t="n">
        <v>9</v>
      </c>
      <c r="N59" s="12" t="n">
        <v>299593.1772</v>
      </c>
      <c r="O59" s="12" t="n">
        <v>299593.1772</v>
      </c>
      <c r="P59" s="12" t="n">
        <v>1999999.998</v>
      </c>
      <c r="Q59" s="9" t="inlineStr">
        <is>
          <t>Low</t>
        </is>
      </c>
      <c r="R59" s="11">
        <f>IFERROR(O59/K59,0)</f>
        <v/>
      </c>
    </row>
    <row r="60">
      <c r="A60" s="9" t="inlineStr">
        <is>
          <t>T0251</t>
        </is>
      </c>
      <c r="B60" s="9" t="inlineStr">
        <is>
          <t>Cobalt Assurance</t>
        </is>
      </c>
      <c r="C60" s="9" t="inlineStr">
        <is>
          <t>Casualty</t>
        </is>
      </c>
      <c r="D60" s="9" t="inlineStr">
        <is>
          <t>Europe</t>
        </is>
      </c>
      <c r="E60" s="9" t="inlineStr">
        <is>
          <t>Omar Haddad</t>
        </is>
      </c>
      <c r="F60" s="9" t="inlineStr">
        <is>
          <t>Proportional</t>
        </is>
      </c>
      <c r="G60" s="9" t="n">
        <v>2022</v>
      </c>
      <c r="H60" s="12" t="n">
        <v>29499999.9948</v>
      </c>
      <c r="I60" s="12" t="n">
        <v>2214177.768</v>
      </c>
      <c r="J60" s="12" t="n">
        <v>149131.7568</v>
      </c>
      <c r="K60" s="12" t="n">
        <v>2214177.768</v>
      </c>
      <c r="L60" s="12" t="n">
        <v>669038.8752000001</v>
      </c>
      <c r="M60" s="9" t="n">
        <v>7</v>
      </c>
      <c r="N60" s="12" t="n">
        <v>721522.782</v>
      </c>
      <c r="O60" s="12" t="n">
        <v>780414.2208</v>
      </c>
      <c r="P60" s="12" t="n">
        <v>14750000.0028</v>
      </c>
      <c r="Q60" s="9" t="inlineStr">
        <is>
          <t>Low</t>
        </is>
      </c>
      <c r="R60" s="11">
        <f>IFERROR(O60/K60,0)</f>
        <v/>
      </c>
    </row>
    <row r="61">
      <c r="A61" s="9" t="inlineStr">
        <is>
          <t>T0259</t>
        </is>
      </c>
      <c r="B61" s="9" t="inlineStr">
        <is>
          <t>Vantage Assurance</t>
        </is>
      </c>
      <c r="C61" s="9" t="inlineStr">
        <is>
          <t>Casualty</t>
        </is>
      </c>
      <c r="D61" s="9" t="inlineStr">
        <is>
          <t>Europe</t>
        </is>
      </c>
      <c r="E61" s="9" t="inlineStr">
        <is>
          <t>Carlos Ibarra</t>
        </is>
      </c>
      <c r="F61" s="9" t="inlineStr">
        <is>
          <t>Proportional</t>
        </is>
      </c>
      <c r="G61" s="9" t="n">
        <v>2025</v>
      </c>
      <c r="H61" s="12" t="n">
        <v>67100000.00040001</v>
      </c>
      <c r="I61" s="12" t="n">
        <v>7548836.8608</v>
      </c>
      <c r="J61" s="12" t="n">
        <v>403187.6736</v>
      </c>
      <c r="K61" s="12" t="n">
        <v>7548836.8608</v>
      </c>
      <c r="L61" s="12" t="n">
        <v>1742714.352</v>
      </c>
      <c r="M61" s="9" t="n">
        <v>4</v>
      </c>
      <c r="N61" s="12" t="n">
        <v>8044884.554400001</v>
      </c>
      <c r="O61" s="12" t="n">
        <v>9837697.633200001</v>
      </c>
      <c r="P61" s="12" t="n">
        <v>26839999.998</v>
      </c>
      <c r="Q61" s="9" t="inlineStr">
        <is>
          <t>Low</t>
        </is>
      </c>
      <c r="R61" s="11">
        <f>IFERROR(O61/K61,0)</f>
        <v/>
      </c>
    </row>
    <row r="62">
      <c r="A62" s="9" t="inlineStr">
        <is>
          <t>T0261</t>
        </is>
      </c>
      <c r="B62" s="9" t="inlineStr">
        <is>
          <t>Summit Insurance</t>
        </is>
      </c>
      <c r="C62" s="9" t="inlineStr">
        <is>
          <t>Casualty</t>
        </is>
      </c>
      <c r="D62" s="9" t="inlineStr">
        <is>
          <t>Europe</t>
        </is>
      </c>
      <c r="E62" s="9" t="inlineStr">
        <is>
          <t>Kenji Sato</t>
        </is>
      </c>
      <c r="F62" s="9" t="inlineStr">
        <is>
          <t>Proportional</t>
        </is>
      </c>
      <c r="G62" s="9" t="n">
        <v>2024</v>
      </c>
      <c r="H62" s="12" t="n">
        <v>103399999.9992</v>
      </c>
      <c r="I62" s="12" t="n">
        <v>8091244.872</v>
      </c>
      <c r="J62" s="12" t="n">
        <v>857166.3648000001</v>
      </c>
      <c r="K62" s="12" t="n">
        <v>8091244.872</v>
      </c>
      <c r="L62" s="12" t="n">
        <v>2227680.403200001</v>
      </c>
      <c r="M62" s="9" t="n">
        <v>13</v>
      </c>
      <c r="N62" s="12" t="n">
        <v>3517806.9744</v>
      </c>
      <c r="O62" s="12" t="n">
        <v>4199200.542</v>
      </c>
      <c r="P62" s="12" t="n">
        <v>15509999.9988</v>
      </c>
      <c r="Q62" s="9" t="inlineStr">
        <is>
          <t>Low</t>
        </is>
      </c>
      <c r="R62" s="11">
        <f>IFERROR(O62/K62,0)</f>
        <v/>
      </c>
    </row>
    <row r="63">
      <c r="A63" s="9" t="inlineStr">
        <is>
          <t>T0262</t>
        </is>
      </c>
      <c r="B63" s="9" t="inlineStr">
        <is>
          <t>Sterling Indemnity</t>
        </is>
      </c>
      <c r="C63" s="9" t="inlineStr">
        <is>
          <t>Financial Lines</t>
        </is>
      </c>
      <c r="D63" s="9" t="inlineStr">
        <is>
          <t>Europe</t>
        </is>
      </c>
      <c r="E63" s="9" t="inlineStr">
        <is>
          <t>Carlos Ibarra</t>
        </is>
      </c>
      <c r="F63" s="9" t="inlineStr">
        <is>
          <t>Excess of Loss</t>
        </is>
      </c>
      <c r="G63" s="9" t="n">
        <v>2024</v>
      </c>
      <c r="H63" s="12" t="n">
        <v>48399999.99480001</v>
      </c>
      <c r="I63" s="12" t="n">
        <v>3683028.9168</v>
      </c>
      <c r="J63" s="12" t="n">
        <v>308650.9536</v>
      </c>
      <c r="K63" s="12" t="n">
        <v>3683028.9168</v>
      </c>
      <c r="L63" s="12" t="n">
        <v>393543.8784</v>
      </c>
      <c r="M63" s="9" t="n">
        <v>12</v>
      </c>
      <c r="N63" s="12" t="n">
        <v>1559546.6976</v>
      </c>
      <c r="O63" s="12" t="n">
        <v>1727261.2584</v>
      </c>
      <c r="P63" s="12" t="n">
        <v>48399999.99480001</v>
      </c>
      <c r="Q63" s="9" t="inlineStr">
        <is>
          <t>Low</t>
        </is>
      </c>
      <c r="R63" s="11">
        <f>IFERROR(O63/K63,0)</f>
        <v/>
      </c>
    </row>
    <row r="64">
      <c r="A64" s="9" t="inlineStr">
        <is>
          <t>T0263</t>
        </is>
      </c>
      <c r="B64" s="9" t="inlineStr">
        <is>
          <t>Orion Mutual</t>
        </is>
      </c>
      <c r="C64" s="9" t="inlineStr">
        <is>
          <t>Property</t>
        </is>
      </c>
      <c r="D64" s="9" t="inlineStr">
        <is>
          <t>Europe</t>
        </is>
      </c>
      <c r="E64" s="9" t="inlineStr">
        <is>
          <t>Sophie Laurent</t>
        </is>
      </c>
      <c r="F64" s="9" t="inlineStr">
        <is>
          <t>Excess of Loss</t>
        </is>
      </c>
      <c r="G64" s="9" t="n">
        <v>2025</v>
      </c>
      <c r="H64" s="12" t="n">
        <v>3899999.9988</v>
      </c>
      <c r="I64" s="12" t="n">
        <v>416294.532</v>
      </c>
      <c r="J64" s="12" t="n">
        <v>22962.744</v>
      </c>
      <c r="K64" s="12" t="n">
        <v>374665.0788</v>
      </c>
      <c r="L64" s="12" t="n">
        <v>25464.942</v>
      </c>
      <c r="M64" s="9" t="n">
        <v>4</v>
      </c>
      <c r="N64" s="12" t="n">
        <v>23637.8952</v>
      </c>
      <c r="O64" s="12" t="n">
        <v>181053.5976</v>
      </c>
      <c r="P64" s="12" t="n">
        <v>3899999.9988</v>
      </c>
      <c r="Q64" s="9" t="inlineStr">
        <is>
          <t>Low</t>
        </is>
      </c>
      <c r="R64" s="11">
        <f>IFERROR(O64/K64,0)</f>
        <v/>
      </c>
    </row>
    <row r="65">
      <c r="A65" s="9" t="inlineStr">
        <is>
          <t>T0264</t>
        </is>
      </c>
      <c r="B65" s="9" t="inlineStr">
        <is>
          <t>Vantage Assurance</t>
        </is>
      </c>
      <c r="C65" s="9" t="inlineStr">
        <is>
          <t>Professional</t>
        </is>
      </c>
      <c r="D65" s="9" t="inlineStr">
        <is>
          <t>Europe</t>
        </is>
      </c>
      <c r="E65" s="9" t="inlineStr">
        <is>
          <t>Hannah Weber</t>
        </is>
      </c>
      <c r="F65" s="9" t="inlineStr">
        <is>
          <t>Excess of Loss</t>
        </is>
      </c>
      <c r="G65" s="9" t="n">
        <v>2023</v>
      </c>
      <c r="H65" s="12" t="n">
        <v>20499999.9984</v>
      </c>
      <c r="I65" s="12" t="n">
        <v>2403531.403200001</v>
      </c>
      <c r="J65" s="12" t="n">
        <v>175373.6832</v>
      </c>
      <c r="K65" s="12" t="n">
        <v>2403531.403200001</v>
      </c>
      <c r="L65" s="12" t="n">
        <v>169404.8256</v>
      </c>
      <c r="M65" s="9" t="n">
        <v>10</v>
      </c>
      <c r="N65" s="12" t="n">
        <v>2259087.0732</v>
      </c>
      <c r="O65" s="12" t="n">
        <v>2483888.8032</v>
      </c>
      <c r="P65" s="12" t="n">
        <v>20499999.9984</v>
      </c>
      <c r="Q65" s="9" t="inlineStr">
        <is>
          <t>Low</t>
        </is>
      </c>
      <c r="R65" s="11">
        <f>IFERROR(O65/K65,0)</f>
        <v/>
      </c>
    </row>
    <row r="66">
      <c r="A66" s="9" t="inlineStr">
        <is>
          <t>T0270</t>
        </is>
      </c>
      <c r="B66" s="9" t="inlineStr">
        <is>
          <t>Sterling Mutual</t>
        </is>
      </c>
      <c r="C66" s="9" t="inlineStr">
        <is>
          <t>Casualty</t>
        </is>
      </c>
      <c r="D66" s="9" t="inlineStr">
        <is>
          <t>Europe</t>
        </is>
      </c>
      <c r="E66" s="9" t="inlineStr">
        <is>
          <t>Omar Haddad</t>
        </is>
      </c>
      <c r="F66" s="9" t="inlineStr">
        <is>
          <t>Proportional</t>
        </is>
      </c>
      <c r="G66" s="9" t="n">
        <v>2025</v>
      </c>
      <c r="H66" s="12" t="n">
        <v>10900000.0059</v>
      </c>
      <c r="I66" s="12" t="n">
        <v>834735.6432</v>
      </c>
      <c r="J66" s="12" t="n">
        <v>49250.346</v>
      </c>
      <c r="K66" s="12" t="n">
        <v>834735.6432</v>
      </c>
      <c r="L66" s="12" t="n">
        <v>240357.9648</v>
      </c>
      <c r="M66" s="9" t="n">
        <v>9</v>
      </c>
      <c r="N66" s="12" t="n">
        <v>418959.6269</v>
      </c>
      <c r="O66" s="12" t="n">
        <v>648954.379</v>
      </c>
      <c r="P66" s="12" t="n">
        <v>5449999.9966</v>
      </c>
      <c r="Q66" s="9" t="inlineStr">
        <is>
          <t>Low</t>
        </is>
      </c>
      <c r="R66" s="11">
        <f>IFERROR(O66/K66,0)</f>
        <v/>
      </c>
    </row>
    <row r="67">
      <c r="A67" s="9" t="inlineStr">
        <is>
          <t>T0271</t>
        </is>
      </c>
      <c r="B67" s="9" t="inlineStr">
        <is>
          <t>Cobalt Mutual</t>
        </is>
      </c>
      <c r="C67" s="9" t="inlineStr">
        <is>
          <t>Specialty</t>
        </is>
      </c>
      <c r="D67" s="9" t="inlineStr">
        <is>
          <t>Europe</t>
        </is>
      </c>
      <c r="E67" s="9" t="inlineStr">
        <is>
          <t>Omar Haddad</t>
        </is>
      </c>
      <c r="F67" s="9" t="inlineStr">
        <is>
          <t>Proportional</t>
        </is>
      </c>
      <c r="G67" s="9" t="n">
        <v>2023</v>
      </c>
      <c r="H67" s="12" t="n">
        <v>20199999.996</v>
      </c>
      <c r="I67" s="12" t="n">
        <v>1663956.432</v>
      </c>
      <c r="J67" s="12" t="n">
        <v>169141.2192</v>
      </c>
      <c r="K67" s="12" t="n">
        <v>1663956.432</v>
      </c>
      <c r="L67" s="12" t="n">
        <v>512218.2096000001</v>
      </c>
      <c r="M67" s="9" t="n">
        <v>15</v>
      </c>
      <c r="N67" s="12" t="n">
        <v>902942.4564</v>
      </c>
      <c r="O67" s="12" t="n">
        <v>929656.116</v>
      </c>
      <c r="P67" s="12" t="n">
        <v>6059999.998800001</v>
      </c>
      <c r="Q67" s="9" t="inlineStr">
        <is>
          <t>Low</t>
        </is>
      </c>
      <c r="R67" s="11">
        <f>IFERROR(O67/K67,0)</f>
        <v/>
      </c>
    </row>
    <row r="68">
      <c r="A68" s="9" t="inlineStr">
        <is>
          <t>T0273</t>
        </is>
      </c>
      <c r="B68" s="9" t="inlineStr">
        <is>
          <t>Meridian Indemnity</t>
        </is>
      </c>
      <c r="C68" s="9" t="inlineStr">
        <is>
          <t>Professional</t>
        </is>
      </c>
      <c r="D68" s="9" t="inlineStr">
        <is>
          <t>Europe</t>
        </is>
      </c>
      <c r="E68" s="9" t="inlineStr">
        <is>
          <t>Carlos Ibarra</t>
        </is>
      </c>
      <c r="F68" s="9" t="inlineStr">
        <is>
          <t>Proportional</t>
        </is>
      </c>
      <c r="G68" s="9" t="n">
        <v>2023</v>
      </c>
      <c r="H68" s="12" t="n">
        <v>7600000.0032</v>
      </c>
      <c r="I68" s="12" t="n">
        <v>855514.872</v>
      </c>
      <c r="J68" s="12" t="n">
        <v>51944.32800000001</v>
      </c>
      <c r="K68" s="12" t="n">
        <v>855514.872</v>
      </c>
      <c r="L68" s="12" t="n">
        <v>263784.7296</v>
      </c>
      <c r="M68" s="9" t="n">
        <v>10</v>
      </c>
      <c r="N68" s="12" t="n">
        <v>343316.3076</v>
      </c>
      <c r="O68" s="12" t="n">
        <v>414029.5884</v>
      </c>
      <c r="P68" s="12" t="n">
        <v>1520000.0028</v>
      </c>
      <c r="Q68" s="9" t="inlineStr">
        <is>
          <t>Low</t>
        </is>
      </c>
      <c r="R68" s="11">
        <f>IFERROR(O68/K68,0)</f>
        <v/>
      </c>
    </row>
    <row r="69">
      <c r="A69" s="9" t="inlineStr">
        <is>
          <t>T0274</t>
        </is>
      </c>
      <c r="B69" s="9" t="inlineStr">
        <is>
          <t>Summit Insurance</t>
        </is>
      </c>
      <c r="C69" s="9" t="inlineStr">
        <is>
          <t>Specialty</t>
        </is>
      </c>
      <c r="D69" s="9" t="inlineStr">
        <is>
          <t>Europe</t>
        </is>
      </c>
      <c r="E69" s="9" t="inlineStr">
        <is>
          <t>Priya Nair</t>
        </is>
      </c>
      <c r="F69" s="9" t="inlineStr">
        <is>
          <t>Excess of Loss</t>
        </is>
      </c>
      <c r="G69" s="9" t="n">
        <v>2023</v>
      </c>
      <c r="H69" s="12" t="n">
        <v>7799999.9976</v>
      </c>
      <c r="I69" s="12" t="n">
        <v>660710.7792</v>
      </c>
      <c r="J69" s="12" t="n">
        <v>70118.65440000001</v>
      </c>
      <c r="K69" s="12" t="n">
        <v>660710.7792</v>
      </c>
      <c r="L69" s="12" t="n">
        <v>72448.6032</v>
      </c>
      <c r="M69" s="9" t="n">
        <v>9</v>
      </c>
      <c r="N69" s="12" t="n">
        <v>447143.5656</v>
      </c>
      <c r="O69" s="12" t="n">
        <v>479898.3132</v>
      </c>
      <c r="P69" s="12" t="n">
        <v>7799999.9976</v>
      </c>
      <c r="Q69" s="9" t="inlineStr">
        <is>
          <t>Low</t>
        </is>
      </c>
      <c r="R69" s="11">
        <f>IFERROR(O69/K69,0)</f>
        <v/>
      </c>
    </row>
    <row r="70">
      <c r="A70" s="9" t="inlineStr">
        <is>
          <t>T0279</t>
        </is>
      </c>
      <c r="B70" s="9" t="inlineStr">
        <is>
          <t>Summit Insurance</t>
        </is>
      </c>
      <c r="C70" s="9" t="inlineStr">
        <is>
          <t>Specialty</t>
        </is>
      </c>
      <c r="D70" s="9" t="inlineStr">
        <is>
          <t>Europe</t>
        </is>
      </c>
      <c r="E70" s="9" t="inlineStr">
        <is>
          <t>Carlos Ibarra</t>
        </is>
      </c>
      <c r="F70" s="9" t="inlineStr">
        <is>
          <t>Facultative</t>
        </is>
      </c>
      <c r="G70" s="9" t="n">
        <v>2024</v>
      </c>
      <c r="H70" s="12" t="n">
        <v>10599999.9948</v>
      </c>
      <c r="I70" s="12" t="n">
        <v>956404.7136000001</v>
      </c>
      <c r="J70" s="12" t="n">
        <v>98568.44640000002</v>
      </c>
      <c r="K70" s="12" t="n">
        <v>956404.7136000001</v>
      </c>
      <c r="L70" s="12" t="n">
        <v>181354.7232</v>
      </c>
      <c r="M70" s="9" t="n">
        <v>4</v>
      </c>
      <c r="N70" s="12" t="n">
        <v>577366.7688</v>
      </c>
      <c r="O70" s="12" t="n">
        <v>620372.2824</v>
      </c>
      <c r="P70" s="12" t="n">
        <v>10599999.9948</v>
      </c>
      <c r="Q70" s="9" t="inlineStr">
        <is>
          <t>Low</t>
        </is>
      </c>
      <c r="R70" s="11">
        <f>IFERROR(O70/K70,0)</f>
        <v/>
      </c>
    </row>
    <row r="71">
      <c r="A71" s="9" t="inlineStr">
        <is>
          <t>T0281</t>
        </is>
      </c>
      <c r="B71" s="9" t="inlineStr">
        <is>
          <t>Granite Indemnity</t>
        </is>
      </c>
      <c r="C71" s="9" t="inlineStr">
        <is>
          <t>Property</t>
        </is>
      </c>
      <c r="D71" s="9" t="inlineStr">
        <is>
          <t>Europe</t>
        </is>
      </c>
      <c r="E71" s="9" t="inlineStr">
        <is>
          <t>Carlos Ibarra</t>
        </is>
      </c>
      <c r="F71" s="9" t="inlineStr">
        <is>
          <t>Excess of Loss</t>
        </is>
      </c>
      <c r="G71" s="9" t="n">
        <v>2022</v>
      </c>
      <c r="H71" s="12" t="n">
        <v>14900000.004</v>
      </c>
      <c r="I71" s="12" t="n">
        <v>1240777.9584</v>
      </c>
      <c r="J71" s="12" t="n">
        <v>89171.15040000001</v>
      </c>
      <c r="K71" s="12" t="n">
        <v>1240777.9584</v>
      </c>
      <c r="L71" s="12" t="n">
        <v>63392.15520000001</v>
      </c>
      <c r="M71" s="9" t="n">
        <v>10</v>
      </c>
      <c r="N71" s="12" t="n">
        <v>483341.1912000001</v>
      </c>
      <c r="O71" s="12" t="n">
        <v>499500.3564</v>
      </c>
      <c r="P71" s="12" t="n">
        <v>14900000.004</v>
      </c>
      <c r="Q71" s="9" t="inlineStr">
        <is>
          <t>Low</t>
        </is>
      </c>
      <c r="R71" s="11">
        <f>IFERROR(O71/K71,0)</f>
        <v/>
      </c>
    </row>
    <row r="72">
      <c r="A72" s="9" t="inlineStr">
        <is>
          <t>T0283</t>
        </is>
      </c>
      <c r="B72" s="9" t="inlineStr">
        <is>
          <t>Cobalt Mutual</t>
        </is>
      </c>
      <c r="C72" s="9" t="inlineStr">
        <is>
          <t>Casualty</t>
        </is>
      </c>
      <c r="D72" s="9" t="inlineStr">
        <is>
          <t>Europe</t>
        </is>
      </c>
      <c r="E72" s="9" t="inlineStr">
        <is>
          <t>Hannah Weber</t>
        </is>
      </c>
      <c r="F72" s="9" t="inlineStr">
        <is>
          <t>Excess of Loss</t>
        </is>
      </c>
      <c r="G72" s="9" t="n">
        <v>2022</v>
      </c>
      <c r="H72" s="12" t="n">
        <v>167400000</v>
      </c>
      <c r="I72" s="12" t="n">
        <v>15720608.1744</v>
      </c>
      <c r="J72" s="12" t="n">
        <v>1083965.328</v>
      </c>
      <c r="K72" s="12" t="n">
        <v>15720608.1744</v>
      </c>
      <c r="L72" s="12" t="n">
        <v>1581577.7472</v>
      </c>
      <c r="M72" s="9" t="n">
        <v>5</v>
      </c>
      <c r="N72" s="12" t="n">
        <v>6898399.063200001</v>
      </c>
      <c r="O72" s="12" t="n">
        <v>6898399.063200001</v>
      </c>
      <c r="P72" s="12" t="n">
        <v>167400000</v>
      </c>
      <c r="Q72" s="9" t="inlineStr">
        <is>
          <t>Low</t>
        </is>
      </c>
      <c r="R72" s="11">
        <f>IFERROR(O72/K72,0)</f>
        <v/>
      </c>
    </row>
    <row r="73">
      <c r="A73" s="9" t="inlineStr">
        <is>
          <t>T0284</t>
        </is>
      </c>
      <c r="B73" s="9" t="inlineStr">
        <is>
          <t>Granite Indemnity</t>
        </is>
      </c>
      <c r="C73" s="9" t="inlineStr">
        <is>
          <t>Financial Lines</t>
        </is>
      </c>
      <c r="D73" s="9" t="inlineStr">
        <is>
          <t>Europe</t>
        </is>
      </c>
      <c r="E73" s="9" t="inlineStr">
        <is>
          <t>Priya Nair</t>
        </is>
      </c>
      <c r="F73" s="9" t="inlineStr">
        <is>
          <t>Excess of Loss</t>
        </is>
      </c>
      <c r="G73" s="9" t="n">
        <v>2024</v>
      </c>
      <c r="H73" s="12" t="n">
        <v>139600000.0008</v>
      </c>
      <c r="I73" s="12" t="n">
        <v>13862723.7672</v>
      </c>
      <c r="J73" s="12" t="n">
        <v>1464623.3052</v>
      </c>
      <c r="K73" s="12" t="n">
        <v>13862723.7672</v>
      </c>
      <c r="L73" s="12" t="n">
        <v>1358428.4604</v>
      </c>
      <c r="M73" s="9" t="n">
        <v>24</v>
      </c>
      <c r="N73" s="12" t="n">
        <v>6096244.2372</v>
      </c>
      <c r="O73" s="12" t="n">
        <v>10638123.4332</v>
      </c>
      <c r="P73" s="12" t="n">
        <v>139600000.0008</v>
      </c>
      <c r="Q73" s="9" t="inlineStr">
        <is>
          <t>Low</t>
        </is>
      </c>
      <c r="R73" s="11">
        <f>IFERROR(O73/K73,0)</f>
        <v/>
      </c>
    </row>
    <row r="74">
      <c r="A74" s="9" t="inlineStr">
        <is>
          <t>T0286</t>
        </is>
      </c>
      <c r="B74" s="9" t="inlineStr">
        <is>
          <t>Cobalt Mutual</t>
        </is>
      </c>
      <c r="C74" s="9" t="inlineStr">
        <is>
          <t>Specialty</t>
        </is>
      </c>
      <c r="D74" s="9" t="inlineStr">
        <is>
          <t>Europe</t>
        </is>
      </c>
      <c r="E74" s="9" t="inlineStr">
        <is>
          <t>Kenji Sato</t>
        </is>
      </c>
      <c r="F74" s="9" t="inlineStr">
        <is>
          <t>Excess of Loss</t>
        </is>
      </c>
      <c r="G74" s="9" t="n">
        <v>2022</v>
      </c>
      <c r="H74" s="12" t="n">
        <v>17700000.0012</v>
      </c>
      <c r="I74" s="12" t="n">
        <v>3079866.1104</v>
      </c>
      <c r="J74" s="12" t="n">
        <v>358643.376</v>
      </c>
      <c r="K74" s="12" t="n">
        <v>3079866.1104</v>
      </c>
      <c r="L74" s="12" t="n">
        <v>299713.2192000001</v>
      </c>
      <c r="M74" s="9" t="n">
        <v>11</v>
      </c>
      <c r="N74" s="12" t="n">
        <v>2761707.8736</v>
      </c>
      <c r="O74" s="12" t="n">
        <v>3072083.5224</v>
      </c>
      <c r="P74" s="12" t="n">
        <v>17700000.0012</v>
      </c>
      <c r="Q74" s="9" t="inlineStr">
        <is>
          <t>Low</t>
        </is>
      </c>
      <c r="R74" s="11">
        <f>IFERROR(O74/K74,0)</f>
        <v/>
      </c>
    </row>
    <row r="75">
      <c r="A75" s="9" t="inlineStr">
        <is>
          <t>T0287</t>
        </is>
      </c>
      <c r="B75" s="9" t="inlineStr">
        <is>
          <t>Granite Indemnity</t>
        </is>
      </c>
      <c r="C75" s="9" t="inlineStr">
        <is>
          <t>Specialty</t>
        </is>
      </c>
      <c r="D75" s="9" t="inlineStr">
        <is>
          <t>Europe</t>
        </is>
      </c>
      <c r="E75" s="9" t="inlineStr">
        <is>
          <t>Sophie Laurent</t>
        </is>
      </c>
      <c r="F75" s="9" t="inlineStr">
        <is>
          <t>Proportional</t>
        </is>
      </c>
      <c r="G75" s="9" t="n">
        <v>2022</v>
      </c>
      <c r="H75" s="12" t="n">
        <v>13199999.9976</v>
      </c>
      <c r="I75" s="12" t="n">
        <v>1925747.3952</v>
      </c>
      <c r="J75" s="12" t="n">
        <v>224744.4144</v>
      </c>
      <c r="K75" s="12" t="n">
        <v>1925747.3952</v>
      </c>
      <c r="L75" s="12" t="n">
        <v>445140.6192</v>
      </c>
      <c r="M75" s="9" t="n">
        <v>7</v>
      </c>
      <c r="N75" s="12" t="n">
        <v>1142635.302</v>
      </c>
      <c r="O75" s="12" t="n">
        <v>1184544.324</v>
      </c>
      <c r="P75" s="12" t="n">
        <v>3960000.0036</v>
      </c>
      <c r="Q75" s="9" t="inlineStr">
        <is>
          <t>Low</t>
        </is>
      </c>
      <c r="R75" s="11">
        <f>IFERROR(O75/K75,0)</f>
        <v/>
      </c>
    </row>
    <row r="76">
      <c r="A76" s="9" t="inlineStr">
        <is>
          <t>T0292</t>
        </is>
      </c>
      <c r="B76" s="9" t="inlineStr">
        <is>
          <t>Meridian Indemnity</t>
        </is>
      </c>
      <c r="C76" s="9" t="inlineStr">
        <is>
          <t>Professional</t>
        </is>
      </c>
      <c r="D76" s="9" t="inlineStr">
        <is>
          <t>Europe</t>
        </is>
      </c>
      <c r="E76" s="9" t="inlineStr">
        <is>
          <t>Priya Nair</t>
        </is>
      </c>
      <c r="F76" s="9" t="inlineStr">
        <is>
          <t>Excess of Loss</t>
        </is>
      </c>
      <c r="G76" s="9" t="n">
        <v>2022</v>
      </c>
      <c r="H76" s="12" t="n">
        <v>11000000.0052</v>
      </c>
      <c r="I76" s="12" t="n">
        <v>1067799.672</v>
      </c>
      <c r="J76" s="12" t="n">
        <v>101907.72</v>
      </c>
      <c r="K76" s="12" t="n">
        <v>1067799.672</v>
      </c>
      <c r="L76" s="12" t="n">
        <v>90545.55839999999</v>
      </c>
      <c r="M76" s="9" t="n">
        <v>20</v>
      </c>
      <c r="N76" s="12" t="n">
        <v>1354873.8888</v>
      </c>
      <c r="O76" s="12" t="n">
        <v>1409314.9068</v>
      </c>
      <c r="P76" s="12" t="n">
        <v>11000000.0052</v>
      </c>
      <c r="Q76" s="9" t="inlineStr">
        <is>
          <t>Low</t>
        </is>
      </c>
      <c r="R76" s="11">
        <f>IFERROR(O76/K76,0)</f>
        <v/>
      </c>
    </row>
    <row r="77">
      <c r="A77" s="9" t="inlineStr">
        <is>
          <t>T0294</t>
        </is>
      </c>
      <c r="B77" s="9" t="inlineStr">
        <is>
          <t>Pioneer Insurance</t>
        </is>
      </c>
      <c r="C77" s="9" t="inlineStr">
        <is>
          <t>Financial Lines</t>
        </is>
      </c>
      <c r="D77" s="9" t="inlineStr">
        <is>
          <t>Europe</t>
        </is>
      </c>
      <c r="E77" s="9" t="inlineStr">
        <is>
          <t>Hannah Weber</t>
        </is>
      </c>
      <c r="F77" s="9" t="inlineStr">
        <is>
          <t>Excess of Loss</t>
        </is>
      </c>
      <c r="G77" s="9" t="n">
        <v>2026</v>
      </c>
      <c r="H77" s="12" t="n">
        <v>78600000.00240001</v>
      </c>
      <c r="I77" s="12" t="n">
        <v>1414112.3532</v>
      </c>
      <c r="J77" s="12" t="n">
        <v>83547.12600000002</v>
      </c>
      <c r="K77" s="12" t="n">
        <v>1382687.6364</v>
      </c>
      <c r="L77" s="12" t="n">
        <v>107459.3204878703</v>
      </c>
      <c r="M77" s="9" t="n">
        <v>3</v>
      </c>
      <c r="N77" s="12" t="n">
        <v>76835.9844</v>
      </c>
      <c r="O77" s="12" t="n">
        <v>355125.8916</v>
      </c>
      <c r="P77" s="12" t="n">
        <v>78600000.00240001</v>
      </c>
      <c r="Q77" s="9" t="inlineStr">
        <is>
          <t>Low</t>
        </is>
      </c>
      <c r="R77" s="11">
        <f>IFERROR(O77/K77,0)</f>
        <v/>
      </c>
    </row>
    <row r="78">
      <c r="A78" s="9" t="inlineStr">
        <is>
          <t>T0298</t>
        </is>
      </c>
      <c r="B78" s="9" t="inlineStr">
        <is>
          <t>Meridian Assurance</t>
        </is>
      </c>
      <c r="C78" s="9" t="inlineStr">
        <is>
          <t>Casualty</t>
        </is>
      </c>
      <c r="D78" s="9" t="inlineStr">
        <is>
          <t>Europe</t>
        </is>
      </c>
      <c r="E78" s="9" t="inlineStr">
        <is>
          <t>Omar Haddad</t>
        </is>
      </c>
      <c r="F78" s="9" t="inlineStr">
        <is>
          <t>Proportional</t>
        </is>
      </c>
      <c r="G78" s="9" t="n">
        <v>2025</v>
      </c>
      <c r="H78" s="12" t="n">
        <v>8800000.002</v>
      </c>
      <c r="I78" s="12" t="n">
        <v>934340.3136</v>
      </c>
      <c r="J78" s="12" t="n">
        <v>107527.4352</v>
      </c>
      <c r="K78" s="12" t="n">
        <v>934340.3136</v>
      </c>
      <c r="L78" s="12" t="n">
        <v>219800.4336</v>
      </c>
      <c r="M78" s="9" t="n">
        <v>10</v>
      </c>
      <c r="N78" s="12" t="n">
        <v>343951.8012</v>
      </c>
      <c r="O78" s="12" t="n">
        <v>410265.5724000001</v>
      </c>
      <c r="P78" s="12" t="n">
        <v>1319999.9976</v>
      </c>
      <c r="Q78" s="9" t="inlineStr">
        <is>
          <t>Low</t>
        </is>
      </c>
      <c r="R78" s="11">
        <f>IFERROR(O78/K78,0)</f>
        <v/>
      </c>
    </row>
    <row r="79">
      <c r="A79" s="9" t="inlineStr">
        <is>
          <t>T0302</t>
        </is>
      </c>
      <c r="B79" s="9" t="inlineStr">
        <is>
          <t>Meridian Assurance</t>
        </is>
      </c>
      <c r="C79" s="9" t="inlineStr">
        <is>
          <t>Financial Lines</t>
        </is>
      </c>
      <c r="D79" s="9" t="inlineStr">
        <is>
          <t>Europe</t>
        </is>
      </c>
      <c r="E79" s="9" t="inlineStr">
        <is>
          <t>Priya Nair</t>
        </is>
      </c>
      <c r="F79" s="9" t="inlineStr">
        <is>
          <t>Excess of Loss</t>
        </is>
      </c>
      <c r="G79" s="9" t="n">
        <v>2024</v>
      </c>
      <c r="H79" s="12" t="n">
        <v>10199999.9952</v>
      </c>
      <c r="I79" s="12" t="n">
        <v>820262.1168000002</v>
      </c>
      <c r="J79" s="12" t="n">
        <v>96526.33920000002</v>
      </c>
      <c r="K79" s="12" t="n">
        <v>820262.1168000002</v>
      </c>
      <c r="L79" s="12" t="n">
        <v>95756.90400000001</v>
      </c>
      <c r="M79" s="9" t="n">
        <v>9</v>
      </c>
      <c r="N79" s="12" t="n">
        <v>229317.0156</v>
      </c>
      <c r="O79" s="12" t="n">
        <v>268388.2404</v>
      </c>
      <c r="P79" s="12" t="n">
        <v>10199999.9952</v>
      </c>
      <c r="Q79" s="9" t="inlineStr">
        <is>
          <t>Low</t>
        </is>
      </c>
      <c r="R79" s="11">
        <f>IFERROR(O79/K79,0)</f>
        <v/>
      </c>
    </row>
    <row r="80">
      <c r="A80" s="9" t="inlineStr">
        <is>
          <t>T0309</t>
        </is>
      </c>
      <c r="B80" s="9" t="inlineStr">
        <is>
          <t>Sterling Indemnity</t>
        </is>
      </c>
      <c r="C80" s="9" t="inlineStr">
        <is>
          <t>Casualty</t>
        </is>
      </c>
      <c r="D80" s="9" t="inlineStr">
        <is>
          <t>Europe</t>
        </is>
      </c>
      <c r="E80" s="9" t="inlineStr">
        <is>
          <t>Carlos Ibarra</t>
        </is>
      </c>
      <c r="F80" s="9" t="inlineStr">
        <is>
          <t>Excess of Loss</t>
        </is>
      </c>
      <c r="G80" s="9" t="n">
        <v>2021</v>
      </c>
      <c r="H80" s="12" t="n">
        <v>5000000.0004</v>
      </c>
      <c r="I80" s="12" t="n">
        <v>410467.9536000001</v>
      </c>
      <c r="J80" s="12" t="n">
        <v>34154.6544</v>
      </c>
      <c r="K80" s="12" t="n">
        <v>410467.9536000001</v>
      </c>
      <c r="L80" s="12" t="n">
        <v>21485.4768</v>
      </c>
      <c r="M80" s="9" t="n">
        <v>8</v>
      </c>
      <c r="N80" s="12" t="n">
        <v>147197.5848</v>
      </c>
      <c r="O80" s="12" t="n">
        <v>147197.5848</v>
      </c>
      <c r="P80" s="12" t="n">
        <v>5000000.0004</v>
      </c>
      <c r="Q80" s="9" t="inlineStr">
        <is>
          <t>Low</t>
        </is>
      </c>
      <c r="R80" s="11">
        <f>IFERROR(O80/K80,0)</f>
        <v/>
      </c>
    </row>
    <row r="81">
      <c r="A81" s="9" t="inlineStr">
        <is>
          <t>T0318</t>
        </is>
      </c>
      <c r="B81" s="9" t="inlineStr">
        <is>
          <t>Meridian Assurance</t>
        </is>
      </c>
      <c r="C81" s="9" t="inlineStr">
        <is>
          <t>Property</t>
        </is>
      </c>
      <c r="D81" s="9" t="inlineStr">
        <is>
          <t>Europe</t>
        </is>
      </c>
      <c r="E81" s="9" t="inlineStr">
        <is>
          <t>Aarav Mehta</t>
        </is>
      </c>
      <c r="F81" s="9" t="inlineStr">
        <is>
          <t>Excess of Loss</t>
        </is>
      </c>
      <c r="G81" s="9" t="n">
        <v>2025</v>
      </c>
      <c r="H81" s="12" t="n">
        <v>38900000.0016</v>
      </c>
      <c r="I81" s="12" t="n">
        <v>4820186.232000001</v>
      </c>
      <c r="J81" s="12" t="n">
        <v>264847.8384</v>
      </c>
      <c r="K81" s="12" t="n">
        <v>4820186.232000001</v>
      </c>
      <c r="L81" s="12" t="n">
        <v>420093.4752</v>
      </c>
      <c r="M81" s="9" t="n">
        <v>10</v>
      </c>
      <c r="N81" s="12" t="n">
        <v>1600414.4376</v>
      </c>
      <c r="O81" s="12" t="n">
        <v>3193007.58</v>
      </c>
      <c r="P81" s="12" t="n">
        <v>38900000.0016</v>
      </c>
      <c r="Q81" s="9" t="inlineStr">
        <is>
          <t>Low</t>
        </is>
      </c>
      <c r="R81" s="11">
        <f>IFERROR(O81/K81,0)</f>
        <v/>
      </c>
    </row>
    <row r="82">
      <c r="A82" s="9" t="inlineStr">
        <is>
          <t>T0332</t>
        </is>
      </c>
      <c r="B82" s="9" t="inlineStr">
        <is>
          <t>Vantage Assurance</t>
        </is>
      </c>
      <c r="C82" s="9" t="inlineStr">
        <is>
          <t>Casualty</t>
        </is>
      </c>
      <c r="D82" s="9" t="inlineStr">
        <is>
          <t>Europe</t>
        </is>
      </c>
      <c r="E82" s="9" t="inlineStr">
        <is>
          <t>James Whitfield</t>
        </is>
      </c>
      <c r="F82" s="9" t="inlineStr">
        <is>
          <t>Excess of Loss</t>
        </is>
      </c>
      <c r="G82" s="9" t="n">
        <v>2021</v>
      </c>
      <c r="H82" s="12" t="n">
        <v>10599999.9948</v>
      </c>
      <c r="I82" s="12" t="n">
        <v>1366285.4496</v>
      </c>
      <c r="J82" s="12" t="n">
        <v>86174.66880000001</v>
      </c>
      <c r="K82" s="12" t="n">
        <v>1366285.4496</v>
      </c>
      <c r="L82" s="12" t="n">
        <v>90161.94240000001</v>
      </c>
      <c r="M82" s="9" t="n">
        <v>13</v>
      </c>
      <c r="N82" s="12" t="n">
        <v>1071985.644</v>
      </c>
      <c r="O82" s="12" t="n">
        <v>1103894.0388</v>
      </c>
      <c r="P82" s="12" t="n">
        <v>10599999.9948</v>
      </c>
      <c r="Q82" s="9" t="inlineStr">
        <is>
          <t>Low</t>
        </is>
      </c>
      <c r="R82" s="11">
        <f>IFERROR(O82/K82,0)</f>
        <v/>
      </c>
    </row>
    <row r="83">
      <c r="A83" s="9" t="inlineStr">
        <is>
          <t>T0339</t>
        </is>
      </c>
      <c r="B83" s="9" t="inlineStr">
        <is>
          <t>Vantage Assurance</t>
        </is>
      </c>
      <c r="C83" s="9" t="inlineStr">
        <is>
          <t>Property</t>
        </is>
      </c>
      <c r="D83" s="9" t="inlineStr">
        <is>
          <t>Europe</t>
        </is>
      </c>
      <c r="E83" s="9" t="inlineStr">
        <is>
          <t>Kenji Sato</t>
        </is>
      </c>
      <c r="F83" s="9" t="inlineStr">
        <is>
          <t>Proportional</t>
        </is>
      </c>
      <c r="G83" s="9" t="n">
        <v>2023</v>
      </c>
      <c r="H83" s="12" t="n">
        <v>4100000.004</v>
      </c>
      <c r="I83" s="12" t="n">
        <v>477049.6944</v>
      </c>
      <c r="J83" s="12" t="n">
        <v>41074.5168</v>
      </c>
      <c r="K83" s="12" t="n">
        <v>477049.6944</v>
      </c>
      <c r="L83" s="12" t="n">
        <v>124589.016</v>
      </c>
      <c r="M83" s="9" t="n">
        <v>8</v>
      </c>
      <c r="N83" s="12" t="n">
        <v>125159.5476</v>
      </c>
      <c r="O83" s="12" t="n">
        <v>174041.082</v>
      </c>
      <c r="P83" s="12" t="n">
        <v>1230000.0012</v>
      </c>
      <c r="Q83" s="9" t="inlineStr">
        <is>
          <t>Low</t>
        </is>
      </c>
      <c r="R83" s="11">
        <f>IFERROR(O83/K83,0)</f>
        <v/>
      </c>
    </row>
    <row r="84">
      <c r="A84" s="9" t="inlineStr">
        <is>
          <t>T0342</t>
        </is>
      </c>
      <c r="B84" s="9" t="inlineStr">
        <is>
          <t>Cobalt Assurance</t>
        </is>
      </c>
      <c r="C84" s="9" t="inlineStr">
        <is>
          <t>Financial Lines</t>
        </is>
      </c>
      <c r="D84" s="9" t="inlineStr">
        <is>
          <t>Europe</t>
        </is>
      </c>
      <c r="E84" s="9" t="inlineStr">
        <is>
          <t>Sophie Laurent</t>
        </is>
      </c>
      <c r="F84" s="9" t="inlineStr">
        <is>
          <t>Proportional</t>
        </is>
      </c>
      <c r="G84" s="9" t="n">
        <v>2022</v>
      </c>
      <c r="H84" s="12" t="n">
        <v>40000000.0032</v>
      </c>
      <c r="I84" s="12" t="n">
        <v>2638348.5348</v>
      </c>
      <c r="J84" s="12" t="n">
        <v>265944.492</v>
      </c>
      <c r="K84" s="12" t="n">
        <v>2638348.5348</v>
      </c>
      <c r="L84" s="12" t="n">
        <v>710631.6624</v>
      </c>
      <c r="M84" s="9" t="n">
        <v>8</v>
      </c>
      <c r="N84" s="12" t="n">
        <v>2239709.4</v>
      </c>
      <c r="O84" s="12" t="n">
        <v>2239709.4</v>
      </c>
      <c r="P84" s="12" t="n">
        <v>8000000.002800001</v>
      </c>
      <c r="Q84" s="9" t="inlineStr">
        <is>
          <t>Low</t>
        </is>
      </c>
      <c r="R84" s="11">
        <f>IFERROR(O84/K84,0)</f>
        <v/>
      </c>
    </row>
    <row r="85">
      <c r="A85" s="9" t="inlineStr">
        <is>
          <t>T0345</t>
        </is>
      </c>
      <c r="B85" s="9" t="inlineStr">
        <is>
          <t>Atlas Mutual</t>
        </is>
      </c>
      <c r="C85" s="9" t="inlineStr">
        <is>
          <t>Professional</t>
        </is>
      </c>
      <c r="D85" s="9" t="inlineStr">
        <is>
          <t>Europe</t>
        </is>
      </c>
      <c r="E85" s="9" t="inlineStr">
        <is>
          <t>Priya Nair</t>
        </is>
      </c>
      <c r="F85" s="9" t="inlineStr">
        <is>
          <t>Proportional</t>
        </is>
      </c>
      <c r="G85" s="9" t="n">
        <v>2022</v>
      </c>
      <c r="H85" s="12" t="n">
        <v>4200000.001200001</v>
      </c>
      <c r="I85" s="12" t="n">
        <v>739919.4480000001</v>
      </c>
      <c r="J85" s="12" t="n">
        <v>71802.5472</v>
      </c>
      <c r="K85" s="12" t="n">
        <v>739919.4480000001</v>
      </c>
      <c r="L85" s="12" t="n">
        <v>212941.7424</v>
      </c>
      <c r="M85" s="9" t="n">
        <v>8</v>
      </c>
      <c r="N85" s="12" t="n">
        <v>364065.0408</v>
      </c>
      <c r="O85" s="12" t="n">
        <v>364065.0408</v>
      </c>
      <c r="P85" s="12" t="n">
        <v>1680000.0048</v>
      </c>
      <c r="Q85" s="9" t="inlineStr">
        <is>
          <t>Low</t>
        </is>
      </c>
      <c r="R85" s="11">
        <f>IFERROR(O85/K85,0)</f>
        <v/>
      </c>
    </row>
    <row r="86">
      <c r="A86" s="9" t="inlineStr">
        <is>
          <t>T0346</t>
        </is>
      </c>
      <c r="B86" s="9" t="inlineStr">
        <is>
          <t>Vantage Assurance</t>
        </is>
      </c>
      <c r="C86" s="9" t="inlineStr">
        <is>
          <t>Casualty</t>
        </is>
      </c>
      <c r="D86" s="9" t="inlineStr">
        <is>
          <t>Europe</t>
        </is>
      </c>
      <c r="E86" s="9" t="inlineStr">
        <is>
          <t>Kenji Sato</t>
        </is>
      </c>
      <c r="F86" s="9" t="inlineStr">
        <is>
          <t>Proportional</t>
        </is>
      </c>
      <c r="G86" s="9" t="n">
        <v>2026</v>
      </c>
      <c r="H86" s="12" t="n">
        <v>13899999.9996</v>
      </c>
      <c r="I86" s="12" t="n">
        <v>1104087.8016</v>
      </c>
      <c r="J86" s="12" t="n">
        <v>69256.1664</v>
      </c>
      <c r="K86" s="12" t="n">
        <v>1030481.946</v>
      </c>
      <c r="L86" s="12" t="n">
        <v>301912.5305671592</v>
      </c>
      <c r="M86" s="9" t="n">
        <v>11</v>
      </c>
      <c r="N86" s="12" t="n">
        <v>419190.2928000001</v>
      </c>
      <c r="O86" s="12" t="n">
        <v>782261.2152</v>
      </c>
      <c r="P86" s="12" t="n">
        <v>4169999.9988</v>
      </c>
      <c r="Q86" s="9" t="inlineStr">
        <is>
          <t>Low</t>
        </is>
      </c>
      <c r="R86" s="11">
        <f>IFERROR(O86/K86,0)</f>
        <v/>
      </c>
    </row>
    <row r="87">
      <c r="A87" s="9" t="inlineStr">
        <is>
          <t>T0347</t>
        </is>
      </c>
      <c r="B87" s="9" t="inlineStr">
        <is>
          <t>Summit Insurance</t>
        </is>
      </c>
      <c r="C87" s="9" t="inlineStr">
        <is>
          <t>Casualty</t>
        </is>
      </c>
      <c r="D87" s="9" t="inlineStr">
        <is>
          <t>Europe</t>
        </is>
      </c>
      <c r="E87" s="9" t="inlineStr">
        <is>
          <t>Hannah Weber</t>
        </is>
      </c>
      <c r="F87" s="9" t="inlineStr">
        <is>
          <t>Facultative</t>
        </is>
      </c>
      <c r="G87" s="9" t="n">
        <v>2024</v>
      </c>
      <c r="H87" s="12" t="n">
        <v>10099999.998</v>
      </c>
      <c r="I87" s="12" t="n">
        <v>932135.5584</v>
      </c>
      <c r="J87" s="12" t="n">
        <v>110111.2704</v>
      </c>
      <c r="K87" s="12" t="n">
        <v>932135.5584</v>
      </c>
      <c r="L87" s="12" t="n">
        <v>154819.7712</v>
      </c>
      <c r="M87" s="9" t="n">
        <v>7</v>
      </c>
      <c r="N87" s="12" t="n">
        <v>205590.9168</v>
      </c>
      <c r="O87" s="12" t="n">
        <v>781835.0040000001</v>
      </c>
      <c r="P87" s="12" t="n">
        <v>10099999.998</v>
      </c>
      <c r="Q87" s="9" t="inlineStr">
        <is>
          <t>Low</t>
        </is>
      </c>
      <c r="R87" s="11">
        <f>IFERROR(O87/K87,0)</f>
        <v/>
      </c>
    </row>
    <row r="88">
      <c r="A88" s="9" t="inlineStr">
        <is>
          <t>T0363</t>
        </is>
      </c>
      <c r="B88" s="9" t="inlineStr">
        <is>
          <t>Granite Indemnity</t>
        </is>
      </c>
      <c r="C88" s="9" t="inlineStr">
        <is>
          <t>Property</t>
        </is>
      </c>
      <c r="D88" s="9" t="inlineStr">
        <is>
          <t>Europe</t>
        </is>
      </c>
      <c r="E88" s="9" t="inlineStr">
        <is>
          <t>Priya Nair</t>
        </is>
      </c>
      <c r="F88" s="9" t="inlineStr">
        <is>
          <t>Excess of Loss</t>
        </is>
      </c>
      <c r="G88" s="9" t="n">
        <v>2022</v>
      </c>
      <c r="H88" s="12" t="n">
        <v>49300000.002</v>
      </c>
      <c r="I88" s="12" t="n">
        <v>6072553.9296</v>
      </c>
      <c r="J88" s="12" t="n">
        <v>613800.1152000001</v>
      </c>
      <c r="K88" s="12" t="n">
        <v>6072553.9296</v>
      </c>
      <c r="L88" s="12" t="n">
        <v>500281.92</v>
      </c>
      <c r="M88" s="9" t="n">
        <v>12</v>
      </c>
      <c r="N88" s="12" t="n">
        <v>3395984.724</v>
      </c>
      <c r="O88" s="12" t="n">
        <v>3665130.0444</v>
      </c>
      <c r="P88" s="12" t="n">
        <v>49300000.002</v>
      </c>
      <c r="Q88" s="9" t="inlineStr">
        <is>
          <t>Low</t>
        </is>
      </c>
      <c r="R88" s="11">
        <f>IFERROR(O88/K88,0)</f>
        <v/>
      </c>
    </row>
    <row r="89">
      <c r="A89" s="9" t="inlineStr">
        <is>
          <t>T0364</t>
        </is>
      </c>
      <c r="B89" s="9" t="inlineStr">
        <is>
          <t>Pioneer Insurance</t>
        </is>
      </c>
      <c r="C89" s="9" t="inlineStr">
        <is>
          <t>Specialty</t>
        </is>
      </c>
      <c r="D89" s="9" t="inlineStr">
        <is>
          <t>Europe</t>
        </is>
      </c>
      <c r="E89" s="9" t="inlineStr">
        <is>
          <t>Carlos Ibarra</t>
        </is>
      </c>
      <c r="F89" s="9" t="inlineStr">
        <is>
          <t>Excess of Loss</t>
        </is>
      </c>
      <c r="G89" s="9" t="n">
        <v>2023</v>
      </c>
      <c r="H89" s="12" t="n">
        <v>16800000.0048</v>
      </c>
      <c r="I89" s="12" t="n">
        <v>1754163.7344</v>
      </c>
      <c r="J89" s="12" t="n">
        <v>149178.4128</v>
      </c>
      <c r="K89" s="12" t="n">
        <v>1754163.7344</v>
      </c>
      <c r="L89" s="12" t="n">
        <v>89662.59360000001</v>
      </c>
      <c r="M89" s="9" t="n">
        <v>5</v>
      </c>
      <c r="N89" s="12" t="n">
        <v>827513.4204000001</v>
      </c>
      <c r="O89" s="12" t="n">
        <v>1158744.2256</v>
      </c>
      <c r="P89" s="12" t="n">
        <v>16800000.0048</v>
      </c>
      <c r="Q89" s="9" t="inlineStr">
        <is>
          <t>Low</t>
        </is>
      </c>
      <c r="R89" s="11">
        <f>IFERROR(O89/K89,0)</f>
        <v/>
      </c>
    </row>
    <row r="90">
      <c r="A90" s="9" t="inlineStr">
        <is>
          <t>T0365</t>
        </is>
      </c>
      <c r="B90" s="9" t="inlineStr">
        <is>
          <t>Meridian Indemnity</t>
        </is>
      </c>
      <c r="C90" s="9" t="inlineStr">
        <is>
          <t>Specialty</t>
        </is>
      </c>
      <c r="D90" s="9" t="inlineStr">
        <is>
          <t>Europe</t>
        </is>
      </c>
      <c r="E90" s="9" t="inlineStr">
        <is>
          <t>James Whitfield</t>
        </is>
      </c>
      <c r="F90" s="9" t="inlineStr">
        <is>
          <t>Excess of Loss</t>
        </is>
      </c>
      <c r="G90" s="9" t="n">
        <v>2025</v>
      </c>
      <c r="H90" s="12" t="n">
        <v>22600000.0044</v>
      </c>
      <c r="I90" s="12" t="n">
        <v>2593472.3856</v>
      </c>
      <c r="J90" s="12" t="n">
        <v>294691.3488</v>
      </c>
      <c r="K90" s="12" t="n">
        <v>2593472.3856</v>
      </c>
      <c r="L90" s="12" t="n">
        <v>204830.208</v>
      </c>
      <c r="M90" s="9" t="n">
        <v>9</v>
      </c>
      <c r="N90" s="12" t="n">
        <v>596606.4072</v>
      </c>
      <c r="O90" s="12" t="n">
        <v>1066248.576</v>
      </c>
      <c r="P90" s="12" t="n">
        <v>22600000.0044</v>
      </c>
      <c r="Q90" s="9" t="inlineStr">
        <is>
          <t>Low</t>
        </is>
      </c>
      <c r="R90" s="11">
        <f>IFERROR(O90/K90,0)</f>
        <v/>
      </c>
    </row>
    <row r="91">
      <c r="A91" s="9" t="inlineStr">
        <is>
          <t>T0368</t>
        </is>
      </c>
      <c r="B91" s="9" t="inlineStr">
        <is>
          <t>Granite Mutual</t>
        </is>
      </c>
      <c r="C91" s="9" t="inlineStr">
        <is>
          <t>Financial Lines</t>
        </is>
      </c>
      <c r="D91" s="9" t="inlineStr">
        <is>
          <t>Europe</t>
        </is>
      </c>
      <c r="E91" s="9" t="inlineStr">
        <is>
          <t>Omar Haddad</t>
        </is>
      </c>
      <c r="F91" s="9" t="inlineStr">
        <is>
          <t>Proportional</t>
        </is>
      </c>
      <c r="G91" s="9" t="n">
        <v>2023</v>
      </c>
      <c r="H91" s="12" t="n">
        <v>10599999.9963</v>
      </c>
      <c r="I91" s="12" t="n">
        <v>1112266.254</v>
      </c>
      <c r="J91" s="12" t="n">
        <v>78455.0628</v>
      </c>
      <c r="K91" s="12" t="n">
        <v>1112266.254</v>
      </c>
      <c r="L91" s="12" t="n">
        <v>343269.7224</v>
      </c>
      <c r="M91" s="9" t="n">
        <v>4</v>
      </c>
      <c r="N91" s="12" t="n">
        <v>787537.1981</v>
      </c>
      <c r="O91" s="12" t="n">
        <v>787537.1981</v>
      </c>
      <c r="P91" s="12" t="n">
        <v>3180000.0027</v>
      </c>
      <c r="Q91" s="9" t="inlineStr">
        <is>
          <t>Low</t>
        </is>
      </c>
      <c r="R91" s="11">
        <f>IFERROR(O91/K91,0)</f>
        <v/>
      </c>
    </row>
    <row r="92">
      <c r="A92" s="9" t="inlineStr">
        <is>
          <t>T0370</t>
        </is>
      </c>
      <c r="B92" s="9" t="inlineStr">
        <is>
          <t>Atlas Mutual</t>
        </is>
      </c>
      <c r="C92" s="9" t="inlineStr">
        <is>
          <t>Property</t>
        </is>
      </c>
      <c r="D92" s="9" t="inlineStr">
        <is>
          <t>Europe</t>
        </is>
      </c>
      <c r="E92" s="9" t="inlineStr">
        <is>
          <t>Carlos Ibarra</t>
        </is>
      </c>
      <c r="F92" s="9" t="inlineStr">
        <is>
          <t>Excess of Loss</t>
        </is>
      </c>
      <c r="G92" s="9" t="n">
        <v>2024</v>
      </c>
      <c r="H92" s="12" t="n">
        <v>24099999.9948</v>
      </c>
      <c r="I92" s="12" t="n">
        <v>1914163.6176</v>
      </c>
      <c r="J92" s="12" t="n">
        <v>125859.4848</v>
      </c>
      <c r="K92" s="12" t="n">
        <v>1914163.6176</v>
      </c>
      <c r="L92" s="12" t="n">
        <v>148478.7024</v>
      </c>
      <c r="M92" s="9" t="n">
        <v>12</v>
      </c>
      <c r="N92" s="12" t="n">
        <v>663388.974</v>
      </c>
      <c r="O92" s="12" t="n">
        <v>863481.5676000001</v>
      </c>
      <c r="P92" s="12" t="n">
        <v>24099999.9948</v>
      </c>
      <c r="Q92" s="9" t="inlineStr">
        <is>
          <t>Low</t>
        </is>
      </c>
      <c r="R92" s="11">
        <f>IFERROR(O92/K92,0)</f>
        <v/>
      </c>
    </row>
    <row r="93">
      <c r="A93" s="9" t="inlineStr">
        <is>
          <t>T0372</t>
        </is>
      </c>
      <c r="B93" s="9" t="inlineStr">
        <is>
          <t>Meridian Assurance</t>
        </is>
      </c>
      <c r="C93" s="9" t="inlineStr">
        <is>
          <t>Specialty</t>
        </is>
      </c>
      <c r="D93" s="9" t="inlineStr">
        <is>
          <t>Europe</t>
        </is>
      </c>
      <c r="E93" s="9" t="inlineStr">
        <is>
          <t>Kenji Sato</t>
        </is>
      </c>
      <c r="F93" s="9" t="inlineStr">
        <is>
          <t>Excess of Loss</t>
        </is>
      </c>
      <c r="G93" s="9" t="n">
        <v>2025</v>
      </c>
      <c r="H93" s="12" t="n">
        <v>52400000.0016</v>
      </c>
      <c r="I93" s="12" t="n">
        <v>7542036.489600001</v>
      </c>
      <c r="J93" s="12" t="n">
        <v>807323.3711999999</v>
      </c>
      <c r="K93" s="12" t="n">
        <v>7542036.489600001</v>
      </c>
      <c r="L93" s="12" t="n">
        <v>581623.0272000001</v>
      </c>
      <c r="M93" s="9" t="n">
        <v>5</v>
      </c>
      <c r="N93" s="12" t="n">
        <v>5697372.5568</v>
      </c>
      <c r="O93" s="12" t="n">
        <v>6672678.804</v>
      </c>
      <c r="P93" s="12" t="n">
        <v>52400000.0016</v>
      </c>
      <c r="Q93" s="9" t="inlineStr">
        <is>
          <t>Low</t>
        </is>
      </c>
      <c r="R93" s="11">
        <f>IFERROR(O93/K93,0)</f>
        <v/>
      </c>
    </row>
    <row r="94">
      <c r="A94" s="9" t="inlineStr">
        <is>
          <t>T0374</t>
        </is>
      </c>
      <c r="B94" s="9" t="inlineStr">
        <is>
          <t>Meridian Assurance</t>
        </is>
      </c>
      <c r="C94" s="9" t="inlineStr">
        <is>
          <t>Property</t>
        </is>
      </c>
      <c r="D94" s="9" t="inlineStr">
        <is>
          <t>Europe</t>
        </is>
      </c>
      <c r="E94" s="9" t="inlineStr">
        <is>
          <t>Carlos Ibarra</t>
        </is>
      </c>
      <c r="F94" s="9" t="inlineStr">
        <is>
          <t>Proportional</t>
        </is>
      </c>
      <c r="G94" s="9" t="n">
        <v>2025</v>
      </c>
      <c r="H94" s="12" t="n">
        <v>10800000</v>
      </c>
      <c r="I94" s="12" t="n">
        <v>923836.4388</v>
      </c>
      <c r="J94" s="12" t="n">
        <v>101699.5716</v>
      </c>
      <c r="K94" s="12" t="n">
        <v>893041.8912</v>
      </c>
      <c r="L94" s="12" t="n">
        <v>210198.4276447345</v>
      </c>
      <c r="M94" s="9" t="n">
        <v>11</v>
      </c>
      <c r="N94" s="12" t="n">
        <v>148189.3164</v>
      </c>
      <c r="O94" s="12" t="n">
        <v>414836.4564</v>
      </c>
      <c r="P94" s="12" t="n">
        <v>3240000</v>
      </c>
      <c r="Q94" s="9" t="inlineStr">
        <is>
          <t>Low</t>
        </is>
      </c>
      <c r="R94" s="11">
        <f>IFERROR(O94/K94,0)</f>
        <v/>
      </c>
    </row>
    <row r="95">
      <c r="A95" s="9" t="inlineStr">
        <is>
          <t>T0380</t>
        </is>
      </c>
      <c r="B95" s="9" t="inlineStr">
        <is>
          <t>Vantage Assurance</t>
        </is>
      </c>
      <c r="C95" s="9" t="inlineStr">
        <is>
          <t>Property</t>
        </is>
      </c>
      <c r="D95" s="9" t="inlineStr">
        <is>
          <t>Europe</t>
        </is>
      </c>
      <c r="E95" s="9" t="inlineStr">
        <is>
          <t>Aarav Mehta</t>
        </is>
      </c>
      <c r="F95" s="9" t="inlineStr">
        <is>
          <t>Excess of Loss</t>
        </is>
      </c>
      <c r="G95" s="9" t="n">
        <v>2021</v>
      </c>
      <c r="H95" s="12" t="n">
        <v>22099999.9968</v>
      </c>
      <c r="I95" s="12" t="n">
        <v>2037303.576</v>
      </c>
      <c r="J95" s="12" t="n">
        <v>205433.6256</v>
      </c>
      <c r="K95" s="12" t="n">
        <v>2037303.576</v>
      </c>
      <c r="L95" s="12" t="n">
        <v>135371.088</v>
      </c>
      <c r="M95" s="9" t="n">
        <v>12</v>
      </c>
      <c r="N95" s="12" t="n">
        <v>561426.9732</v>
      </c>
      <c r="O95" s="12" t="n">
        <v>838992.0600000001</v>
      </c>
      <c r="P95" s="12" t="n">
        <v>22099999.9968</v>
      </c>
      <c r="Q95" s="9" t="inlineStr">
        <is>
          <t>Low</t>
        </is>
      </c>
      <c r="R95" s="11">
        <f>IFERROR(O95/K95,0)</f>
        <v/>
      </c>
    </row>
    <row r="96">
      <c r="A96" s="9" t="inlineStr">
        <is>
          <t>T0382</t>
        </is>
      </c>
      <c r="B96" s="9" t="inlineStr">
        <is>
          <t>Pioneer Insurance</t>
        </is>
      </c>
      <c r="C96" s="9" t="inlineStr">
        <is>
          <t>Casualty</t>
        </is>
      </c>
      <c r="D96" s="9" t="inlineStr">
        <is>
          <t>Europe</t>
        </is>
      </c>
      <c r="E96" s="9" t="inlineStr">
        <is>
          <t>Kenji Sato</t>
        </is>
      </c>
      <c r="F96" s="9" t="inlineStr">
        <is>
          <t>Proportional</t>
        </is>
      </c>
      <c r="G96" s="9" t="n">
        <v>2024</v>
      </c>
      <c r="H96" s="12" t="n">
        <v>4900000.0032</v>
      </c>
      <c r="I96" s="12" t="n">
        <v>905223.6000000001</v>
      </c>
      <c r="J96" s="12" t="n">
        <v>57306.7872</v>
      </c>
      <c r="K96" s="12" t="n">
        <v>905223.6000000001</v>
      </c>
      <c r="L96" s="12" t="n">
        <v>246654.8496</v>
      </c>
      <c r="M96" s="9" t="n">
        <v>11</v>
      </c>
      <c r="N96" s="12" t="n">
        <v>574893.1908000001</v>
      </c>
      <c r="O96" s="12" t="n">
        <v>804549.1320000001</v>
      </c>
      <c r="P96" s="12" t="n">
        <v>1959999.9948</v>
      </c>
      <c r="Q96" s="9" t="inlineStr">
        <is>
          <t>Low</t>
        </is>
      </c>
      <c r="R96" s="11">
        <f>IFERROR(O96/K96,0)</f>
        <v/>
      </c>
    </row>
    <row r="97">
      <c r="A97" s="9" t="inlineStr">
        <is>
          <t>T0384</t>
        </is>
      </c>
      <c r="B97" s="9" t="inlineStr">
        <is>
          <t>Pioneer Insurance</t>
        </is>
      </c>
      <c r="C97" s="9" t="inlineStr">
        <is>
          <t>Specialty</t>
        </is>
      </c>
      <c r="D97" s="9" t="inlineStr">
        <is>
          <t>Europe</t>
        </is>
      </c>
      <c r="E97" s="9" t="inlineStr">
        <is>
          <t>Carlos Ibarra</t>
        </is>
      </c>
      <c r="F97" s="9" t="inlineStr">
        <is>
          <t>Proportional</t>
        </is>
      </c>
      <c r="G97" s="9" t="n">
        <v>2022</v>
      </c>
      <c r="H97" s="12" t="n">
        <v>21999999.9996</v>
      </c>
      <c r="I97" s="12" t="n">
        <v>2208532.9104</v>
      </c>
      <c r="J97" s="12" t="n">
        <v>157122.8928</v>
      </c>
      <c r="K97" s="12" t="n">
        <v>2208532.9104</v>
      </c>
      <c r="L97" s="12" t="n">
        <v>618972.4512</v>
      </c>
      <c r="M97" s="9" t="n">
        <v>10</v>
      </c>
      <c r="N97" s="12" t="n">
        <v>708173.2476</v>
      </c>
      <c r="O97" s="12" t="n">
        <v>1049638.1004</v>
      </c>
      <c r="P97" s="12" t="n">
        <v>2200000.0032</v>
      </c>
      <c r="Q97" s="9" t="inlineStr">
        <is>
          <t>Low</t>
        </is>
      </c>
      <c r="R97" s="11">
        <f>IFERROR(O97/K97,0)</f>
        <v/>
      </c>
    </row>
    <row r="98">
      <c r="A98" s="9" t="inlineStr">
        <is>
          <t>T0386</t>
        </is>
      </c>
      <c r="B98" s="9" t="inlineStr">
        <is>
          <t>Sterling Indemnity</t>
        </is>
      </c>
      <c r="C98" s="9" t="inlineStr">
        <is>
          <t>Property</t>
        </is>
      </c>
      <c r="D98" s="9" t="inlineStr">
        <is>
          <t>Europe</t>
        </is>
      </c>
      <c r="E98" s="9" t="inlineStr">
        <is>
          <t>Carlos Ibarra</t>
        </is>
      </c>
      <c r="F98" s="9" t="inlineStr">
        <is>
          <t>Proportional</t>
        </is>
      </c>
      <c r="G98" s="9" t="n">
        <v>2023</v>
      </c>
      <c r="H98" s="12" t="n">
        <v>20599999.9956</v>
      </c>
      <c r="I98" s="12" t="n">
        <v>2349092.664</v>
      </c>
      <c r="J98" s="12" t="n">
        <v>185911.7184</v>
      </c>
      <c r="K98" s="12" t="n">
        <v>2349092.664</v>
      </c>
      <c r="L98" s="12" t="n">
        <v>528916.9104000001</v>
      </c>
      <c r="M98" s="9" t="n">
        <v>10</v>
      </c>
      <c r="N98" s="12" t="n">
        <v>1485510.4188</v>
      </c>
      <c r="O98" s="12" t="n">
        <v>1485510.4188</v>
      </c>
      <c r="P98" s="12" t="n">
        <v>4119999.9948</v>
      </c>
      <c r="Q98" s="9" t="inlineStr">
        <is>
          <t>Low</t>
        </is>
      </c>
      <c r="R98" s="11">
        <f>IFERROR(O98/K98,0)</f>
        <v/>
      </c>
    </row>
    <row r="99">
      <c r="A99" s="9" t="inlineStr">
        <is>
          <t>T0398</t>
        </is>
      </c>
      <c r="B99" s="9" t="inlineStr">
        <is>
          <t>Vantage Insurance</t>
        </is>
      </c>
      <c r="C99" s="9" t="inlineStr">
        <is>
          <t>Property</t>
        </is>
      </c>
      <c r="D99" s="9" t="inlineStr">
        <is>
          <t>Europe</t>
        </is>
      </c>
      <c r="E99" s="9" t="inlineStr">
        <is>
          <t>James Whitfield</t>
        </is>
      </c>
      <c r="F99" s="9" t="inlineStr">
        <is>
          <t>Proportional</t>
        </is>
      </c>
      <c r="G99" s="9" t="n">
        <v>2024</v>
      </c>
      <c r="H99" s="12" t="n">
        <v>8400000.002400002</v>
      </c>
      <c r="I99" s="12" t="n">
        <v>1247664.7728</v>
      </c>
      <c r="J99" s="12" t="n">
        <v>124608.8448</v>
      </c>
      <c r="K99" s="12" t="n">
        <v>1247664.7728</v>
      </c>
      <c r="L99" s="12" t="n">
        <v>303917.7024</v>
      </c>
      <c r="M99" s="9" t="n">
        <v>6</v>
      </c>
      <c r="N99" s="12" t="n">
        <v>1040488.2216</v>
      </c>
      <c r="O99" s="12" t="n">
        <v>1183490.0172</v>
      </c>
      <c r="P99" s="12" t="n">
        <v>2099999.9952</v>
      </c>
      <c r="Q99" s="9" t="inlineStr">
        <is>
          <t>Low</t>
        </is>
      </c>
      <c r="R99" s="11">
        <f>IFERROR(O99/K99,0)</f>
        <v/>
      </c>
    </row>
    <row r="100">
      <c r="A100" s="9" t="inlineStr">
        <is>
          <t>T0406</t>
        </is>
      </c>
      <c r="B100" s="9" t="inlineStr">
        <is>
          <t>Granite Mutual</t>
        </is>
      </c>
      <c r="C100" s="9" t="inlineStr">
        <is>
          <t>Specialty</t>
        </is>
      </c>
      <c r="D100" s="9" t="inlineStr">
        <is>
          <t>Europe</t>
        </is>
      </c>
      <c r="E100" s="9" t="inlineStr">
        <is>
          <t>James Whitfield</t>
        </is>
      </c>
      <c r="F100" s="9" t="inlineStr">
        <is>
          <t>Proportional</t>
        </is>
      </c>
      <c r="G100" s="9" t="n">
        <v>2025</v>
      </c>
      <c r="H100" s="12" t="n">
        <v>12100000.0062</v>
      </c>
      <c r="I100" s="12" t="n">
        <v>1161585.3324</v>
      </c>
      <c r="J100" s="12" t="n">
        <v>78143.2524</v>
      </c>
      <c r="K100" s="12" t="n">
        <v>1161585.3324</v>
      </c>
      <c r="L100" s="12" t="n">
        <v>362557.6188</v>
      </c>
      <c r="M100" s="9" t="n">
        <v>8</v>
      </c>
      <c r="N100" s="12" t="n">
        <v>187989.7053</v>
      </c>
      <c r="O100" s="12" t="n">
        <v>535980.3859999999</v>
      </c>
      <c r="P100" s="12" t="n">
        <v>1210000.0057</v>
      </c>
      <c r="Q100" s="9" t="inlineStr">
        <is>
          <t>Low</t>
        </is>
      </c>
      <c r="R100" s="11">
        <f>IFERROR(O100/K100,0)</f>
        <v/>
      </c>
    </row>
    <row r="101">
      <c r="A101" s="9" t="inlineStr">
        <is>
          <t>T0407</t>
        </is>
      </c>
      <c r="B101" s="9" t="inlineStr">
        <is>
          <t>Sterling Mutual</t>
        </is>
      </c>
      <c r="C101" s="9" t="inlineStr">
        <is>
          <t>Casualty</t>
        </is>
      </c>
      <c r="D101" s="9" t="inlineStr">
        <is>
          <t>Europe</t>
        </is>
      </c>
      <c r="E101" s="9" t="inlineStr">
        <is>
          <t>Hannah Weber</t>
        </is>
      </c>
      <c r="F101" s="9" t="inlineStr">
        <is>
          <t>Excess of Loss</t>
        </is>
      </c>
      <c r="G101" s="9" t="n">
        <v>2025</v>
      </c>
      <c r="H101" s="12" t="n">
        <v>32700000.005</v>
      </c>
      <c r="I101" s="12" t="n">
        <v>2626525.4556</v>
      </c>
      <c r="J101" s="12" t="n">
        <v>186138.0072</v>
      </c>
      <c r="K101" s="12" t="n">
        <v>2626525.4556</v>
      </c>
      <c r="L101" s="12" t="n">
        <v>139110.72</v>
      </c>
      <c r="M101" s="9" t="n">
        <v>11</v>
      </c>
      <c r="N101" s="12" t="n">
        <v>774550.9782</v>
      </c>
      <c r="O101" s="12" t="n">
        <v>1235763.9369</v>
      </c>
      <c r="P101" s="12" t="n">
        <v>32700000.005</v>
      </c>
      <c r="Q101" s="9" t="inlineStr">
        <is>
          <t>Low</t>
        </is>
      </c>
      <c r="R101" s="11">
        <f>IFERROR(O101/K101,0)</f>
        <v/>
      </c>
    </row>
    <row r="102">
      <c r="A102" s="9" t="inlineStr">
        <is>
          <t>T0409</t>
        </is>
      </c>
      <c r="B102" s="9" t="inlineStr">
        <is>
          <t>Pioneer Insurance</t>
        </is>
      </c>
      <c r="C102" s="9" t="inlineStr">
        <is>
          <t>Casualty</t>
        </is>
      </c>
      <c r="D102" s="9" t="inlineStr">
        <is>
          <t>Europe</t>
        </is>
      </c>
      <c r="E102" s="9" t="inlineStr">
        <is>
          <t>Aarav Mehta</t>
        </is>
      </c>
      <c r="F102" s="9" t="inlineStr">
        <is>
          <t>Proportional</t>
        </is>
      </c>
      <c r="G102" s="9" t="n">
        <v>2025</v>
      </c>
      <c r="H102" s="12" t="n">
        <v>8700000.004799999</v>
      </c>
      <c r="I102" s="12" t="n">
        <v>661184.9856</v>
      </c>
      <c r="J102" s="12" t="n">
        <v>47670.6384</v>
      </c>
      <c r="K102" s="12" t="n">
        <v>661184.9856</v>
      </c>
      <c r="L102" s="12" t="n">
        <v>203942.448</v>
      </c>
      <c r="M102" s="9" t="n">
        <v>5</v>
      </c>
      <c r="N102" s="12" t="n">
        <v>197065.2456</v>
      </c>
      <c r="O102" s="12" t="n">
        <v>410455.0044</v>
      </c>
      <c r="P102" s="12" t="n">
        <v>2610000.0036</v>
      </c>
      <c r="Q102" s="9" t="inlineStr">
        <is>
          <t>Low</t>
        </is>
      </c>
      <c r="R102" s="11">
        <f>IFERROR(O102/K102,0)</f>
        <v/>
      </c>
    </row>
    <row r="103">
      <c r="A103" s="9" t="inlineStr">
        <is>
          <t>T0411</t>
        </is>
      </c>
      <c r="B103" s="9" t="inlineStr">
        <is>
          <t>Vantage Assurance</t>
        </is>
      </c>
      <c r="C103" s="9" t="inlineStr">
        <is>
          <t>Property</t>
        </is>
      </c>
      <c r="D103" s="9" t="inlineStr">
        <is>
          <t>Europe</t>
        </is>
      </c>
      <c r="E103" s="9" t="inlineStr">
        <is>
          <t>Sophie Laurent</t>
        </is>
      </c>
      <c r="F103" s="9" t="inlineStr">
        <is>
          <t>Proportional</t>
        </is>
      </c>
      <c r="G103" s="9" t="n">
        <v>2022</v>
      </c>
      <c r="H103" s="12" t="n">
        <v>15599999.9952</v>
      </c>
      <c r="I103" s="12" t="n">
        <v>1715590.1088</v>
      </c>
      <c r="J103" s="12" t="n">
        <v>141467.2128</v>
      </c>
      <c r="K103" s="12" t="n">
        <v>1715590.1088</v>
      </c>
      <c r="L103" s="12" t="n">
        <v>537010.9488</v>
      </c>
      <c r="M103" s="9" t="n">
        <v>13</v>
      </c>
      <c r="N103" s="12" t="n">
        <v>681838.9596000001</v>
      </c>
      <c r="O103" s="12" t="n">
        <v>787885.1424000001</v>
      </c>
      <c r="P103" s="12" t="n">
        <v>2340000.0036</v>
      </c>
      <c r="Q103" s="9" t="inlineStr">
        <is>
          <t>Low</t>
        </is>
      </c>
      <c r="R103" s="11">
        <f>IFERROR(O103/K103,0)</f>
        <v/>
      </c>
    </row>
    <row r="104">
      <c r="A104" s="9" t="inlineStr">
        <is>
          <t>T0412</t>
        </is>
      </c>
      <c r="B104" s="9" t="inlineStr">
        <is>
          <t>Pioneer Insurance</t>
        </is>
      </c>
      <c r="C104" s="9" t="inlineStr">
        <is>
          <t>Casualty</t>
        </is>
      </c>
      <c r="D104" s="9" t="inlineStr">
        <is>
          <t>Europe</t>
        </is>
      </c>
      <c r="E104" s="9" t="inlineStr">
        <is>
          <t>Priya Nair</t>
        </is>
      </c>
      <c r="F104" s="9" t="inlineStr">
        <is>
          <t>Proportional</t>
        </is>
      </c>
      <c r="G104" s="9" t="n">
        <v>2023</v>
      </c>
      <c r="H104" s="12" t="n">
        <v>9200000.001600001</v>
      </c>
      <c r="I104" s="12" t="n">
        <v>827002.6128000001</v>
      </c>
      <c r="J104" s="12" t="n">
        <v>61881.1488</v>
      </c>
      <c r="K104" s="12" t="n">
        <v>827002.6128000001</v>
      </c>
      <c r="L104" s="12" t="n">
        <v>198580.248</v>
      </c>
      <c r="M104" s="9" t="n">
        <v>7</v>
      </c>
      <c r="N104" s="12" t="n">
        <v>463859.1252</v>
      </c>
      <c r="O104" s="12" t="n">
        <v>660364.11</v>
      </c>
      <c r="P104" s="12" t="n">
        <v>1839999.996</v>
      </c>
      <c r="Q104" s="9" t="inlineStr">
        <is>
          <t>Low</t>
        </is>
      </c>
      <c r="R104" s="11">
        <f>IFERROR(O104/K104,0)</f>
        <v/>
      </c>
    </row>
    <row r="105">
      <c r="A105" s="9" t="inlineStr">
        <is>
          <t>T0413</t>
        </is>
      </c>
      <c r="B105" s="9" t="inlineStr">
        <is>
          <t>Sterling Mutual</t>
        </is>
      </c>
      <c r="C105" s="9" t="inlineStr">
        <is>
          <t>Property</t>
        </is>
      </c>
      <c r="D105" s="9" t="inlineStr">
        <is>
          <t>Europe</t>
        </is>
      </c>
      <c r="E105" s="9" t="inlineStr">
        <is>
          <t>Sophie Laurent</t>
        </is>
      </c>
      <c r="F105" s="9" t="inlineStr">
        <is>
          <t>Excess of Loss</t>
        </is>
      </c>
      <c r="G105" s="9" t="n">
        <v>2025</v>
      </c>
      <c r="H105" s="12" t="n">
        <v>14400000.0036</v>
      </c>
      <c r="I105" s="12" t="n">
        <v>1804238.7588</v>
      </c>
      <c r="J105" s="12" t="n">
        <v>108872.7312</v>
      </c>
      <c r="K105" s="12" t="n">
        <v>1804238.7588</v>
      </c>
      <c r="L105" s="12" t="n">
        <v>149387.6616</v>
      </c>
      <c r="M105" s="9" t="n">
        <v>5</v>
      </c>
      <c r="N105" s="12" t="n">
        <v>339030.6148</v>
      </c>
      <c r="O105" s="12" t="n">
        <v>917780.613</v>
      </c>
      <c r="P105" s="12" t="n">
        <v>14400000.0036</v>
      </c>
      <c r="Q105" s="9" t="inlineStr">
        <is>
          <t>Low</t>
        </is>
      </c>
      <c r="R105" s="11">
        <f>IFERROR(O105/K105,0)</f>
        <v/>
      </c>
    </row>
    <row r="106">
      <c r="A106" s="9" t="inlineStr">
        <is>
          <t>T0417</t>
        </is>
      </c>
      <c r="B106" s="9" t="inlineStr">
        <is>
          <t>Meridian Indemnity</t>
        </is>
      </c>
      <c r="C106" s="9" t="inlineStr">
        <is>
          <t>Property</t>
        </is>
      </c>
      <c r="D106" s="9" t="inlineStr">
        <is>
          <t>Europe</t>
        </is>
      </c>
      <c r="E106" s="9" t="inlineStr">
        <is>
          <t>Sophie Laurent</t>
        </is>
      </c>
      <c r="F106" s="9" t="inlineStr">
        <is>
          <t>Excess of Loss</t>
        </is>
      </c>
      <c r="G106" s="9" t="n">
        <v>2024</v>
      </c>
      <c r="H106" s="12" t="n">
        <v>35199999.9972</v>
      </c>
      <c r="I106" s="12" t="n">
        <v>5876179.7328</v>
      </c>
      <c r="J106" s="12" t="n">
        <v>621290.8656000001</v>
      </c>
      <c r="K106" s="12" t="n">
        <v>5876179.7328</v>
      </c>
      <c r="L106" s="12" t="n">
        <v>316515.4704</v>
      </c>
      <c r="M106" s="9" t="n">
        <v>5</v>
      </c>
      <c r="N106" s="12" t="n">
        <v>2815255.0944</v>
      </c>
      <c r="O106" s="12" t="n">
        <v>5006661.008400001</v>
      </c>
      <c r="P106" s="12" t="n">
        <v>35199999.9972</v>
      </c>
      <c r="Q106" s="9" t="inlineStr">
        <is>
          <t>Low</t>
        </is>
      </c>
      <c r="R106" s="11">
        <f>IFERROR(O106/K106,0)</f>
        <v/>
      </c>
    </row>
    <row r="107">
      <c r="A107" s="9" t="inlineStr">
        <is>
          <t>T0420</t>
        </is>
      </c>
      <c r="B107" s="9" t="inlineStr">
        <is>
          <t>Cobalt Assurance</t>
        </is>
      </c>
      <c r="C107" s="9" t="inlineStr">
        <is>
          <t>Property</t>
        </is>
      </c>
      <c r="D107" s="9" t="inlineStr">
        <is>
          <t>Europe</t>
        </is>
      </c>
      <c r="E107" s="9" t="inlineStr">
        <is>
          <t>Kenji Sato</t>
        </is>
      </c>
      <c r="F107" s="9" t="inlineStr">
        <is>
          <t>Facultative</t>
        </is>
      </c>
      <c r="G107" s="9" t="n">
        <v>2023</v>
      </c>
      <c r="H107" s="12" t="n">
        <v>10899999.9972</v>
      </c>
      <c r="I107" s="12" t="n">
        <v>1406348.6976</v>
      </c>
      <c r="J107" s="12" t="n">
        <v>81413.6832</v>
      </c>
      <c r="K107" s="12" t="n">
        <v>1406348.6976</v>
      </c>
      <c r="L107" s="12" t="n">
        <v>228876.3216</v>
      </c>
      <c r="M107" s="9" t="n">
        <v>8</v>
      </c>
      <c r="N107" s="12" t="n">
        <v>710912.052</v>
      </c>
      <c r="O107" s="12" t="n">
        <v>715014.4212000001</v>
      </c>
      <c r="P107" s="12" t="n">
        <v>10899999.9972</v>
      </c>
      <c r="Q107" s="9" t="inlineStr">
        <is>
          <t>Low</t>
        </is>
      </c>
      <c r="R107" s="11">
        <f>IFERROR(O107/K107,0)</f>
        <v/>
      </c>
    </row>
    <row r="108">
      <c r="A108" s="9" t="inlineStr">
        <is>
          <t>T0434</t>
        </is>
      </c>
      <c r="B108" s="9" t="inlineStr">
        <is>
          <t>Meridian Indemnity</t>
        </is>
      </c>
      <c r="C108" s="9" t="inlineStr">
        <is>
          <t>Property</t>
        </is>
      </c>
      <c r="D108" s="9" t="inlineStr">
        <is>
          <t>Europe</t>
        </is>
      </c>
      <c r="E108" s="9" t="inlineStr">
        <is>
          <t>Hannah Weber</t>
        </is>
      </c>
      <c r="F108" s="9" t="inlineStr">
        <is>
          <t>Excess of Loss</t>
        </is>
      </c>
      <c r="G108" s="9" t="n">
        <v>2022</v>
      </c>
      <c r="H108" s="12" t="n">
        <v>14699999.9988</v>
      </c>
      <c r="I108" s="12" t="n">
        <v>1349236.9584</v>
      </c>
      <c r="J108" s="12" t="n">
        <v>119326.3488</v>
      </c>
      <c r="K108" s="12" t="n">
        <v>1349236.9584</v>
      </c>
      <c r="L108" s="12" t="n">
        <v>149521.7232</v>
      </c>
      <c r="M108" s="9" t="n">
        <v>9</v>
      </c>
      <c r="N108" s="12" t="n">
        <v>668198.1168000001</v>
      </c>
      <c r="O108" s="12" t="n">
        <v>668198.1168000001</v>
      </c>
      <c r="P108" s="12" t="n">
        <v>14699999.9988</v>
      </c>
      <c r="Q108" s="9" t="inlineStr">
        <is>
          <t>Low</t>
        </is>
      </c>
      <c r="R108" s="11">
        <f>IFERROR(O108/K108,0)</f>
        <v/>
      </c>
    </row>
    <row r="109">
      <c r="A109" s="9" t="inlineStr">
        <is>
          <t>T0447</t>
        </is>
      </c>
      <c r="B109" s="9" t="inlineStr">
        <is>
          <t>Pioneer Insurance</t>
        </is>
      </c>
      <c r="C109" s="9" t="inlineStr">
        <is>
          <t>Specialty</t>
        </is>
      </c>
      <c r="D109" s="9" t="inlineStr">
        <is>
          <t>Europe</t>
        </is>
      </c>
      <c r="E109" s="9" t="inlineStr">
        <is>
          <t>Priya Nair</t>
        </is>
      </c>
      <c r="F109" s="9" t="inlineStr">
        <is>
          <t>Proportional</t>
        </is>
      </c>
      <c r="G109" s="9" t="n">
        <v>2025</v>
      </c>
      <c r="H109" s="12" t="n">
        <v>33100000.002</v>
      </c>
      <c r="I109" s="12" t="n">
        <v>5151077.712</v>
      </c>
      <c r="J109" s="12" t="n">
        <v>365140.224</v>
      </c>
      <c r="K109" s="12" t="n">
        <v>5151077.712</v>
      </c>
      <c r="L109" s="12" t="n">
        <v>1486974.024</v>
      </c>
      <c r="M109" s="9" t="n">
        <v>11</v>
      </c>
      <c r="N109" s="12" t="n">
        <v>1086235.6284</v>
      </c>
      <c r="O109" s="12" t="n">
        <v>2579781.6144</v>
      </c>
      <c r="P109" s="12" t="n">
        <v>13240000.0008</v>
      </c>
      <c r="Q109" s="9" t="inlineStr">
        <is>
          <t>Low</t>
        </is>
      </c>
      <c r="R109" s="11">
        <f>IFERROR(O109/K109,0)</f>
        <v/>
      </c>
    </row>
    <row r="110">
      <c r="A110" s="9" t="inlineStr">
        <is>
          <t>T0448</t>
        </is>
      </c>
      <c r="B110" s="9" t="inlineStr">
        <is>
          <t>Summit Insurance</t>
        </is>
      </c>
      <c r="C110" s="9" t="inlineStr">
        <is>
          <t>Specialty</t>
        </is>
      </c>
      <c r="D110" s="9" t="inlineStr">
        <is>
          <t>Europe</t>
        </is>
      </c>
      <c r="E110" s="9" t="inlineStr">
        <is>
          <t>Carlos Ibarra</t>
        </is>
      </c>
      <c r="F110" s="9" t="inlineStr">
        <is>
          <t>Excess of Loss</t>
        </is>
      </c>
      <c r="G110" s="9" t="n">
        <v>2024</v>
      </c>
      <c r="H110" s="12" t="n">
        <v>8000000.002800001</v>
      </c>
      <c r="I110" s="12" t="n">
        <v>832300.4016</v>
      </c>
      <c r="J110" s="12" t="n">
        <v>74672.66880000001</v>
      </c>
      <c r="K110" s="12" t="n">
        <v>832300.4016</v>
      </c>
      <c r="L110" s="12" t="n">
        <v>63579.0384</v>
      </c>
      <c r="M110" s="9" t="n">
        <v>10</v>
      </c>
      <c r="N110" s="12" t="n">
        <v>273503.3364</v>
      </c>
      <c r="O110" s="12" t="n">
        <v>351128.9952</v>
      </c>
      <c r="P110" s="12" t="n">
        <v>8000000.002800001</v>
      </c>
      <c r="Q110" s="9" t="inlineStr">
        <is>
          <t>Low</t>
        </is>
      </c>
      <c r="R110" s="11">
        <f>IFERROR(O110/K110,0)</f>
        <v/>
      </c>
    </row>
    <row r="111">
      <c r="A111" s="9" t="inlineStr">
        <is>
          <t>T0460</t>
        </is>
      </c>
      <c r="B111" s="9" t="inlineStr">
        <is>
          <t>Cobalt Assurance</t>
        </is>
      </c>
      <c r="C111" s="9" t="inlineStr">
        <is>
          <t>Casualty</t>
        </is>
      </c>
      <c r="D111" s="9" t="inlineStr">
        <is>
          <t>Europe</t>
        </is>
      </c>
      <c r="E111" s="9" t="inlineStr">
        <is>
          <t>Kenji Sato</t>
        </is>
      </c>
      <c r="F111" s="9" t="inlineStr">
        <is>
          <t>Excess of Loss</t>
        </is>
      </c>
      <c r="G111" s="9" t="n">
        <v>2024</v>
      </c>
      <c r="H111" s="12" t="n">
        <v>21699999.9972</v>
      </c>
      <c r="I111" s="12" t="n">
        <v>2609807.688</v>
      </c>
      <c r="J111" s="12" t="n">
        <v>150262.6464</v>
      </c>
      <c r="K111" s="12" t="n">
        <v>2609807.688</v>
      </c>
      <c r="L111" s="12" t="n">
        <v>304048.8576000001</v>
      </c>
      <c r="M111" s="9" t="n">
        <v>8</v>
      </c>
      <c r="N111" s="12" t="n">
        <v>2410067.9412</v>
      </c>
      <c r="O111" s="12" t="n">
        <v>3089820.0708</v>
      </c>
      <c r="P111" s="12" t="n">
        <v>21699999.9972</v>
      </c>
      <c r="Q111" s="9" t="inlineStr">
        <is>
          <t>Low</t>
        </is>
      </c>
      <c r="R111" s="11">
        <f>IFERROR(O111/K111,0)</f>
        <v/>
      </c>
    </row>
    <row r="112">
      <c r="A112" s="9" t="inlineStr">
        <is>
          <t>T0462</t>
        </is>
      </c>
      <c r="B112" s="9" t="inlineStr">
        <is>
          <t>Sterling Mutual</t>
        </is>
      </c>
      <c r="C112" s="9" t="inlineStr">
        <is>
          <t>Property</t>
        </is>
      </c>
      <c r="D112" s="9" t="inlineStr">
        <is>
          <t>Europe</t>
        </is>
      </c>
      <c r="E112" s="9" t="inlineStr">
        <is>
          <t>Hannah Weber</t>
        </is>
      </c>
      <c r="F112" s="9" t="inlineStr">
        <is>
          <t>Excess of Loss</t>
        </is>
      </c>
      <c r="G112" s="9" t="n">
        <v>2024</v>
      </c>
      <c r="H112" s="12" t="n">
        <v>54900000.0042</v>
      </c>
      <c r="I112" s="12" t="n">
        <v>4316732.1336</v>
      </c>
      <c r="J112" s="12" t="n">
        <v>252242.7264</v>
      </c>
      <c r="K112" s="12" t="n">
        <v>4316732.1336</v>
      </c>
      <c r="L112" s="12" t="n">
        <v>218899.8924</v>
      </c>
      <c r="M112" s="9" t="n">
        <v>10</v>
      </c>
      <c r="N112" s="12" t="n">
        <v>2276664.5983</v>
      </c>
      <c r="O112" s="12" t="n">
        <v>2447102.9671</v>
      </c>
      <c r="P112" s="12" t="n">
        <v>54900000.0042</v>
      </c>
      <c r="Q112" s="9" t="inlineStr">
        <is>
          <t>Low</t>
        </is>
      </c>
      <c r="R112" s="11">
        <f>IFERROR(O112/K112,0)</f>
        <v/>
      </c>
    </row>
    <row r="113">
      <c r="A113" s="9" t="inlineStr">
        <is>
          <t>T0467</t>
        </is>
      </c>
      <c r="B113" s="9" t="inlineStr">
        <is>
          <t>Sterling Indemnity</t>
        </is>
      </c>
      <c r="C113" s="9" t="inlineStr">
        <is>
          <t>Property</t>
        </is>
      </c>
      <c r="D113" s="9" t="inlineStr">
        <is>
          <t>Europe</t>
        </is>
      </c>
      <c r="E113" s="9" t="inlineStr">
        <is>
          <t>Hannah Weber</t>
        </is>
      </c>
      <c r="F113" s="9" t="inlineStr">
        <is>
          <t>Proportional</t>
        </is>
      </c>
      <c r="G113" s="9" t="n">
        <v>2022</v>
      </c>
      <c r="H113" s="12" t="n">
        <v>15300000.0036</v>
      </c>
      <c r="I113" s="12" t="n">
        <v>2997820.8864</v>
      </c>
      <c r="J113" s="12" t="n">
        <v>164302.992</v>
      </c>
      <c r="K113" s="12" t="n">
        <v>2997820.8864</v>
      </c>
      <c r="L113" s="12" t="n">
        <v>714377.3615999999</v>
      </c>
      <c r="M113" s="9" t="n">
        <v>8</v>
      </c>
      <c r="N113" s="12" t="n">
        <v>1756900.0656</v>
      </c>
      <c r="O113" s="12" t="n">
        <v>1768850.1144</v>
      </c>
      <c r="P113" s="12" t="n">
        <v>1530000.0036</v>
      </c>
      <c r="Q113" s="9" t="inlineStr">
        <is>
          <t>Low</t>
        </is>
      </c>
      <c r="R113" s="11">
        <f>IFERROR(O113/K113,0)</f>
        <v/>
      </c>
    </row>
    <row r="114">
      <c r="A114" s="9" t="inlineStr">
        <is>
          <t>T0471</t>
        </is>
      </c>
      <c r="B114" s="9" t="inlineStr">
        <is>
          <t>Cobalt Mutual</t>
        </is>
      </c>
      <c r="C114" s="9" t="inlineStr">
        <is>
          <t>Property</t>
        </is>
      </c>
      <c r="D114" s="9" t="inlineStr">
        <is>
          <t>Europe</t>
        </is>
      </c>
      <c r="E114" s="9" t="inlineStr">
        <is>
          <t>Omar Haddad</t>
        </is>
      </c>
      <c r="F114" s="9" t="inlineStr">
        <is>
          <t>Proportional</t>
        </is>
      </c>
      <c r="G114" s="9" t="n">
        <v>2025</v>
      </c>
      <c r="H114" s="12" t="n">
        <v>11199999.9996</v>
      </c>
      <c r="I114" s="12" t="n">
        <v>1000724.8032</v>
      </c>
      <c r="J114" s="12" t="n">
        <v>87499.56960000002</v>
      </c>
      <c r="K114" s="12" t="n">
        <v>1000724.8032</v>
      </c>
      <c r="L114" s="12" t="n">
        <v>254354.6448</v>
      </c>
      <c r="M114" s="9" t="n">
        <v>11</v>
      </c>
      <c r="N114" s="12" t="n">
        <v>294387.8364</v>
      </c>
      <c r="O114" s="12" t="n">
        <v>429841.6524</v>
      </c>
      <c r="P114" s="12" t="n">
        <v>1120000.0032</v>
      </c>
      <c r="Q114" s="9" t="inlineStr">
        <is>
          <t>Low</t>
        </is>
      </c>
      <c r="R114" s="11">
        <f>IFERROR(O114/K114,0)</f>
        <v/>
      </c>
    </row>
    <row r="115">
      <c r="A115" s="9" t="inlineStr">
        <is>
          <t>T0473</t>
        </is>
      </c>
      <c r="B115" s="9" t="inlineStr">
        <is>
          <t>Sterling Mutual</t>
        </is>
      </c>
      <c r="C115" s="9" t="inlineStr">
        <is>
          <t>Property</t>
        </is>
      </c>
      <c r="D115" s="9" t="inlineStr">
        <is>
          <t>Europe</t>
        </is>
      </c>
      <c r="E115" s="9" t="inlineStr">
        <is>
          <t>Carlos Ibarra</t>
        </is>
      </c>
      <c r="F115" s="9" t="inlineStr">
        <is>
          <t>Excess of Loss</t>
        </is>
      </c>
      <c r="G115" s="9" t="n">
        <v>2024</v>
      </c>
      <c r="H115" s="12" t="n">
        <v>13500000.0002</v>
      </c>
      <c r="I115" s="12" t="n">
        <v>1695235.116</v>
      </c>
      <c r="J115" s="12" t="n">
        <v>127298.3484</v>
      </c>
      <c r="K115" s="12" t="n">
        <v>1695235.116</v>
      </c>
      <c r="L115" s="12" t="n">
        <v>180253.6908</v>
      </c>
      <c r="M115" s="9" t="n">
        <v>11</v>
      </c>
      <c r="N115" s="12" t="n">
        <v>731655.5597999999</v>
      </c>
      <c r="O115" s="12" t="n">
        <v>731655.5597999999</v>
      </c>
      <c r="P115" s="12" t="n">
        <v>13500000.0002</v>
      </c>
      <c r="Q115" s="9" t="inlineStr">
        <is>
          <t>Low</t>
        </is>
      </c>
      <c r="R115" s="11">
        <f>IFERROR(O115/K115,0)</f>
        <v/>
      </c>
    </row>
    <row r="116">
      <c r="A116" s="9" t="inlineStr">
        <is>
          <t>T0476</t>
        </is>
      </c>
      <c r="B116" s="9" t="inlineStr">
        <is>
          <t>Cobalt Mutual</t>
        </is>
      </c>
      <c r="C116" s="9" t="inlineStr">
        <is>
          <t>Casualty</t>
        </is>
      </c>
      <c r="D116" s="9" t="inlineStr">
        <is>
          <t>Europe</t>
        </is>
      </c>
      <c r="E116" s="9" t="inlineStr">
        <is>
          <t>Hannah Weber</t>
        </is>
      </c>
      <c r="F116" s="9" t="inlineStr">
        <is>
          <t>Excess of Loss</t>
        </is>
      </c>
      <c r="G116" s="9" t="n">
        <v>2021</v>
      </c>
      <c r="H116" s="12" t="n">
        <v>8899999.999200001</v>
      </c>
      <c r="I116" s="12" t="n">
        <v>815495.04</v>
      </c>
      <c r="J116" s="12" t="n">
        <v>75650.50079999999</v>
      </c>
      <c r="K116" s="12" t="n">
        <v>815495.04</v>
      </c>
      <c r="L116" s="12" t="n">
        <v>81844.73280000001</v>
      </c>
      <c r="M116" s="9" t="n">
        <v>6</v>
      </c>
      <c r="N116" s="12" t="n">
        <v>266041.5732</v>
      </c>
      <c r="O116" s="12" t="n">
        <v>280124.4276</v>
      </c>
      <c r="P116" s="12" t="n">
        <v>8899999.999200001</v>
      </c>
      <c r="Q116" s="9" t="inlineStr">
        <is>
          <t>Low</t>
        </is>
      </c>
      <c r="R116" s="11">
        <f>IFERROR(O116/K116,0)</f>
        <v/>
      </c>
    </row>
    <row r="117">
      <c r="A117" s="9" t="inlineStr">
        <is>
          <t>T0477</t>
        </is>
      </c>
      <c r="B117" s="9" t="inlineStr">
        <is>
          <t>Orion Mutual</t>
        </is>
      </c>
      <c r="C117" s="9" t="inlineStr">
        <is>
          <t>Property</t>
        </is>
      </c>
      <c r="D117" s="9" t="inlineStr">
        <is>
          <t>Europe</t>
        </is>
      </c>
      <c r="E117" s="9" t="inlineStr">
        <is>
          <t>Priya Nair</t>
        </is>
      </c>
      <c r="F117" s="9" t="inlineStr">
        <is>
          <t>Proportional</t>
        </is>
      </c>
      <c r="G117" s="9" t="n">
        <v>2022</v>
      </c>
      <c r="H117" s="12" t="n">
        <v>10800000</v>
      </c>
      <c r="I117" s="12" t="n">
        <v>889481.2176000001</v>
      </c>
      <c r="J117" s="12" t="n">
        <v>75501.5904</v>
      </c>
      <c r="K117" s="12" t="n">
        <v>889481.2176000001</v>
      </c>
      <c r="L117" s="12" t="n">
        <v>208913.7744</v>
      </c>
      <c r="M117" s="9" t="n">
        <v>12</v>
      </c>
      <c r="N117" s="12" t="n">
        <v>452231.2836000001</v>
      </c>
      <c r="O117" s="12" t="n">
        <v>484910.0424</v>
      </c>
      <c r="P117" s="12" t="n">
        <v>1080000</v>
      </c>
      <c r="Q117" s="9" t="inlineStr">
        <is>
          <t>Low</t>
        </is>
      </c>
      <c r="R117" s="11">
        <f>IFERROR(O117/K117,0)</f>
        <v/>
      </c>
    </row>
    <row r="118">
      <c r="A118" s="9" t="inlineStr">
        <is>
          <t>T0479</t>
        </is>
      </c>
      <c r="B118" s="9" t="inlineStr">
        <is>
          <t>Sterling Mutual</t>
        </is>
      </c>
      <c r="C118" s="9" t="inlineStr">
        <is>
          <t>Casualty</t>
        </is>
      </c>
      <c r="D118" s="9" t="inlineStr">
        <is>
          <t>Europe</t>
        </is>
      </c>
      <c r="E118" s="9" t="inlineStr">
        <is>
          <t>Hannah Weber</t>
        </is>
      </c>
      <c r="F118" s="9" t="inlineStr">
        <is>
          <t>Excess of Loss</t>
        </is>
      </c>
      <c r="G118" s="9" t="n">
        <v>2025</v>
      </c>
      <c r="H118" s="12" t="n">
        <v>4699999.998</v>
      </c>
      <c r="I118" s="12" t="n">
        <v>525402.3528</v>
      </c>
      <c r="J118" s="12" t="n">
        <v>44127.42</v>
      </c>
      <c r="K118" s="12" t="n">
        <v>525402.3528</v>
      </c>
      <c r="L118" s="12" t="n">
        <v>31637.3256</v>
      </c>
      <c r="M118" s="9" t="n">
        <v>11</v>
      </c>
      <c r="N118" s="12" t="n">
        <v>120954.3682</v>
      </c>
      <c r="O118" s="12" t="n">
        <v>338527.5678</v>
      </c>
      <c r="P118" s="12" t="n">
        <v>4699999.998</v>
      </c>
      <c r="Q118" s="9" t="inlineStr">
        <is>
          <t>Low</t>
        </is>
      </c>
      <c r="R118" s="11">
        <f>IFERROR(O118/K118,0)</f>
        <v/>
      </c>
    </row>
    <row r="119">
      <c r="A119" s="9" t="inlineStr">
        <is>
          <t>T0480</t>
        </is>
      </c>
      <c r="B119" s="9" t="inlineStr">
        <is>
          <t>Granite Indemnity</t>
        </is>
      </c>
      <c r="C119" s="9" t="inlineStr">
        <is>
          <t>Casualty</t>
        </is>
      </c>
      <c r="D119" s="9" t="inlineStr">
        <is>
          <t>Europe</t>
        </is>
      </c>
      <c r="E119" s="9" t="inlineStr">
        <is>
          <t>Kenji Sato</t>
        </is>
      </c>
      <c r="F119" s="9" t="inlineStr">
        <is>
          <t>Excess of Loss</t>
        </is>
      </c>
      <c r="G119" s="9" t="n">
        <v>2023</v>
      </c>
      <c r="H119" s="12" t="n">
        <v>8700000.004799999</v>
      </c>
      <c r="I119" s="12" t="n">
        <v>701826.768</v>
      </c>
      <c r="J119" s="12" t="n">
        <v>76268.69280000002</v>
      </c>
      <c r="K119" s="12" t="n">
        <v>701826.768</v>
      </c>
      <c r="L119" s="12" t="n">
        <v>38780.3376</v>
      </c>
      <c r="M119" s="9" t="n">
        <v>9</v>
      </c>
      <c r="N119" s="12" t="n">
        <v>393098.2056</v>
      </c>
      <c r="O119" s="12" t="n">
        <v>393098.2056</v>
      </c>
      <c r="P119" s="12" t="n">
        <v>8700000.004799999</v>
      </c>
      <c r="Q119" s="9" t="inlineStr">
        <is>
          <t>Low</t>
        </is>
      </c>
      <c r="R119" s="11">
        <f>IFERROR(O119/K119,0)</f>
        <v/>
      </c>
    </row>
    <row r="120">
      <c r="A120" s="9" t="inlineStr">
        <is>
          <t>T0484</t>
        </is>
      </c>
      <c r="B120" s="9" t="inlineStr">
        <is>
          <t>Meridian Assurance</t>
        </is>
      </c>
      <c r="C120" s="9" t="inlineStr">
        <is>
          <t>Property</t>
        </is>
      </c>
      <c r="D120" s="9" t="inlineStr">
        <is>
          <t>Europe</t>
        </is>
      </c>
      <c r="E120" s="9" t="inlineStr">
        <is>
          <t>Kenji Sato</t>
        </is>
      </c>
      <c r="F120" s="9" t="inlineStr">
        <is>
          <t>Excess of Loss</t>
        </is>
      </c>
      <c r="G120" s="9" t="n">
        <v>2024</v>
      </c>
      <c r="H120" s="12" t="n">
        <v>30999999.996</v>
      </c>
      <c r="I120" s="12" t="n">
        <v>4176902.7648</v>
      </c>
      <c r="J120" s="12" t="n">
        <v>492034.3056</v>
      </c>
      <c r="K120" s="12" t="n">
        <v>4176902.7648</v>
      </c>
      <c r="L120" s="12" t="n">
        <v>454046.472</v>
      </c>
      <c r="M120" s="9" t="n">
        <v>8</v>
      </c>
      <c r="N120" s="12" t="n">
        <v>4848846.4404</v>
      </c>
      <c r="O120" s="12" t="n">
        <v>4848846.4404</v>
      </c>
      <c r="P120" s="12" t="n">
        <v>30999999.996</v>
      </c>
      <c r="Q120" s="9" t="inlineStr">
        <is>
          <t>Low</t>
        </is>
      </c>
      <c r="R120" s="11">
        <f>IFERROR(O120/K120,0)</f>
        <v/>
      </c>
    </row>
    <row r="121">
      <c r="A121" s="9" t="inlineStr">
        <is>
          <t>T0485</t>
        </is>
      </c>
      <c r="B121" s="9" t="inlineStr">
        <is>
          <t>Summit Insurance</t>
        </is>
      </c>
      <c r="C121" s="9" t="inlineStr">
        <is>
          <t>Financial Lines</t>
        </is>
      </c>
      <c r="D121" s="9" t="inlineStr">
        <is>
          <t>Europe</t>
        </is>
      </c>
      <c r="E121" s="9" t="inlineStr">
        <is>
          <t>Kenji Sato</t>
        </is>
      </c>
      <c r="F121" s="9" t="inlineStr">
        <is>
          <t>Facultative</t>
        </is>
      </c>
      <c r="G121" s="9" t="n">
        <v>2025</v>
      </c>
      <c r="H121" s="12" t="n">
        <v>80900000.0028</v>
      </c>
      <c r="I121" s="12" t="n">
        <v>5812171.2</v>
      </c>
      <c r="J121" s="12" t="n">
        <v>683281.0080000001</v>
      </c>
      <c r="K121" s="12" t="n">
        <v>5812171.2</v>
      </c>
      <c r="L121" s="12" t="n">
        <v>1103154.8112</v>
      </c>
      <c r="M121" s="9" t="n">
        <v>14</v>
      </c>
      <c r="N121" s="12" t="n">
        <v>1443652.1028</v>
      </c>
      <c r="O121" s="12" t="n">
        <v>3016103.4396</v>
      </c>
      <c r="P121" s="12" t="n">
        <v>80900000.0028</v>
      </c>
      <c r="Q121" s="9" t="inlineStr">
        <is>
          <t>Low</t>
        </is>
      </c>
      <c r="R121" s="11">
        <f>IFERROR(O121/K121,0)</f>
        <v/>
      </c>
    </row>
    <row r="122">
      <c r="A122" s="9" t="inlineStr">
        <is>
          <t>T0489</t>
        </is>
      </c>
      <c r="B122" s="9" t="inlineStr">
        <is>
          <t>Pioneer Insurance</t>
        </is>
      </c>
      <c r="C122" s="9" t="inlineStr">
        <is>
          <t>Casualty</t>
        </is>
      </c>
      <c r="D122" s="9" t="inlineStr">
        <is>
          <t>Europe</t>
        </is>
      </c>
      <c r="E122" s="9" t="inlineStr">
        <is>
          <t>Omar Haddad</t>
        </is>
      </c>
      <c r="F122" s="9" t="inlineStr">
        <is>
          <t>Excess of Loss</t>
        </is>
      </c>
      <c r="G122" s="9" t="n">
        <v>2022</v>
      </c>
      <c r="H122" s="12" t="n">
        <v>43400000.0052</v>
      </c>
      <c r="I122" s="12" t="n">
        <v>3302583.7104</v>
      </c>
      <c r="J122" s="12" t="n">
        <v>333209.376</v>
      </c>
      <c r="K122" s="12" t="n">
        <v>3302583.7104</v>
      </c>
      <c r="L122" s="12" t="n">
        <v>230799.8448000001</v>
      </c>
      <c r="M122" s="9" t="n">
        <v>13</v>
      </c>
      <c r="N122" s="12" t="n">
        <v>1417147.002</v>
      </c>
      <c r="O122" s="12" t="n">
        <v>1488254.9364</v>
      </c>
      <c r="P122" s="12" t="n">
        <v>43400000.0052</v>
      </c>
      <c r="Q122" s="9" t="inlineStr">
        <is>
          <t>Low</t>
        </is>
      </c>
      <c r="R122" s="11">
        <f>IFERROR(O122/K122,0)</f>
        <v/>
      </c>
    </row>
    <row r="123">
      <c r="A123" s="9" t="inlineStr">
        <is>
          <t>T0490</t>
        </is>
      </c>
      <c r="B123" s="9" t="inlineStr">
        <is>
          <t>Sterling Indemnity</t>
        </is>
      </c>
      <c r="C123" s="9" t="inlineStr">
        <is>
          <t>Specialty</t>
        </is>
      </c>
      <c r="D123" s="9" t="inlineStr">
        <is>
          <t>Europe</t>
        </is>
      </c>
      <c r="E123" s="9" t="inlineStr">
        <is>
          <t>Aarav Mehta</t>
        </is>
      </c>
      <c r="F123" s="9" t="inlineStr">
        <is>
          <t>Excess of Loss</t>
        </is>
      </c>
      <c r="G123" s="9" t="n">
        <v>2025</v>
      </c>
      <c r="H123" s="12" t="n">
        <v>8499999.999600001</v>
      </c>
      <c r="I123" s="12" t="n">
        <v>791982.792</v>
      </c>
      <c r="J123" s="12" t="n">
        <v>65769.408</v>
      </c>
      <c r="K123" s="12" t="n">
        <v>755023.5936</v>
      </c>
      <c r="L123" s="12" t="n">
        <v>55095.95509491961</v>
      </c>
      <c r="M123" s="9" t="n">
        <v>6</v>
      </c>
      <c r="N123" s="12" t="n">
        <v>172043.3736</v>
      </c>
      <c r="O123" s="12" t="n">
        <v>498406.4892000001</v>
      </c>
      <c r="P123" s="12" t="n">
        <v>8499999.999600001</v>
      </c>
      <c r="Q123" s="9" t="inlineStr">
        <is>
          <t>Low</t>
        </is>
      </c>
      <c r="R123" s="11">
        <f>IFERROR(O123/K123,0)</f>
        <v/>
      </c>
    </row>
    <row r="124">
      <c r="A124" s="9" t="inlineStr">
        <is>
          <t>T0494</t>
        </is>
      </c>
      <c r="B124" s="9" t="inlineStr">
        <is>
          <t>Sterling Mutual</t>
        </is>
      </c>
      <c r="C124" s="9" t="inlineStr">
        <is>
          <t>Specialty</t>
        </is>
      </c>
      <c r="D124" s="9" t="inlineStr">
        <is>
          <t>Europe</t>
        </is>
      </c>
      <c r="E124" s="9" t="inlineStr">
        <is>
          <t>Aarav Mehta</t>
        </is>
      </c>
      <c r="F124" s="9" t="inlineStr">
        <is>
          <t>Proportional</t>
        </is>
      </c>
      <c r="G124" s="9" t="n">
        <v>2025</v>
      </c>
      <c r="H124" s="12" t="n">
        <v>8699999.999</v>
      </c>
      <c r="I124" s="12" t="n">
        <v>980900.3496000001</v>
      </c>
      <c r="J124" s="12" t="n">
        <v>93613.986</v>
      </c>
      <c r="K124" s="12" t="n">
        <v>970001.4636</v>
      </c>
      <c r="L124" s="12" t="n">
        <v>232284.4883686645</v>
      </c>
      <c r="M124" s="9" t="n">
        <v>8</v>
      </c>
      <c r="N124" s="12" t="n">
        <v>102384.9362</v>
      </c>
      <c r="O124" s="12" t="n">
        <v>258624.0192</v>
      </c>
      <c r="P124" s="12" t="n">
        <v>869999.9999000001</v>
      </c>
      <c r="Q124" s="9" t="inlineStr">
        <is>
          <t>Low</t>
        </is>
      </c>
      <c r="R124" s="11">
        <f>IFERROR(O124/K124,0)</f>
        <v/>
      </c>
    </row>
    <row r="125">
      <c r="A125" s="9" t="inlineStr">
        <is>
          <t>T0499</t>
        </is>
      </c>
      <c r="B125" s="9" t="inlineStr">
        <is>
          <t>Sterling Indemnity</t>
        </is>
      </c>
      <c r="C125" s="9" t="inlineStr">
        <is>
          <t>Professional</t>
        </is>
      </c>
      <c r="D125" s="9" t="inlineStr">
        <is>
          <t>Europe</t>
        </is>
      </c>
      <c r="E125" s="9" t="inlineStr">
        <is>
          <t>Kenji Sato</t>
        </is>
      </c>
      <c r="F125" s="9" t="inlineStr">
        <is>
          <t>Proportional</t>
        </is>
      </c>
      <c r="G125" s="9" t="n">
        <v>2022</v>
      </c>
      <c r="H125" s="12" t="n">
        <v>7600000.0032</v>
      </c>
      <c r="I125" s="12" t="n">
        <v>760786.0848000001</v>
      </c>
      <c r="J125" s="12" t="n">
        <v>59422.24800000001</v>
      </c>
      <c r="K125" s="12" t="n">
        <v>760786.0848000001</v>
      </c>
      <c r="L125" s="12" t="n">
        <v>232443.8208</v>
      </c>
      <c r="M125" s="9" t="n">
        <v>8</v>
      </c>
      <c r="N125" s="12" t="n">
        <v>291139.3908</v>
      </c>
      <c r="O125" s="12" t="n">
        <v>309502.242</v>
      </c>
      <c r="P125" s="12" t="n">
        <v>3039999.9948</v>
      </c>
      <c r="Q125" s="9" t="inlineStr">
        <is>
          <t>Low</t>
        </is>
      </c>
      <c r="R125" s="11">
        <f>IFERROR(O125/K125,0)</f>
        <v/>
      </c>
    </row>
    <row r="126">
      <c r="A126" s="9" t="inlineStr">
        <is>
          <t>T0506</t>
        </is>
      </c>
      <c r="B126" s="9" t="inlineStr">
        <is>
          <t>Pioneer General</t>
        </is>
      </c>
      <c r="C126" s="9" t="inlineStr">
        <is>
          <t>Professional</t>
        </is>
      </c>
      <c r="D126" s="9" t="inlineStr">
        <is>
          <t>Europe</t>
        </is>
      </c>
      <c r="E126" s="9" t="inlineStr">
        <is>
          <t>Sophie Laurent</t>
        </is>
      </c>
      <c r="F126" s="9" t="inlineStr">
        <is>
          <t>Proportional</t>
        </is>
      </c>
      <c r="G126" s="9" t="n">
        <v>2021</v>
      </c>
      <c r="H126" s="12" t="n">
        <v>6599999.998800001</v>
      </c>
      <c r="I126" s="12" t="n">
        <v>517392.1008000001</v>
      </c>
      <c r="J126" s="12" t="n">
        <v>56801.3472</v>
      </c>
      <c r="K126" s="12" t="n">
        <v>517392.1008000001</v>
      </c>
      <c r="L126" s="12" t="n">
        <v>126258.3936</v>
      </c>
      <c r="M126" s="9" t="n">
        <v>13</v>
      </c>
      <c r="N126" s="12" t="n">
        <v>306156.834</v>
      </c>
      <c r="O126" s="12" t="n">
        <v>317808.36</v>
      </c>
      <c r="P126" s="12" t="n">
        <v>1650000.0024</v>
      </c>
      <c r="Q126" s="9" t="inlineStr">
        <is>
          <t>Low</t>
        </is>
      </c>
      <c r="R126" s="11">
        <f>IFERROR(O126/K126,0)</f>
        <v/>
      </c>
    </row>
    <row r="127">
      <c r="A127" s="9" t="inlineStr">
        <is>
          <t>T0512</t>
        </is>
      </c>
      <c r="B127" s="9" t="inlineStr">
        <is>
          <t>Pioneer General</t>
        </is>
      </c>
      <c r="C127" s="9" t="inlineStr">
        <is>
          <t>Professional</t>
        </is>
      </c>
      <c r="D127" s="9" t="inlineStr">
        <is>
          <t>Europe</t>
        </is>
      </c>
      <c r="E127" s="9" t="inlineStr">
        <is>
          <t>Unassigned</t>
        </is>
      </c>
      <c r="F127" s="9" t="inlineStr">
        <is>
          <t>Excess of Loss</t>
        </is>
      </c>
      <c r="G127" s="9" t="n">
        <v>2022</v>
      </c>
      <c r="H127" s="12" t="n">
        <v>6999999.998400001</v>
      </c>
      <c r="I127" s="12" t="n">
        <v>1374403.8528</v>
      </c>
      <c r="J127" s="12" t="n">
        <v>133877.7072</v>
      </c>
      <c r="K127" s="12" t="n">
        <v>1374403.8528</v>
      </c>
      <c r="L127" s="12" t="n">
        <v>124811.0208</v>
      </c>
      <c r="M127" s="9" t="n">
        <v>10</v>
      </c>
      <c r="N127" s="12" t="n">
        <v>756266.2848</v>
      </c>
      <c r="O127" s="12" t="n">
        <v>756266.2848</v>
      </c>
      <c r="P127" s="12" t="n">
        <v>6999999.998400001</v>
      </c>
      <c r="Q127" s="9" t="inlineStr">
        <is>
          <t>Low</t>
        </is>
      </c>
      <c r="R127" s="11">
        <f>IFERROR(O127/K127,0)</f>
        <v/>
      </c>
    </row>
    <row r="128">
      <c r="A128" s="9" t="inlineStr">
        <is>
          <t>T0515</t>
        </is>
      </c>
      <c r="B128" s="9" t="inlineStr">
        <is>
          <t>Cobalt Mutual</t>
        </is>
      </c>
      <c r="C128" s="9" t="inlineStr">
        <is>
          <t>Specialty</t>
        </is>
      </c>
      <c r="D128" s="9" t="inlineStr">
        <is>
          <t>Europe</t>
        </is>
      </c>
      <c r="E128" s="9" t="inlineStr">
        <is>
          <t>Kenji Sato</t>
        </is>
      </c>
      <c r="F128" s="9" t="inlineStr">
        <is>
          <t>Proportional</t>
        </is>
      </c>
      <c r="G128" s="9" t="n">
        <v>2026</v>
      </c>
      <c r="H128" s="12" t="n">
        <v>12700000.0008</v>
      </c>
      <c r="I128" s="12" t="n">
        <v>408275.424</v>
      </c>
      <c r="J128" s="12" t="n">
        <v>34045.974</v>
      </c>
      <c r="K128" s="12" t="n">
        <v>375613.3944</v>
      </c>
      <c r="L128" s="12" t="n">
        <v>87735.22876905929</v>
      </c>
      <c r="M128" s="9" t="n">
        <v>2</v>
      </c>
      <c r="N128" s="12" t="n">
        <v>44940.0744</v>
      </c>
      <c r="O128" s="12" t="n">
        <v>120207.2076</v>
      </c>
      <c r="P128" s="12" t="n">
        <v>5079999.996</v>
      </c>
      <c r="Q128" s="9" t="inlineStr">
        <is>
          <t>Low</t>
        </is>
      </c>
      <c r="R128" s="11">
        <f>IFERROR(O128/K128,0)</f>
        <v/>
      </c>
    </row>
    <row r="129">
      <c r="A129" s="9" t="inlineStr">
        <is>
          <t>T0517</t>
        </is>
      </c>
      <c r="B129" s="9" t="inlineStr">
        <is>
          <t>Cobalt Assurance</t>
        </is>
      </c>
      <c r="C129" s="9" t="inlineStr">
        <is>
          <t>Financial Lines</t>
        </is>
      </c>
      <c r="D129" s="9" t="inlineStr">
        <is>
          <t>Europe</t>
        </is>
      </c>
      <c r="E129" s="9" t="inlineStr">
        <is>
          <t>James Whitfield</t>
        </is>
      </c>
      <c r="F129" s="9" t="inlineStr">
        <is>
          <t>Proportional</t>
        </is>
      </c>
      <c r="G129" s="9" t="n">
        <v>2024</v>
      </c>
      <c r="H129" s="12" t="n">
        <v>5499999.9972</v>
      </c>
      <c r="I129" s="12" t="n">
        <v>406264.3776</v>
      </c>
      <c r="J129" s="12" t="n">
        <v>21985.0848</v>
      </c>
      <c r="K129" s="12" t="n">
        <v>406264.3776</v>
      </c>
      <c r="L129" s="12" t="n">
        <v>125372.1888</v>
      </c>
      <c r="M129" s="9" t="n">
        <v>11</v>
      </c>
      <c r="N129" s="12" t="n">
        <v>122453.5644</v>
      </c>
      <c r="O129" s="12" t="n">
        <v>167690.4228</v>
      </c>
      <c r="P129" s="12" t="n">
        <v>1100000.0016</v>
      </c>
      <c r="Q129" s="9" t="inlineStr">
        <is>
          <t>Low</t>
        </is>
      </c>
      <c r="R129" s="11">
        <f>IFERROR(O129/K129,0)</f>
        <v/>
      </c>
    </row>
    <row r="130">
      <c r="A130" s="9" t="inlineStr">
        <is>
          <t>T0519</t>
        </is>
      </c>
      <c r="B130" s="9" t="inlineStr">
        <is>
          <t>Sterling Indemnity</t>
        </is>
      </c>
      <c r="C130" s="9" t="inlineStr">
        <is>
          <t>Property</t>
        </is>
      </c>
      <c r="D130" s="9" t="inlineStr">
        <is>
          <t>Europe</t>
        </is>
      </c>
      <c r="E130" s="9" t="inlineStr">
        <is>
          <t>Sophie Laurent</t>
        </is>
      </c>
      <c r="F130" s="9" t="inlineStr">
        <is>
          <t>Proportional</t>
        </is>
      </c>
      <c r="G130" s="9" t="n">
        <v>2024</v>
      </c>
      <c r="H130" s="12" t="n">
        <v>4699999.998</v>
      </c>
      <c r="I130" s="12" t="n">
        <v>372252.672</v>
      </c>
      <c r="J130" s="12" t="n">
        <v>37892.5776</v>
      </c>
      <c r="K130" s="12" t="n">
        <v>372252.672</v>
      </c>
      <c r="L130" s="12" t="n">
        <v>93487.08960000001</v>
      </c>
      <c r="M130" s="9" t="n">
        <v>9</v>
      </c>
      <c r="N130" s="12" t="n">
        <v>212324.4252</v>
      </c>
      <c r="O130" s="12" t="n">
        <v>214400.142</v>
      </c>
      <c r="P130" s="12" t="n">
        <v>705000.0024000001</v>
      </c>
      <c r="Q130" s="9" t="inlineStr">
        <is>
          <t>Low</t>
        </is>
      </c>
      <c r="R130" s="11">
        <f>IFERROR(O130/K130,0)</f>
        <v/>
      </c>
    </row>
    <row r="131">
      <c r="A131" s="9" t="inlineStr">
        <is>
          <t>T0520</t>
        </is>
      </c>
      <c r="B131" s="9" t="inlineStr">
        <is>
          <t>Orion Mutual</t>
        </is>
      </c>
      <c r="C131" s="9" t="inlineStr">
        <is>
          <t>Specialty</t>
        </is>
      </c>
      <c r="D131" s="9" t="inlineStr">
        <is>
          <t>Europe</t>
        </is>
      </c>
      <c r="E131" s="9" t="inlineStr">
        <is>
          <t>Priya Nair</t>
        </is>
      </c>
      <c r="F131" s="9" t="inlineStr">
        <is>
          <t>Excess of Loss</t>
        </is>
      </c>
      <c r="G131" s="9" t="n">
        <v>2023</v>
      </c>
      <c r="H131" s="12" t="n">
        <v>7799999.9976</v>
      </c>
      <c r="I131" s="12" t="n">
        <v>1257729.3792</v>
      </c>
      <c r="J131" s="12" t="n">
        <v>129085.0992</v>
      </c>
      <c r="K131" s="12" t="n">
        <v>1257729.3792</v>
      </c>
      <c r="L131" s="12" t="n">
        <v>65930.24160000001</v>
      </c>
      <c r="M131" s="9" t="n">
        <v>6</v>
      </c>
      <c r="N131" s="12" t="n">
        <v>1135979.5104</v>
      </c>
      <c r="O131" s="12" t="n">
        <v>1135979.5104</v>
      </c>
      <c r="P131" s="12" t="n">
        <v>7799999.9976</v>
      </c>
      <c r="Q131" s="9" t="inlineStr">
        <is>
          <t>Low</t>
        </is>
      </c>
      <c r="R131" s="11">
        <f>IFERROR(O131/K131,0)</f>
        <v/>
      </c>
    </row>
    <row r="132">
      <c r="A132" s="9" t="inlineStr">
        <is>
          <t>T0523</t>
        </is>
      </c>
      <c r="B132" s="9" t="inlineStr">
        <is>
          <t>Pioneer Insurance</t>
        </is>
      </c>
      <c r="C132" s="9" t="inlineStr">
        <is>
          <t>Property</t>
        </is>
      </c>
      <c r="D132" s="9" t="inlineStr">
        <is>
          <t>Europe</t>
        </is>
      </c>
      <c r="E132" s="9" t="inlineStr">
        <is>
          <t>Hannah Weber</t>
        </is>
      </c>
      <c r="F132" s="9" t="inlineStr">
        <is>
          <t>Excess of Loss</t>
        </is>
      </c>
      <c r="G132" s="9" t="n">
        <v>2025</v>
      </c>
      <c r="H132" s="12" t="n">
        <v>10400000.0004</v>
      </c>
      <c r="I132" s="12" t="n">
        <v>1445617.6272</v>
      </c>
      <c r="J132" s="12" t="n">
        <v>137336.8608</v>
      </c>
      <c r="K132" s="12" t="n">
        <v>1405461.5856</v>
      </c>
      <c r="L132" s="12" t="n">
        <v>159788.1604092872</v>
      </c>
      <c r="M132" s="9" t="n">
        <v>13</v>
      </c>
      <c r="N132" s="12" t="n">
        <v>197943.4692</v>
      </c>
      <c r="O132" s="12" t="n">
        <v>720586.6704000001</v>
      </c>
      <c r="P132" s="12" t="n">
        <v>10400000.0004</v>
      </c>
      <c r="Q132" s="9" t="inlineStr">
        <is>
          <t>Low</t>
        </is>
      </c>
      <c r="R132" s="11">
        <f>IFERROR(O132/K132,0)</f>
        <v/>
      </c>
    </row>
    <row r="133">
      <c r="A133" s="9" t="inlineStr">
        <is>
          <t>T0526</t>
        </is>
      </c>
      <c r="B133" s="9" t="inlineStr">
        <is>
          <t>Granite Indemnity</t>
        </is>
      </c>
      <c r="C133" s="9" t="inlineStr">
        <is>
          <t>Professional</t>
        </is>
      </c>
      <c r="D133" s="9" t="inlineStr">
        <is>
          <t>Europe</t>
        </is>
      </c>
      <c r="E133" s="9" t="inlineStr">
        <is>
          <t>James Whitfield</t>
        </is>
      </c>
      <c r="F133" s="9" t="inlineStr">
        <is>
          <t>Excess of Loss</t>
        </is>
      </c>
      <c r="G133" s="9" t="n">
        <v>2024</v>
      </c>
      <c r="H133" s="12" t="n">
        <v>15199999.9956</v>
      </c>
      <c r="I133" s="12" t="n">
        <v>1270214.136</v>
      </c>
      <c r="J133" s="12" t="n">
        <v>107352.216</v>
      </c>
      <c r="K133" s="12" t="n">
        <v>1270214.136</v>
      </c>
      <c r="L133" s="12" t="n">
        <v>77568.32160000001</v>
      </c>
      <c r="M133" s="9" t="n">
        <v>5</v>
      </c>
      <c r="N133" s="12" t="n">
        <v>460387.3032</v>
      </c>
      <c r="O133" s="12" t="n">
        <v>560938.3272000001</v>
      </c>
      <c r="P133" s="12" t="n">
        <v>15199999.9956</v>
      </c>
      <c r="Q133" s="9" t="inlineStr">
        <is>
          <t>Low</t>
        </is>
      </c>
      <c r="R133" s="11">
        <f>IFERROR(O133/K133,0)</f>
        <v/>
      </c>
    </row>
    <row r="134">
      <c r="A134" s="9" t="inlineStr">
        <is>
          <t>T0527</t>
        </is>
      </c>
      <c r="B134" s="9" t="inlineStr">
        <is>
          <t>Cobalt Mutual</t>
        </is>
      </c>
      <c r="C134" s="9" t="inlineStr">
        <is>
          <t>Financial Lines</t>
        </is>
      </c>
      <c r="D134" s="9" t="inlineStr">
        <is>
          <t>Europe</t>
        </is>
      </c>
      <c r="E134" s="9" t="inlineStr">
        <is>
          <t>Aarav Mehta</t>
        </is>
      </c>
      <c r="F134" s="9" t="inlineStr">
        <is>
          <t>Facultative</t>
        </is>
      </c>
      <c r="G134" s="9" t="n">
        <v>2025</v>
      </c>
      <c r="H134" s="12" t="n">
        <v>14600000.0016</v>
      </c>
      <c r="I134" s="12" t="n">
        <v>1657693.7712</v>
      </c>
      <c r="J134" s="12" t="n">
        <v>141113.4048</v>
      </c>
      <c r="K134" s="12" t="n">
        <v>1657693.7712</v>
      </c>
      <c r="L134" s="12" t="n">
        <v>262573.3584</v>
      </c>
      <c r="M134" s="9" t="n">
        <v>4</v>
      </c>
      <c r="N134" s="12" t="n">
        <v>413258.1012</v>
      </c>
      <c r="O134" s="12" t="n">
        <v>768528.0540000001</v>
      </c>
      <c r="P134" s="12" t="n">
        <v>14600000.0016</v>
      </c>
      <c r="Q134" s="9" t="inlineStr">
        <is>
          <t>Low</t>
        </is>
      </c>
      <c r="R134" s="11">
        <f>IFERROR(O134/K134,0)</f>
        <v/>
      </c>
    </row>
    <row r="135">
      <c r="A135" s="9" t="inlineStr">
        <is>
          <t>T0531</t>
        </is>
      </c>
      <c r="B135" s="9" t="inlineStr">
        <is>
          <t>Cobalt Mutual</t>
        </is>
      </c>
      <c r="C135" s="9" t="inlineStr">
        <is>
          <t>Professional</t>
        </is>
      </c>
      <c r="D135" s="9" t="inlineStr">
        <is>
          <t>Europe</t>
        </is>
      </c>
      <c r="E135" s="9" t="inlineStr">
        <is>
          <t>James Whitfield</t>
        </is>
      </c>
      <c r="F135" s="9" t="inlineStr">
        <is>
          <t>Proportional</t>
        </is>
      </c>
      <c r="G135" s="9" t="n">
        <v>2023</v>
      </c>
      <c r="H135" s="12" t="n">
        <v>2600000.0028</v>
      </c>
      <c r="I135" s="12" t="n">
        <v>323943.4944</v>
      </c>
      <c r="J135" s="12" t="n">
        <v>23561.4096</v>
      </c>
      <c r="K135" s="12" t="n">
        <v>323943.4944</v>
      </c>
      <c r="L135" s="12" t="n">
        <v>78233.03999999999</v>
      </c>
      <c r="M135" s="9" t="n">
        <v>8</v>
      </c>
      <c r="N135" s="12" t="n">
        <v>193862.0304</v>
      </c>
      <c r="O135" s="12" t="n">
        <v>196670.3004</v>
      </c>
      <c r="P135" s="12" t="n">
        <v>259999.9992</v>
      </c>
      <c r="Q135" s="9" t="inlineStr">
        <is>
          <t>Low</t>
        </is>
      </c>
      <c r="R135" s="11">
        <f>IFERROR(O135/K135,0)</f>
        <v/>
      </c>
    </row>
    <row r="136">
      <c r="A136" s="9" t="inlineStr">
        <is>
          <t>T0532</t>
        </is>
      </c>
      <c r="B136" s="9" t="inlineStr">
        <is>
          <t>Meridian Indemnity</t>
        </is>
      </c>
      <c r="C136" s="9" t="inlineStr">
        <is>
          <t>Casualty</t>
        </is>
      </c>
      <c r="D136" s="9" t="inlineStr">
        <is>
          <t>Europe</t>
        </is>
      </c>
      <c r="E136" s="9" t="inlineStr">
        <is>
          <t>Sophie Laurent</t>
        </is>
      </c>
      <c r="F136" s="9" t="inlineStr">
        <is>
          <t>Excess of Loss</t>
        </is>
      </c>
      <c r="G136" s="9" t="n">
        <v>2024</v>
      </c>
      <c r="H136" s="12" t="n">
        <v>9500000.004000001</v>
      </c>
      <c r="I136" s="12" t="n">
        <v>942316.9344</v>
      </c>
      <c r="J136" s="12" t="n">
        <v>80101.3536</v>
      </c>
      <c r="K136" s="12" t="n">
        <v>942316.9344</v>
      </c>
      <c r="L136" s="12" t="n">
        <v>76000.93920000002</v>
      </c>
      <c r="M136" s="9" t="n">
        <v>11</v>
      </c>
      <c r="N136" s="12" t="n">
        <v>327904.1568000001</v>
      </c>
      <c r="O136" s="12" t="n">
        <v>327904.1568000001</v>
      </c>
      <c r="P136" s="12" t="n">
        <v>9500000.004000001</v>
      </c>
      <c r="Q136" s="9" t="inlineStr">
        <is>
          <t>Low</t>
        </is>
      </c>
      <c r="R136" s="11">
        <f>IFERROR(O136/K136,0)</f>
        <v/>
      </c>
    </row>
    <row r="137">
      <c r="A137" s="9" t="inlineStr">
        <is>
          <t>T0545</t>
        </is>
      </c>
      <c r="B137" s="9" t="inlineStr">
        <is>
          <t>Summit Insurance</t>
        </is>
      </c>
      <c r="C137" s="9" t="inlineStr">
        <is>
          <t>Casualty</t>
        </is>
      </c>
      <c r="D137" s="9" t="inlineStr">
        <is>
          <t>Europe</t>
        </is>
      </c>
      <c r="E137" s="9" t="inlineStr">
        <is>
          <t>Priya Nair</t>
        </is>
      </c>
      <c r="F137" s="9" t="inlineStr">
        <is>
          <t>Proportional</t>
        </is>
      </c>
      <c r="G137" s="9" t="n">
        <v>2021</v>
      </c>
      <c r="H137" s="12" t="n">
        <v>73200000.00240001</v>
      </c>
      <c r="I137" s="12" t="n">
        <v>6963707.635200001</v>
      </c>
      <c r="J137" s="12" t="n">
        <v>429153.0336000001</v>
      </c>
      <c r="K137" s="12" t="n">
        <v>6963707.635200001</v>
      </c>
      <c r="L137" s="12" t="n">
        <v>2158535.4336</v>
      </c>
      <c r="M137" s="9" t="n">
        <v>10</v>
      </c>
      <c r="N137" s="12" t="n">
        <v>4681212.3288</v>
      </c>
      <c r="O137" s="12" t="n">
        <v>6402127.518000001</v>
      </c>
      <c r="P137" s="12" t="n">
        <v>18299999.9952</v>
      </c>
      <c r="Q137" s="9" t="inlineStr">
        <is>
          <t>Low</t>
        </is>
      </c>
      <c r="R137" s="11">
        <f>IFERROR(O137/K137,0)</f>
        <v/>
      </c>
    </row>
    <row r="138">
      <c r="A138" s="9" t="inlineStr">
        <is>
          <t>T0547</t>
        </is>
      </c>
      <c r="B138" s="9" t="inlineStr">
        <is>
          <t>Granite Indemnity</t>
        </is>
      </c>
      <c r="C138" s="9" t="inlineStr">
        <is>
          <t>Casualty</t>
        </is>
      </c>
      <c r="D138" s="9" t="inlineStr">
        <is>
          <t>Europe</t>
        </is>
      </c>
      <c r="E138" s="9" t="inlineStr">
        <is>
          <t>James Whitfield</t>
        </is>
      </c>
      <c r="F138" s="9" t="inlineStr">
        <is>
          <t>Proportional</t>
        </is>
      </c>
      <c r="G138" s="9" t="n">
        <v>2023</v>
      </c>
      <c r="H138" s="12" t="n">
        <v>4399999.9956</v>
      </c>
      <c r="I138" s="12" t="n">
        <v>499574.952</v>
      </c>
      <c r="J138" s="12" t="n">
        <v>45402.12</v>
      </c>
      <c r="K138" s="12" t="n">
        <v>499574.952</v>
      </c>
      <c r="L138" s="12" t="n">
        <v>116154.3888</v>
      </c>
      <c r="M138" s="9" t="n">
        <v>11</v>
      </c>
      <c r="N138" s="12" t="n">
        <v>405335.5344</v>
      </c>
      <c r="O138" s="12" t="n">
        <v>406121.742</v>
      </c>
      <c r="P138" s="12" t="n">
        <v>1100000.0016</v>
      </c>
      <c r="Q138" s="9" t="inlineStr">
        <is>
          <t>Low</t>
        </is>
      </c>
      <c r="R138" s="11">
        <f>IFERROR(O138/K138,0)</f>
        <v/>
      </c>
    </row>
    <row r="139">
      <c r="A139" s="9" t="inlineStr">
        <is>
          <t>T0551</t>
        </is>
      </c>
      <c r="B139" s="9" t="inlineStr">
        <is>
          <t>Summit Insurance</t>
        </is>
      </c>
      <c r="C139" s="9" t="inlineStr">
        <is>
          <t>Property</t>
        </is>
      </c>
      <c r="D139" s="9" t="inlineStr">
        <is>
          <t>Europe</t>
        </is>
      </c>
      <c r="E139" s="9" t="inlineStr">
        <is>
          <t>Carlos Ibarra</t>
        </is>
      </c>
      <c r="F139" s="9" t="inlineStr">
        <is>
          <t>Proportional</t>
        </is>
      </c>
      <c r="G139" s="9" t="n">
        <v>2021</v>
      </c>
      <c r="H139" s="12" t="n">
        <v>18900000</v>
      </c>
      <c r="I139" s="12" t="n">
        <v>3405624.1344</v>
      </c>
      <c r="J139" s="12" t="n">
        <v>250734.2688</v>
      </c>
      <c r="K139" s="12" t="n">
        <v>3405624.1344</v>
      </c>
      <c r="L139" s="12" t="n">
        <v>841366.1808</v>
      </c>
      <c r="M139" s="9" t="n">
        <v>14</v>
      </c>
      <c r="N139" s="12" t="n">
        <v>1844047.0692</v>
      </c>
      <c r="O139" s="12" t="n">
        <v>1885114.1988</v>
      </c>
      <c r="P139" s="12" t="n">
        <v>7560000.000000001</v>
      </c>
      <c r="Q139" s="9" t="inlineStr">
        <is>
          <t>Low</t>
        </is>
      </c>
      <c r="R139" s="11">
        <f>IFERROR(O139/K139,0)</f>
        <v/>
      </c>
    </row>
    <row r="140">
      <c r="A140" s="9" t="inlineStr">
        <is>
          <t>T0554</t>
        </is>
      </c>
      <c r="B140" s="9" t="inlineStr">
        <is>
          <t>Pioneer Mutual</t>
        </is>
      </c>
      <c r="C140" s="9" t="inlineStr">
        <is>
          <t>Specialty</t>
        </is>
      </c>
      <c r="D140" s="9" t="inlineStr">
        <is>
          <t>Europe</t>
        </is>
      </c>
      <c r="E140" s="9" t="inlineStr">
        <is>
          <t>Kenji Sato</t>
        </is>
      </c>
      <c r="F140" s="9" t="inlineStr">
        <is>
          <t>Excess of Loss</t>
        </is>
      </c>
      <c r="G140" s="9" t="n">
        <v>2022</v>
      </c>
      <c r="H140" s="12" t="n">
        <v>1299999.996</v>
      </c>
      <c r="I140" s="12" t="n">
        <v>200000.016</v>
      </c>
      <c r="J140" s="12" t="n">
        <v>20135.5632</v>
      </c>
      <c r="K140" s="12" t="n">
        <v>200000.016</v>
      </c>
      <c r="L140" s="12" t="n">
        <v>20716.56</v>
      </c>
      <c r="M140" s="9" t="n">
        <v>9</v>
      </c>
      <c r="N140" s="12" t="n">
        <v>89373.49920000001</v>
      </c>
      <c r="O140" s="12" t="n">
        <v>89373.49920000001</v>
      </c>
      <c r="P140" s="12" t="n">
        <v>1299999.996</v>
      </c>
      <c r="Q140" s="9" t="inlineStr">
        <is>
          <t>Low</t>
        </is>
      </c>
      <c r="R140" s="11">
        <f>IFERROR(O140/K140,0)</f>
        <v/>
      </c>
    </row>
    <row r="141">
      <c r="A141" s="9" t="inlineStr">
        <is>
          <t>T0557</t>
        </is>
      </c>
      <c r="B141" s="9" t="inlineStr">
        <is>
          <t>Sterling Indemnity</t>
        </is>
      </c>
      <c r="C141" s="9" t="inlineStr">
        <is>
          <t>Specialty</t>
        </is>
      </c>
      <c r="D141" s="9" t="inlineStr">
        <is>
          <t>Europe</t>
        </is>
      </c>
      <c r="E141" s="9" t="inlineStr">
        <is>
          <t>Aarav Mehta</t>
        </is>
      </c>
      <c r="F141" s="9" t="inlineStr">
        <is>
          <t>Proportional</t>
        </is>
      </c>
      <c r="G141" s="9" t="n">
        <v>2025</v>
      </c>
      <c r="H141" s="12" t="n">
        <v>6500000.0016</v>
      </c>
      <c r="I141" s="12" t="n">
        <v>1075613.5152</v>
      </c>
      <c r="J141" s="12" t="n">
        <v>86639.80320000001</v>
      </c>
      <c r="K141" s="12" t="n">
        <v>1075613.5152</v>
      </c>
      <c r="L141" s="12" t="n">
        <v>341298.7488</v>
      </c>
      <c r="M141" s="9" t="n">
        <v>9</v>
      </c>
      <c r="N141" s="12" t="n">
        <v>223733.2536</v>
      </c>
      <c r="O141" s="12" t="n">
        <v>551312.9784</v>
      </c>
      <c r="P141" s="12" t="n">
        <v>649999.998</v>
      </c>
      <c r="Q141" s="9" t="inlineStr">
        <is>
          <t>Low</t>
        </is>
      </c>
      <c r="R141" s="11">
        <f>IFERROR(O141/K141,0)</f>
        <v/>
      </c>
    </row>
    <row r="142">
      <c r="A142" s="9" t="inlineStr">
        <is>
          <t>T0566</t>
        </is>
      </c>
      <c r="B142" s="9" t="inlineStr">
        <is>
          <t>Meridian Assurance</t>
        </is>
      </c>
      <c r="C142" s="9" t="inlineStr">
        <is>
          <t>Property</t>
        </is>
      </c>
      <c r="D142" s="9" t="inlineStr">
        <is>
          <t>Europe</t>
        </is>
      </c>
      <c r="E142" s="9" t="inlineStr">
        <is>
          <t>Sophie Laurent</t>
        </is>
      </c>
      <c r="F142" s="9" t="inlineStr">
        <is>
          <t>Facultative</t>
        </is>
      </c>
      <c r="G142" s="9" t="n">
        <v>2022</v>
      </c>
      <c r="H142" s="12" t="n">
        <v>24300000</v>
      </c>
      <c r="I142" s="12" t="n">
        <v>1998015.0768</v>
      </c>
      <c r="J142" s="12" t="n">
        <v>137256.3792</v>
      </c>
      <c r="K142" s="12" t="n">
        <v>1998015.0768</v>
      </c>
      <c r="L142" s="12" t="n">
        <v>357072.3648</v>
      </c>
      <c r="M142" s="9" t="n">
        <v>10</v>
      </c>
      <c r="N142" s="12" t="n">
        <v>1047582.8712</v>
      </c>
      <c r="O142" s="12" t="n">
        <v>1115352.6552</v>
      </c>
      <c r="P142" s="12" t="n">
        <v>24300000</v>
      </c>
      <c r="Q142" s="9" t="inlineStr">
        <is>
          <t>Low</t>
        </is>
      </c>
      <c r="R142" s="11">
        <f>IFERROR(O142/K142,0)</f>
        <v/>
      </c>
    </row>
    <row r="143">
      <c r="A143" s="9" t="inlineStr">
        <is>
          <t>T0572</t>
        </is>
      </c>
      <c r="B143" s="9" t="inlineStr">
        <is>
          <t>Sterling Indemnity</t>
        </is>
      </c>
      <c r="C143" s="9" t="inlineStr">
        <is>
          <t>Casualty</t>
        </is>
      </c>
      <c r="D143" s="9" t="inlineStr">
        <is>
          <t>Europe</t>
        </is>
      </c>
      <c r="E143" s="9" t="inlineStr">
        <is>
          <t>Sophie Laurent</t>
        </is>
      </c>
      <c r="F143" s="9" t="inlineStr">
        <is>
          <t>Excess of Loss</t>
        </is>
      </c>
      <c r="G143" s="9" t="n">
        <v>2025</v>
      </c>
      <c r="H143" s="12" t="n">
        <v>11100000.0024</v>
      </c>
      <c r="I143" s="12" t="n">
        <v>1190987.4528</v>
      </c>
      <c r="J143" s="12" t="n">
        <v>67175.17920000001</v>
      </c>
      <c r="K143" s="12" t="n">
        <v>1190987.4528</v>
      </c>
      <c r="L143" s="12" t="n">
        <v>128193.192</v>
      </c>
      <c r="M143" s="9" t="n">
        <v>7</v>
      </c>
      <c r="N143" s="12" t="n">
        <v>613895.9868000001</v>
      </c>
      <c r="O143" s="12" t="n">
        <v>726955.452</v>
      </c>
      <c r="P143" s="12" t="n">
        <v>11100000.0024</v>
      </c>
      <c r="Q143" s="9" t="inlineStr">
        <is>
          <t>Low</t>
        </is>
      </c>
      <c r="R143" s="11">
        <f>IFERROR(O143/K143,0)</f>
        <v/>
      </c>
    </row>
    <row r="144">
      <c r="A144" s="9" t="inlineStr">
        <is>
          <t>T0574</t>
        </is>
      </c>
      <c r="B144" s="9" t="inlineStr">
        <is>
          <t>Pioneer Insurance</t>
        </is>
      </c>
      <c r="C144" s="9" t="inlineStr">
        <is>
          <t>Casualty</t>
        </is>
      </c>
      <c r="D144" s="9" t="inlineStr">
        <is>
          <t>Europe</t>
        </is>
      </c>
      <c r="E144" s="9" t="inlineStr">
        <is>
          <t>Priya Nair</t>
        </is>
      </c>
      <c r="F144" s="9" t="inlineStr">
        <is>
          <t>Proportional</t>
        </is>
      </c>
      <c r="G144" s="9" t="n">
        <v>2023</v>
      </c>
      <c r="H144" s="12" t="n">
        <v>5400000</v>
      </c>
      <c r="I144" s="12" t="n">
        <v>896508.1296000001</v>
      </c>
      <c r="J144" s="12" t="n">
        <v>61192.7136</v>
      </c>
      <c r="K144" s="12" t="n">
        <v>896508.1296000001</v>
      </c>
      <c r="L144" s="12" t="n">
        <v>268024.7232</v>
      </c>
      <c r="M144" s="9" t="n">
        <v>8</v>
      </c>
      <c r="N144" s="12" t="n">
        <v>621493.0092</v>
      </c>
      <c r="O144" s="12" t="n">
        <v>657692.0064000001</v>
      </c>
      <c r="P144" s="12" t="n">
        <v>1080000</v>
      </c>
      <c r="Q144" s="9" t="inlineStr">
        <is>
          <t>Low</t>
        </is>
      </c>
      <c r="R144" s="11">
        <f>IFERROR(O144/K144,0)</f>
        <v/>
      </c>
    </row>
    <row r="145">
      <c r="A145" s="9" t="inlineStr">
        <is>
          <t>T0577</t>
        </is>
      </c>
      <c r="B145" s="9" t="inlineStr">
        <is>
          <t>Orion Mutual</t>
        </is>
      </c>
      <c r="C145" s="9" t="inlineStr">
        <is>
          <t>Property</t>
        </is>
      </c>
      <c r="D145" s="9" t="inlineStr">
        <is>
          <t>Europe</t>
        </is>
      </c>
      <c r="E145" s="9" t="inlineStr">
        <is>
          <t>Aarav Mehta</t>
        </is>
      </c>
      <c r="F145" s="9" t="inlineStr">
        <is>
          <t>Proportional</t>
        </is>
      </c>
      <c r="G145" s="9" t="n">
        <v>2025</v>
      </c>
      <c r="H145" s="12" t="n">
        <v>45299999.9952</v>
      </c>
      <c r="I145" s="12" t="n">
        <v>6676247.188800001</v>
      </c>
      <c r="J145" s="12" t="n">
        <v>797715.6048000001</v>
      </c>
      <c r="K145" s="12" t="n">
        <v>6676247.188800001</v>
      </c>
      <c r="L145" s="12" t="n">
        <v>1657545.768</v>
      </c>
      <c r="M145" s="9" t="n">
        <v>5</v>
      </c>
      <c r="N145" s="12" t="n">
        <v>2336945.0292</v>
      </c>
      <c r="O145" s="12" t="n">
        <v>2736263.5596</v>
      </c>
      <c r="P145" s="12" t="n">
        <v>6795000.0036</v>
      </c>
      <c r="Q145" s="9" t="inlineStr">
        <is>
          <t>Low</t>
        </is>
      </c>
      <c r="R145" s="11">
        <f>IFERROR(O145/K145,0)</f>
        <v/>
      </c>
    </row>
    <row r="146">
      <c r="A146" s="9" t="inlineStr">
        <is>
          <t>T0578</t>
        </is>
      </c>
      <c r="B146" s="9" t="inlineStr">
        <is>
          <t>Sterling Mutual</t>
        </is>
      </c>
      <c r="C146" s="9" t="inlineStr">
        <is>
          <t>Specialty</t>
        </is>
      </c>
      <c r="D146" s="9" t="inlineStr">
        <is>
          <t>Europe</t>
        </is>
      </c>
      <c r="E146" s="9" t="inlineStr">
        <is>
          <t>Kenji Sato</t>
        </is>
      </c>
      <c r="F146" s="9" t="inlineStr">
        <is>
          <t>Excess of Loss</t>
        </is>
      </c>
      <c r="G146" s="9" t="n">
        <v>2026</v>
      </c>
      <c r="H146" s="12" t="n">
        <v>5799999.9951</v>
      </c>
      <c r="I146" s="12" t="n">
        <v>155930.346</v>
      </c>
      <c r="J146" s="12" t="n">
        <v>10238.6892</v>
      </c>
      <c r="K146" s="12" t="n">
        <v>116947.7595</v>
      </c>
      <c r="L146" s="12" t="n">
        <v>6580.2129</v>
      </c>
      <c r="M146" s="9" t="n">
        <v>2</v>
      </c>
      <c r="N146" s="12" t="n">
        <v>18890.1324</v>
      </c>
      <c r="O146" s="12" t="n">
        <v>82541.9863</v>
      </c>
      <c r="P146" s="12" t="n">
        <v>5799999.9951</v>
      </c>
      <c r="Q146" s="9" t="inlineStr">
        <is>
          <t>Low</t>
        </is>
      </c>
      <c r="R146" s="11">
        <f>IFERROR(O146/K146,0)</f>
        <v/>
      </c>
    </row>
    <row r="147">
      <c r="A147" s="9" t="inlineStr">
        <is>
          <t>T0580</t>
        </is>
      </c>
      <c r="B147" s="9" t="inlineStr">
        <is>
          <t>Pioneer Insurance</t>
        </is>
      </c>
      <c r="C147" s="9" t="inlineStr">
        <is>
          <t>Specialty</t>
        </is>
      </c>
      <c r="D147" s="9" t="inlineStr">
        <is>
          <t>Europe</t>
        </is>
      </c>
      <c r="E147" s="9" t="inlineStr">
        <is>
          <t>Unassigned</t>
        </is>
      </c>
      <c r="F147" s="9" t="inlineStr">
        <is>
          <t>Excess of Loss</t>
        </is>
      </c>
      <c r="G147" s="9" t="n">
        <v>2026</v>
      </c>
      <c r="H147" s="12" t="n">
        <v>25400000.0016</v>
      </c>
      <c r="I147" s="12" t="n">
        <v>1380158.1792</v>
      </c>
      <c r="J147" s="12" t="n">
        <v>156558.3552</v>
      </c>
      <c r="K147" s="12" t="n">
        <v>1219139.7264</v>
      </c>
      <c r="L147" s="12" t="n">
        <v>102100.2092405968</v>
      </c>
      <c r="M147" s="9" t="n">
        <v>2</v>
      </c>
      <c r="N147" s="12" t="n">
        <v>50836.8636</v>
      </c>
      <c r="O147" s="12" t="n">
        <v>592898.454</v>
      </c>
      <c r="P147" s="12" t="n">
        <v>25400000.0016</v>
      </c>
      <c r="Q147" s="9" t="inlineStr">
        <is>
          <t>Low</t>
        </is>
      </c>
      <c r="R147" s="11">
        <f>IFERROR(O147/K147,0)</f>
        <v/>
      </c>
    </row>
    <row r="148">
      <c r="A148" s="9" t="inlineStr">
        <is>
          <t>T0582</t>
        </is>
      </c>
      <c r="B148" s="9" t="inlineStr">
        <is>
          <t>Sterling Indemnity</t>
        </is>
      </c>
      <c r="C148" s="9" t="inlineStr">
        <is>
          <t>Property</t>
        </is>
      </c>
      <c r="D148" s="9" t="inlineStr">
        <is>
          <t>Europe</t>
        </is>
      </c>
      <c r="E148" s="9" t="inlineStr">
        <is>
          <t>Priya Nair</t>
        </is>
      </c>
      <c r="F148" s="9" t="inlineStr">
        <is>
          <t>Excess of Loss</t>
        </is>
      </c>
      <c r="G148" s="9" t="n">
        <v>2023</v>
      </c>
      <c r="H148" s="12" t="n">
        <v>15099999.9984</v>
      </c>
      <c r="I148" s="12" t="n">
        <v>1136740.392</v>
      </c>
      <c r="J148" s="12" t="n">
        <v>58392.7056</v>
      </c>
      <c r="K148" s="12" t="n">
        <v>1136740.392</v>
      </c>
      <c r="L148" s="12" t="n">
        <v>80198.55359999998</v>
      </c>
      <c r="M148" s="9" t="n">
        <v>5</v>
      </c>
      <c r="N148" s="12" t="n">
        <v>351107.2224</v>
      </c>
      <c r="O148" s="12" t="n">
        <v>839337.3144</v>
      </c>
      <c r="P148" s="12" t="n">
        <v>15099999.9984</v>
      </c>
      <c r="Q148" s="9" t="inlineStr">
        <is>
          <t>Low</t>
        </is>
      </c>
      <c r="R148" s="11">
        <f>IFERROR(O148/K148,0)</f>
        <v/>
      </c>
    </row>
    <row r="149">
      <c r="A149" s="9" t="inlineStr">
        <is>
          <t>T0583</t>
        </is>
      </c>
      <c r="B149" s="9" t="inlineStr">
        <is>
          <t>Sterling Mutual</t>
        </is>
      </c>
      <c r="C149" s="9" t="inlineStr">
        <is>
          <t>Property</t>
        </is>
      </c>
      <c r="D149" s="9" t="inlineStr">
        <is>
          <t>Europe</t>
        </is>
      </c>
      <c r="E149" s="9" t="inlineStr">
        <is>
          <t>Aarav Mehta</t>
        </is>
      </c>
      <c r="F149" s="9" t="inlineStr">
        <is>
          <t>Excess of Loss</t>
        </is>
      </c>
      <c r="G149" s="9" t="n">
        <v>2026</v>
      </c>
      <c r="H149" s="12" t="n">
        <v>8800000.0022</v>
      </c>
      <c r="I149" s="12" t="n">
        <v>438927.6591</v>
      </c>
      <c r="J149" s="12" t="n">
        <v>44449.1999</v>
      </c>
      <c r="K149" s="12" t="n">
        <v>426386.8663</v>
      </c>
      <c r="L149" s="12" t="n">
        <v>41070.91583533926</v>
      </c>
      <c r="M149" s="9" t="n">
        <v>4</v>
      </c>
      <c r="N149" s="12" t="n">
        <v>335489.7405</v>
      </c>
      <c r="O149" s="12" t="n">
        <v>500236.2614</v>
      </c>
      <c r="P149" s="12" t="n">
        <v>8800000.0022</v>
      </c>
      <c r="Q149" s="9" t="inlineStr">
        <is>
          <t>Low</t>
        </is>
      </c>
      <c r="R149" s="11">
        <f>IFERROR(O149/K149,0)</f>
        <v/>
      </c>
    </row>
    <row r="150">
      <c r="A150" s="9" t="inlineStr">
        <is>
          <t>T0585</t>
        </is>
      </c>
      <c r="B150" s="9" t="inlineStr">
        <is>
          <t>Meridian Assurance</t>
        </is>
      </c>
      <c r="C150" s="9" t="inlineStr">
        <is>
          <t>Casualty</t>
        </is>
      </c>
      <c r="D150" s="9" t="inlineStr">
        <is>
          <t>Europe</t>
        </is>
      </c>
      <c r="E150" s="9" t="inlineStr">
        <is>
          <t>Aarav Mehta</t>
        </is>
      </c>
      <c r="F150" s="9" t="inlineStr">
        <is>
          <t>Proportional</t>
        </is>
      </c>
      <c r="G150" s="9" t="n">
        <v>2025</v>
      </c>
      <c r="H150" s="12" t="n">
        <v>5700000.002400001</v>
      </c>
      <c r="I150" s="12" t="n">
        <v>1026483.5808</v>
      </c>
      <c r="J150" s="12" t="n">
        <v>67865.68799999999</v>
      </c>
      <c r="K150" s="12" t="n">
        <v>1026483.5808</v>
      </c>
      <c r="L150" s="12" t="n">
        <v>261937.9296</v>
      </c>
      <c r="M150" s="9" t="n">
        <v>6</v>
      </c>
      <c r="N150" s="12" t="n">
        <v>211934.4588</v>
      </c>
      <c r="O150" s="12" t="n">
        <v>488868.9444</v>
      </c>
      <c r="P150" s="12" t="n">
        <v>1709999.9964</v>
      </c>
      <c r="Q150" s="9" t="inlineStr">
        <is>
          <t>Low</t>
        </is>
      </c>
      <c r="R150" s="11">
        <f>IFERROR(O150/K150,0)</f>
        <v/>
      </c>
    </row>
    <row r="151">
      <c r="A151" s="9" t="inlineStr">
        <is>
          <t>T0586</t>
        </is>
      </c>
      <c r="B151" s="9" t="inlineStr">
        <is>
          <t>Vantage Assurance</t>
        </is>
      </c>
      <c r="C151" s="9" t="inlineStr">
        <is>
          <t>Professional</t>
        </is>
      </c>
      <c r="D151" s="9" t="inlineStr">
        <is>
          <t>Europe</t>
        </is>
      </c>
      <c r="E151" s="9" t="inlineStr">
        <is>
          <t>James Whitfield</t>
        </is>
      </c>
      <c r="F151" s="9" t="inlineStr">
        <is>
          <t>Proportional</t>
        </is>
      </c>
      <c r="G151" s="9" t="n">
        <v>2023</v>
      </c>
      <c r="H151" s="12" t="n">
        <v>2499999.9948</v>
      </c>
      <c r="I151" s="12" t="n">
        <v>288717.5664</v>
      </c>
      <c r="J151" s="12" t="n">
        <v>17048.3616</v>
      </c>
      <c r="K151" s="12" t="n">
        <v>288717.5664</v>
      </c>
      <c r="L151" s="12" t="n">
        <v>64832.78879999999</v>
      </c>
      <c r="M151" s="9" t="n">
        <v>10</v>
      </c>
      <c r="N151" s="12" t="n">
        <v>133830.252</v>
      </c>
      <c r="O151" s="12" t="n">
        <v>145165.4028</v>
      </c>
      <c r="P151" s="12" t="n">
        <v>374999.9976</v>
      </c>
      <c r="Q151" s="9" t="inlineStr">
        <is>
          <t>Low</t>
        </is>
      </c>
      <c r="R151" s="11">
        <f>IFERROR(O151/K151,0)</f>
        <v/>
      </c>
    </row>
    <row r="152">
      <c r="A152" s="9" t="inlineStr">
        <is>
          <t>T0587</t>
        </is>
      </c>
      <c r="B152" s="9" t="inlineStr">
        <is>
          <t>Pioneer General</t>
        </is>
      </c>
      <c r="C152" s="9" t="inlineStr">
        <is>
          <t>Financial Lines</t>
        </is>
      </c>
      <c r="D152" s="9" t="inlineStr">
        <is>
          <t>Europe</t>
        </is>
      </c>
      <c r="E152" s="9" t="inlineStr">
        <is>
          <t>Unassigned</t>
        </is>
      </c>
      <c r="F152" s="9" t="inlineStr">
        <is>
          <t>Facultative</t>
        </is>
      </c>
      <c r="G152" s="9" t="n">
        <v>2023</v>
      </c>
      <c r="H152" s="12" t="n">
        <v>10300000.0032</v>
      </c>
      <c r="I152" s="12" t="n">
        <v>1030049.136</v>
      </c>
      <c r="J152" s="12" t="n">
        <v>115257.0384</v>
      </c>
      <c r="K152" s="12" t="n">
        <v>1030049.136</v>
      </c>
      <c r="L152" s="12" t="n">
        <v>181903.968</v>
      </c>
      <c r="M152" s="9" t="n">
        <v>11</v>
      </c>
      <c r="N152" s="12" t="n">
        <v>471795.7104</v>
      </c>
      <c r="O152" s="12" t="n">
        <v>483750.3924</v>
      </c>
      <c r="P152" s="12" t="n">
        <v>10300000.0032</v>
      </c>
      <c r="Q152" s="9" t="inlineStr">
        <is>
          <t>Low</t>
        </is>
      </c>
      <c r="R152" s="11">
        <f>IFERROR(O152/K152,0)</f>
        <v/>
      </c>
    </row>
    <row r="153">
      <c r="A153" s="9" t="inlineStr">
        <is>
          <t>T0588</t>
        </is>
      </c>
      <c r="B153" s="9" t="inlineStr">
        <is>
          <t>Cobalt Assurance</t>
        </is>
      </c>
      <c r="C153" s="9" t="inlineStr">
        <is>
          <t>Property</t>
        </is>
      </c>
      <c r="D153" s="9" t="inlineStr">
        <is>
          <t>Europe</t>
        </is>
      </c>
      <c r="E153" s="9" t="inlineStr">
        <is>
          <t>Aarav Mehta</t>
        </is>
      </c>
      <c r="F153" s="9" t="inlineStr">
        <is>
          <t>Facultative</t>
        </is>
      </c>
      <c r="G153" s="9" t="n">
        <v>2022</v>
      </c>
      <c r="H153" s="12" t="n">
        <v>18699999.9948</v>
      </c>
      <c r="I153" s="12" t="n">
        <v>2428208.928</v>
      </c>
      <c r="J153" s="12" t="n">
        <v>141860.5488</v>
      </c>
      <c r="K153" s="12" t="n">
        <v>2428208.928</v>
      </c>
      <c r="L153" s="12" t="n">
        <v>467945.0352000001</v>
      </c>
      <c r="M153" s="9" t="n">
        <v>12</v>
      </c>
      <c r="N153" s="12" t="n">
        <v>1119647.8044</v>
      </c>
      <c r="O153" s="12" t="n">
        <v>1261471.2876</v>
      </c>
      <c r="P153" s="12" t="n">
        <v>18699999.9948</v>
      </c>
      <c r="Q153" s="9" t="inlineStr">
        <is>
          <t>Low</t>
        </is>
      </c>
      <c r="R153" s="11">
        <f>IFERROR(O153/K153,0)</f>
        <v/>
      </c>
    </row>
    <row r="154">
      <c r="A154" s="9" t="inlineStr">
        <is>
          <t>T0589</t>
        </is>
      </c>
      <c r="B154" s="9" t="inlineStr">
        <is>
          <t>Pioneer Insurance</t>
        </is>
      </c>
      <c r="C154" s="9" t="inlineStr">
        <is>
          <t>Property</t>
        </is>
      </c>
      <c r="D154" s="9" t="inlineStr">
        <is>
          <t>Europe</t>
        </is>
      </c>
      <c r="E154" s="9" t="inlineStr">
        <is>
          <t>Sophie Laurent</t>
        </is>
      </c>
      <c r="F154" s="9" t="inlineStr">
        <is>
          <t>Excess of Loss</t>
        </is>
      </c>
      <c r="G154" s="9" t="n">
        <v>2025</v>
      </c>
      <c r="H154" s="12" t="n">
        <v>9399999.995999999</v>
      </c>
      <c r="I154" s="12" t="n">
        <v>713463.8112</v>
      </c>
      <c r="J154" s="12" t="n">
        <v>36108.3744</v>
      </c>
      <c r="K154" s="12" t="n">
        <v>713463.8112</v>
      </c>
      <c r="L154" s="12" t="n">
        <v>83114.68320000001</v>
      </c>
      <c r="M154" s="9" t="n">
        <v>10</v>
      </c>
      <c r="N154" s="12" t="n">
        <v>557092.2204</v>
      </c>
      <c r="O154" s="12" t="n">
        <v>590259.8952</v>
      </c>
      <c r="P154" s="12" t="n">
        <v>9399999.995999999</v>
      </c>
      <c r="Q154" s="9" t="inlineStr">
        <is>
          <t>Low</t>
        </is>
      </c>
      <c r="R154" s="11">
        <f>IFERROR(O154/K154,0)</f>
        <v/>
      </c>
    </row>
    <row r="155">
      <c r="A155" s="9" t="inlineStr">
        <is>
          <t>T0594</t>
        </is>
      </c>
      <c r="B155" s="9" t="inlineStr">
        <is>
          <t>Pioneer Insurance</t>
        </is>
      </c>
      <c r="C155" s="9" t="inlineStr">
        <is>
          <t>Property</t>
        </is>
      </c>
      <c r="D155" s="9" t="inlineStr">
        <is>
          <t>Europe</t>
        </is>
      </c>
      <c r="E155" s="9" t="inlineStr">
        <is>
          <t>Kenji Sato</t>
        </is>
      </c>
      <c r="F155" s="9" t="inlineStr">
        <is>
          <t>Proportional</t>
        </is>
      </c>
      <c r="G155" s="9" t="n">
        <v>2026</v>
      </c>
      <c r="H155" s="12" t="n">
        <v>9399999.995999999</v>
      </c>
      <c r="I155" s="12" t="n">
        <v>732170.5668000001</v>
      </c>
      <c r="J155" s="12" t="n">
        <v>36740.7252</v>
      </c>
      <c r="K155" s="12" t="n">
        <v>661665.2508000002</v>
      </c>
      <c r="L155" s="12" t="n">
        <v>192012.793293176</v>
      </c>
      <c r="M155" s="9" t="n">
        <v>3</v>
      </c>
      <c r="N155" s="12" t="n">
        <v>54296.71920000001</v>
      </c>
      <c r="O155" s="12" t="n">
        <v>183889.4076</v>
      </c>
      <c r="P155" s="12" t="n">
        <v>1879999.9992</v>
      </c>
      <c r="Q155" s="9" t="inlineStr">
        <is>
          <t>Low</t>
        </is>
      </c>
      <c r="R155" s="11">
        <f>IFERROR(O155/K155,0)</f>
        <v/>
      </c>
    </row>
    <row r="156">
      <c r="A156" s="9" t="inlineStr">
        <is>
          <t>T0595</t>
        </is>
      </c>
      <c r="B156" s="9" t="inlineStr">
        <is>
          <t>Sterling Indemnity</t>
        </is>
      </c>
      <c r="C156" s="9" t="inlineStr">
        <is>
          <t>Financial Lines</t>
        </is>
      </c>
      <c r="D156" s="9" t="inlineStr">
        <is>
          <t>Europe</t>
        </is>
      </c>
      <c r="E156" s="9" t="inlineStr">
        <is>
          <t>James Whitfield</t>
        </is>
      </c>
      <c r="F156" s="9" t="inlineStr">
        <is>
          <t>Facultative</t>
        </is>
      </c>
      <c r="G156" s="9" t="n">
        <v>2024</v>
      </c>
      <c r="H156" s="12" t="n">
        <v>8400000.002400002</v>
      </c>
      <c r="I156" s="12" t="n">
        <v>1060545.7008</v>
      </c>
      <c r="J156" s="12" t="n">
        <v>81608.99040000001</v>
      </c>
      <c r="K156" s="12" t="n">
        <v>1060545.7008</v>
      </c>
      <c r="L156" s="12" t="n">
        <v>195895.3248</v>
      </c>
      <c r="M156" s="9" t="n">
        <v>7</v>
      </c>
      <c r="N156" s="12" t="n">
        <v>338474.2248</v>
      </c>
      <c r="O156" s="12" t="n">
        <v>447508.8</v>
      </c>
      <c r="P156" s="12" t="n">
        <v>8400000.002400002</v>
      </c>
      <c r="Q156" s="9" t="inlineStr">
        <is>
          <t>Low</t>
        </is>
      </c>
      <c r="R156" s="11">
        <f>IFERROR(O156/K156,0)</f>
        <v/>
      </c>
    </row>
    <row r="157">
      <c r="A157" s="9" t="inlineStr">
        <is>
          <t>T0596</t>
        </is>
      </c>
      <c r="B157" s="9" t="inlineStr">
        <is>
          <t>Granite Indemnity</t>
        </is>
      </c>
      <c r="C157" s="9" t="inlineStr">
        <is>
          <t>Professional</t>
        </is>
      </c>
      <c r="D157" s="9" t="inlineStr">
        <is>
          <t>Europe</t>
        </is>
      </c>
      <c r="E157" s="9" t="inlineStr">
        <is>
          <t>Priya Nair</t>
        </is>
      </c>
      <c r="F157" s="9" t="inlineStr">
        <is>
          <t>Proportional</t>
        </is>
      </c>
      <c r="G157" s="9" t="n">
        <v>2025</v>
      </c>
      <c r="H157" s="12" t="n">
        <v>14200000.002</v>
      </c>
      <c r="I157" s="12" t="n">
        <v>1873656.1008</v>
      </c>
      <c r="J157" s="12" t="n">
        <v>149123.4624</v>
      </c>
      <c r="K157" s="12" t="n">
        <v>1856622.8592</v>
      </c>
      <c r="L157" s="12" t="n">
        <v>549887.423560519</v>
      </c>
      <c r="M157" s="9" t="n">
        <v>9</v>
      </c>
      <c r="N157" s="12" t="n">
        <v>363799.188</v>
      </c>
      <c r="O157" s="12" t="n">
        <v>1306360.224</v>
      </c>
      <c r="P157" s="12" t="n">
        <v>2129999.9976</v>
      </c>
      <c r="Q157" s="9" t="inlineStr">
        <is>
          <t>Low</t>
        </is>
      </c>
      <c r="R157" s="11">
        <f>IFERROR(O157/K157,0)</f>
        <v/>
      </c>
    </row>
    <row r="158">
      <c r="A158" s="9" t="inlineStr">
        <is>
          <t>T0601</t>
        </is>
      </c>
      <c r="B158" s="9" t="inlineStr">
        <is>
          <t>Cobalt Assurance</t>
        </is>
      </c>
      <c r="C158" s="9" t="inlineStr">
        <is>
          <t>Casualty</t>
        </is>
      </c>
      <c r="D158" s="9" t="inlineStr">
        <is>
          <t>Europe</t>
        </is>
      </c>
      <c r="E158" s="9" t="inlineStr">
        <is>
          <t>Priya Nair</t>
        </is>
      </c>
      <c r="F158" s="9" t="inlineStr">
        <is>
          <t>Proportional</t>
        </is>
      </c>
      <c r="G158" s="9" t="n">
        <v>2025</v>
      </c>
      <c r="H158" s="12" t="n">
        <v>26900000.0028</v>
      </c>
      <c r="I158" s="12" t="n">
        <v>4966603.2576</v>
      </c>
      <c r="J158" s="12" t="n">
        <v>548531.0928</v>
      </c>
      <c r="K158" s="12" t="n">
        <v>4966603.2576</v>
      </c>
      <c r="L158" s="12" t="n">
        <v>1360808.9424</v>
      </c>
      <c r="M158" s="9" t="n">
        <v>12</v>
      </c>
      <c r="N158" s="12" t="n">
        <v>2009529.7344</v>
      </c>
      <c r="O158" s="12" t="n">
        <v>2954992.7952</v>
      </c>
      <c r="P158" s="12" t="n">
        <v>5379999.998400001</v>
      </c>
      <c r="Q158" s="9" t="inlineStr">
        <is>
          <t>Low</t>
        </is>
      </c>
      <c r="R158" s="11">
        <f>IFERROR(O158/K158,0)</f>
        <v/>
      </c>
    </row>
    <row r="159">
      <c r="A159" s="9" t="inlineStr">
        <is>
          <t>T0604</t>
        </is>
      </c>
      <c r="B159" s="9" t="inlineStr">
        <is>
          <t>Meridian Indemnity</t>
        </is>
      </c>
      <c r="C159" s="9" t="inlineStr">
        <is>
          <t>Specialty</t>
        </is>
      </c>
      <c r="D159" s="9" t="inlineStr">
        <is>
          <t>Europe</t>
        </is>
      </c>
      <c r="E159" s="9" t="inlineStr">
        <is>
          <t>Carlos Ibarra</t>
        </is>
      </c>
      <c r="F159" s="9" t="inlineStr">
        <is>
          <t>Proportional</t>
        </is>
      </c>
      <c r="G159" s="9" t="n">
        <v>2022</v>
      </c>
      <c r="H159" s="12" t="n">
        <v>9200000.001600001</v>
      </c>
      <c r="I159" s="12" t="n">
        <v>704563.5312000001</v>
      </c>
      <c r="J159" s="12" t="n">
        <v>52384.83840000001</v>
      </c>
      <c r="K159" s="12" t="n">
        <v>704563.5312000001</v>
      </c>
      <c r="L159" s="12" t="n">
        <v>214802.5392</v>
      </c>
      <c r="M159" s="9" t="n">
        <v>8</v>
      </c>
      <c r="N159" s="12" t="n">
        <v>444716.8812000001</v>
      </c>
      <c r="O159" s="12" t="n">
        <v>444716.8812000001</v>
      </c>
      <c r="P159" s="12" t="n">
        <v>3680000.0028</v>
      </c>
      <c r="Q159" s="9" t="inlineStr">
        <is>
          <t>Low</t>
        </is>
      </c>
      <c r="R159" s="11">
        <f>IFERROR(O159/K159,0)</f>
        <v/>
      </c>
    </row>
    <row r="160">
      <c r="A160" s="9" t="inlineStr">
        <is>
          <t>T0606</t>
        </is>
      </c>
      <c r="B160" s="9" t="inlineStr">
        <is>
          <t>Granite Mutual</t>
        </is>
      </c>
      <c r="C160" s="9" t="inlineStr">
        <is>
          <t>Property</t>
        </is>
      </c>
      <c r="D160" s="9" t="inlineStr">
        <is>
          <t>Europe</t>
        </is>
      </c>
      <c r="E160" s="9" t="inlineStr">
        <is>
          <t>Priya Nair</t>
        </is>
      </c>
      <c r="F160" s="9" t="inlineStr">
        <is>
          <t>Proportional</t>
        </is>
      </c>
      <c r="G160" s="9" t="n">
        <v>2026</v>
      </c>
      <c r="H160" s="12" t="n">
        <v>7899999.9988</v>
      </c>
      <c r="I160" s="12" t="n">
        <v>357300.8348</v>
      </c>
      <c r="J160" s="12" t="n">
        <v>23442.2188</v>
      </c>
      <c r="K160" s="12" t="n">
        <v>330077.9149</v>
      </c>
      <c r="L160" s="12" t="n">
        <v>79270.05502333173</v>
      </c>
      <c r="M160" s="9" t="n">
        <v>4</v>
      </c>
      <c r="N160" s="12" t="n">
        <v>57558.4701</v>
      </c>
      <c r="O160" s="12" t="n">
        <v>224212.2135</v>
      </c>
      <c r="P160" s="12" t="n">
        <v>2369999.9971</v>
      </c>
      <c r="Q160" s="9" t="inlineStr">
        <is>
          <t>Low</t>
        </is>
      </c>
      <c r="R160" s="11">
        <f>IFERROR(O160/K160,0)</f>
        <v/>
      </c>
    </row>
    <row r="161">
      <c r="A161" s="9" t="inlineStr">
        <is>
          <t>T0607</t>
        </is>
      </c>
      <c r="B161" s="9" t="inlineStr">
        <is>
          <t>Cobalt Mutual</t>
        </is>
      </c>
      <c r="C161" s="9" t="inlineStr">
        <is>
          <t>Financial Lines</t>
        </is>
      </c>
      <c r="D161" s="9" t="inlineStr">
        <is>
          <t>Europe</t>
        </is>
      </c>
      <c r="E161" s="9" t="inlineStr">
        <is>
          <t>Unassigned</t>
        </is>
      </c>
      <c r="F161" s="9" t="inlineStr">
        <is>
          <t>Excess of Loss</t>
        </is>
      </c>
      <c r="G161" s="9" t="n">
        <v>2025</v>
      </c>
      <c r="H161" s="12" t="n">
        <v>21999999.9996</v>
      </c>
      <c r="I161" s="12" t="n">
        <v>3073991.472000001</v>
      </c>
      <c r="J161" s="12" t="n">
        <v>311927.8896</v>
      </c>
      <c r="K161" s="12" t="n">
        <v>3073991.472000001</v>
      </c>
      <c r="L161" s="12" t="n">
        <v>191753.8272</v>
      </c>
      <c r="M161" s="9" t="n">
        <v>7</v>
      </c>
      <c r="N161" s="12" t="n">
        <v>1318202.9748</v>
      </c>
      <c r="O161" s="12" t="n">
        <v>1922783.724</v>
      </c>
      <c r="P161" s="12" t="n">
        <v>21999999.9996</v>
      </c>
      <c r="Q161" s="9" t="inlineStr">
        <is>
          <t>Low</t>
        </is>
      </c>
      <c r="R161" s="11">
        <f>IFERROR(O161/K161,0)</f>
        <v/>
      </c>
    </row>
    <row r="162">
      <c r="A162" s="9" t="inlineStr">
        <is>
          <t>T0615</t>
        </is>
      </c>
      <c r="B162" s="9" t="inlineStr">
        <is>
          <t>Summit Insurance</t>
        </is>
      </c>
      <c r="C162" s="9" t="inlineStr">
        <is>
          <t>Professional</t>
        </is>
      </c>
      <c r="D162" s="9" t="inlineStr">
        <is>
          <t>Europe</t>
        </is>
      </c>
      <c r="E162" s="9" t="inlineStr">
        <is>
          <t>Sophie Laurent</t>
        </is>
      </c>
      <c r="F162" s="9" t="inlineStr">
        <is>
          <t>Proportional</t>
        </is>
      </c>
      <c r="G162" s="9" t="n">
        <v>2021</v>
      </c>
      <c r="H162" s="12" t="n">
        <v>35599999.99680001</v>
      </c>
      <c r="I162" s="12" t="n">
        <v>3136267.512</v>
      </c>
      <c r="J162" s="12" t="n">
        <v>189675.9504</v>
      </c>
      <c r="K162" s="12" t="n">
        <v>3136267.512</v>
      </c>
      <c r="L162" s="12" t="n">
        <v>896689.3104000001</v>
      </c>
      <c r="M162" s="9" t="n">
        <v>9</v>
      </c>
      <c r="N162" s="12" t="n">
        <v>2738262.2292</v>
      </c>
      <c r="O162" s="12" t="n">
        <v>2764389.0924</v>
      </c>
      <c r="P162" s="12" t="n">
        <v>7119999.9972</v>
      </c>
      <c r="Q162" s="9" t="inlineStr">
        <is>
          <t>Low</t>
        </is>
      </c>
      <c r="R162" s="11">
        <f>IFERROR(O162/K162,0)</f>
        <v/>
      </c>
    </row>
    <row r="163">
      <c r="A163" s="9" t="inlineStr">
        <is>
          <t>T0616</t>
        </is>
      </c>
      <c r="B163" s="9" t="inlineStr">
        <is>
          <t>Cobalt Mutual</t>
        </is>
      </c>
      <c r="C163" s="9" t="inlineStr">
        <is>
          <t>Specialty</t>
        </is>
      </c>
      <c r="D163" s="9" t="inlineStr">
        <is>
          <t>Europe</t>
        </is>
      </c>
      <c r="E163" s="9" t="inlineStr">
        <is>
          <t>James Whitfield</t>
        </is>
      </c>
      <c r="F163" s="9" t="inlineStr">
        <is>
          <t>Proportional</t>
        </is>
      </c>
      <c r="G163" s="9" t="n">
        <v>2024</v>
      </c>
      <c r="H163" s="12" t="n">
        <v>7099999.995600001</v>
      </c>
      <c r="I163" s="12" t="n">
        <v>867125.3472000001</v>
      </c>
      <c r="J163" s="12" t="n">
        <v>80917.31520000001</v>
      </c>
      <c r="K163" s="12" t="n">
        <v>867125.3472000001</v>
      </c>
      <c r="L163" s="12" t="n">
        <v>244844.0784</v>
      </c>
      <c r="M163" s="9" t="n">
        <v>7</v>
      </c>
      <c r="N163" s="12" t="n">
        <v>155394.7092</v>
      </c>
      <c r="O163" s="12" t="n">
        <v>155394.7092</v>
      </c>
      <c r="P163" s="12" t="n">
        <v>710000.0028000001</v>
      </c>
      <c r="Q163" s="9" t="inlineStr">
        <is>
          <t>Low</t>
        </is>
      </c>
      <c r="R163" s="11">
        <f>IFERROR(O163/K163,0)</f>
        <v/>
      </c>
    </row>
    <row r="164">
      <c r="A164" s="9" t="inlineStr">
        <is>
          <t>T0618</t>
        </is>
      </c>
      <c r="B164" s="9" t="inlineStr">
        <is>
          <t>Pioneer Insurance</t>
        </is>
      </c>
      <c r="C164" s="9" t="inlineStr">
        <is>
          <t>Specialty</t>
        </is>
      </c>
      <c r="D164" s="9" t="inlineStr">
        <is>
          <t>Europe</t>
        </is>
      </c>
      <c r="E164" s="9" t="inlineStr">
        <is>
          <t>Kenji Sato</t>
        </is>
      </c>
      <c r="F164" s="9" t="inlineStr">
        <is>
          <t>Excess of Loss</t>
        </is>
      </c>
      <c r="G164" s="9" t="n">
        <v>2023</v>
      </c>
      <c r="H164" s="12" t="n">
        <v>4100000.004</v>
      </c>
      <c r="I164" s="12" t="n">
        <v>613904.7024000001</v>
      </c>
      <c r="J164" s="12" t="n">
        <v>43417.6848</v>
      </c>
      <c r="K164" s="12" t="n">
        <v>613904.7024000001</v>
      </c>
      <c r="L164" s="12" t="n">
        <v>30899.3616</v>
      </c>
      <c r="M164" s="9" t="n">
        <v>9</v>
      </c>
      <c r="N164" s="12" t="n">
        <v>363596.7096</v>
      </c>
      <c r="O164" s="12" t="n">
        <v>384868.4004</v>
      </c>
      <c r="P164" s="12" t="n">
        <v>4100000.004</v>
      </c>
      <c r="Q164" s="9" t="inlineStr">
        <is>
          <t>Low</t>
        </is>
      </c>
      <c r="R164" s="11">
        <f>IFERROR(O164/K164,0)</f>
        <v/>
      </c>
    </row>
    <row r="165">
      <c r="A165" s="9" t="inlineStr">
        <is>
          <t>T0621</t>
        </is>
      </c>
      <c r="B165" s="9" t="inlineStr">
        <is>
          <t>Atlas Mutual</t>
        </is>
      </c>
      <c r="C165" s="9" t="inlineStr">
        <is>
          <t>Property</t>
        </is>
      </c>
      <c r="D165" s="9" t="inlineStr">
        <is>
          <t>Europe</t>
        </is>
      </c>
      <c r="E165" s="9" t="inlineStr">
        <is>
          <t>Carlos Ibarra</t>
        </is>
      </c>
      <c r="F165" s="9" t="inlineStr">
        <is>
          <t>Proportional</t>
        </is>
      </c>
      <c r="G165" s="9" t="n">
        <v>2021</v>
      </c>
      <c r="H165" s="12" t="n">
        <v>19399999.9968</v>
      </c>
      <c r="I165" s="12" t="n">
        <v>1581155.532</v>
      </c>
      <c r="J165" s="12" t="n">
        <v>88718.652</v>
      </c>
      <c r="K165" s="12" t="n">
        <v>1581155.532</v>
      </c>
      <c r="L165" s="12" t="n">
        <v>460140.318</v>
      </c>
      <c r="M165" s="9" t="n">
        <v>7</v>
      </c>
      <c r="N165" s="12" t="n">
        <v>534426.9084000001</v>
      </c>
      <c r="O165" s="12" t="n">
        <v>1121468.1012</v>
      </c>
      <c r="P165" s="12" t="n">
        <v>9699999.998400001</v>
      </c>
      <c r="Q165" s="9" t="inlineStr">
        <is>
          <t>Low</t>
        </is>
      </c>
      <c r="R165" s="11">
        <f>IFERROR(O165/K165,0)</f>
        <v/>
      </c>
    </row>
    <row r="166">
      <c r="A166" s="9" t="inlineStr">
        <is>
          <t>T0625</t>
        </is>
      </c>
      <c r="B166" s="9" t="inlineStr">
        <is>
          <t>Meridian Indemnity</t>
        </is>
      </c>
      <c r="C166" s="9" t="inlineStr">
        <is>
          <t>Professional</t>
        </is>
      </c>
      <c r="D166" s="9" t="inlineStr">
        <is>
          <t>Europe</t>
        </is>
      </c>
      <c r="E166" s="9" t="inlineStr">
        <is>
          <t>Carlos Ibarra</t>
        </is>
      </c>
      <c r="F166" s="9" t="inlineStr">
        <is>
          <t>Facultative</t>
        </is>
      </c>
      <c r="G166" s="9" t="n">
        <v>2025</v>
      </c>
      <c r="H166" s="12" t="n">
        <v>2300000.0004</v>
      </c>
      <c r="I166" s="12" t="n">
        <v>200000.016</v>
      </c>
      <c r="J166" s="12" t="n">
        <v>19938.18240000001</v>
      </c>
      <c r="K166" s="12" t="n">
        <v>194444.4636</v>
      </c>
      <c r="L166" s="12" t="n">
        <v>32680.49460505596</v>
      </c>
      <c r="M166" s="9" t="n">
        <v>3</v>
      </c>
      <c r="N166" s="12" t="n">
        <v>69735.34080000001</v>
      </c>
      <c r="O166" s="12" t="n">
        <v>96653.53080000001</v>
      </c>
      <c r="P166" s="12" t="n">
        <v>2300000.0004</v>
      </c>
      <c r="Q166" s="9" t="inlineStr">
        <is>
          <t>Low</t>
        </is>
      </c>
      <c r="R166" s="11">
        <f>IFERROR(O166/K166,0)</f>
        <v/>
      </c>
    </row>
    <row r="167">
      <c r="A167" s="9" t="inlineStr">
        <is>
          <t>T0628</t>
        </is>
      </c>
      <c r="B167" s="9" t="inlineStr">
        <is>
          <t>Orion Mutual</t>
        </is>
      </c>
      <c r="C167" s="9" t="inlineStr">
        <is>
          <t>Casualty</t>
        </is>
      </c>
      <c r="D167" s="9" t="inlineStr">
        <is>
          <t>Europe</t>
        </is>
      </c>
      <c r="E167" s="9" t="inlineStr">
        <is>
          <t>Sophie Laurent</t>
        </is>
      </c>
      <c r="F167" s="9" t="inlineStr">
        <is>
          <t>Facultative</t>
        </is>
      </c>
      <c r="G167" s="9" t="n">
        <v>2026</v>
      </c>
      <c r="H167" s="12" t="n">
        <v>84300000.00480001</v>
      </c>
      <c r="I167" s="12" t="n">
        <v>2118389.6952</v>
      </c>
      <c r="J167" s="12" t="n">
        <v>210173.6808</v>
      </c>
      <c r="K167" s="12" t="n">
        <v>1930088.3904</v>
      </c>
      <c r="L167" s="12" t="n">
        <v>327461.3750443123</v>
      </c>
      <c r="M167" s="9" t="n">
        <v>3</v>
      </c>
      <c r="N167" s="12" t="n">
        <v>850769.1792000001</v>
      </c>
      <c r="O167" s="12" t="n">
        <v>1079199.558</v>
      </c>
      <c r="P167" s="12" t="n">
        <v>84300000.00480001</v>
      </c>
      <c r="Q167" s="9" t="inlineStr">
        <is>
          <t>Low</t>
        </is>
      </c>
      <c r="R167" s="11">
        <f>IFERROR(O167/K167,0)</f>
        <v/>
      </c>
    </row>
    <row r="168">
      <c r="A168" s="9" t="inlineStr">
        <is>
          <t>T0635</t>
        </is>
      </c>
      <c r="B168" s="9" t="inlineStr">
        <is>
          <t>Pioneer Insurance</t>
        </is>
      </c>
      <c r="C168" s="9" t="inlineStr">
        <is>
          <t>Specialty</t>
        </is>
      </c>
      <c r="D168" s="9" t="inlineStr">
        <is>
          <t>Europe</t>
        </is>
      </c>
      <c r="E168" s="9" t="inlineStr">
        <is>
          <t>Priya Nair</t>
        </is>
      </c>
      <c r="F168" s="9" t="inlineStr">
        <is>
          <t>Facultative</t>
        </is>
      </c>
      <c r="G168" s="9" t="n">
        <v>2024</v>
      </c>
      <c r="H168" s="12" t="n">
        <v>10800000</v>
      </c>
      <c r="I168" s="12" t="n">
        <v>884006.5248000001</v>
      </c>
      <c r="J168" s="12" t="n">
        <v>46934.8992</v>
      </c>
      <c r="K168" s="12" t="n">
        <v>884006.5248000001</v>
      </c>
      <c r="L168" s="12" t="n">
        <v>144022.6656</v>
      </c>
      <c r="M168" s="9" t="n">
        <v>7</v>
      </c>
      <c r="N168" s="12" t="n">
        <v>577427.7348000001</v>
      </c>
      <c r="O168" s="12" t="n">
        <v>577427.7348000001</v>
      </c>
      <c r="P168" s="12" t="n">
        <v>10800000</v>
      </c>
      <c r="Q168" s="9" t="inlineStr">
        <is>
          <t>Low</t>
        </is>
      </c>
      <c r="R168" s="11">
        <f>IFERROR(O168/K168,0)</f>
        <v/>
      </c>
    </row>
    <row r="169">
      <c r="A169" s="9" t="inlineStr">
        <is>
          <t>T0636</t>
        </is>
      </c>
      <c r="B169" s="9" t="inlineStr">
        <is>
          <t>Vantage Assurance</t>
        </is>
      </c>
      <c r="C169" s="9" t="inlineStr">
        <is>
          <t>Casualty</t>
        </is>
      </c>
      <c r="D169" s="9" t="inlineStr">
        <is>
          <t>Europe</t>
        </is>
      </c>
      <c r="E169" s="9" t="inlineStr">
        <is>
          <t>Omar Haddad</t>
        </is>
      </c>
      <c r="F169" s="9" t="inlineStr">
        <is>
          <t>Proportional</t>
        </is>
      </c>
      <c r="G169" s="9" t="n">
        <v>2022</v>
      </c>
      <c r="H169" s="12" t="n">
        <v>10300000.0032</v>
      </c>
      <c r="I169" s="12" t="n">
        <v>985012.2288</v>
      </c>
      <c r="J169" s="12" t="n">
        <v>84610.13760000002</v>
      </c>
      <c r="K169" s="12" t="n">
        <v>985012.2288</v>
      </c>
      <c r="L169" s="12" t="n">
        <v>274184.6112</v>
      </c>
      <c r="M169" s="9" t="n">
        <v>12</v>
      </c>
      <c r="N169" s="12" t="n">
        <v>348666.0336</v>
      </c>
      <c r="O169" s="12" t="n">
        <v>417035.3364</v>
      </c>
      <c r="P169" s="12" t="n">
        <v>1545000.0048</v>
      </c>
      <c r="Q169" s="9" t="inlineStr">
        <is>
          <t>Low</t>
        </is>
      </c>
      <c r="R169" s="11">
        <f>IFERROR(O169/K169,0)</f>
        <v/>
      </c>
    </row>
    <row r="170">
      <c r="A170" s="9" t="inlineStr">
        <is>
          <t>T0640</t>
        </is>
      </c>
      <c r="B170" s="9" t="inlineStr">
        <is>
          <t>Pioneer Insurance</t>
        </is>
      </c>
      <c r="C170" s="9" t="inlineStr">
        <is>
          <t>Specialty</t>
        </is>
      </c>
      <c r="D170" s="9" t="inlineStr">
        <is>
          <t>Europe</t>
        </is>
      </c>
      <c r="E170" s="9" t="inlineStr">
        <is>
          <t>Priya Nair</t>
        </is>
      </c>
      <c r="F170" s="9" t="inlineStr">
        <is>
          <t>Proportional</t>
        </is>
      </c>
      <c r="G170" s="9" t="n">
        <v>2025</v>
      </c>
      <c r="H170" s="12" t="n">
        <v>105699999.9996</v>
      </c>
      <c r="I170" s="12" t="n">
        <v>7931892.3408</v>
      </c>
      <c r="J170" s="12" t="n">
        <v>509142.1536000001</v>
      </c>
      <c r="K170" s="12" t="n">
        <v>7931892.3408</v>
      </c>
      <c r="L170" s="12" t="n">
        <v>2461997.462400001</v>
      </c>
      <c r="M170" s="9" t="n">
        <v>5</v>
      </c>
      <c r="N170" s="12" t="n">
        <v>7286314.3596</v>
      </c>
      <c r="O170" s="12" t="n">
        <v>7334530.9056</v>
      </c>
      <c r="P170" s="12" t="n">
        <v>31709999.9988</v>
      </c>
      <c r="Q170" s="9" t="inlineStr">
        <is>
          <t>Low</t>
        </is>
      </c>
      <c r="R170" s="11">
        <f>IFERROR(O170/K170,0)</f>
        <v/>
      </c>
    </row>
    <row r="171">
      <c r="A171" s="9" t="inlineStr">
        <is>
          <t>T0642</t>
        </is>
      </c>
      <c r="B171" s="9" t="inlineStr">
        <is>
          <t>Cobalt Assurance</t>
        </is>
      </c>
      <c r="C171" s="9" t="inlineStr">
        <is>
          <t>Specialty</t>
        </is>
      </c>
      <c r="D171" s="9" t="inlineStr">
        <is>
          <t>Europe</t>
        </is>
      </c>
      <c r="E171" s="9" t="inlineStr">
        <is>
          <t>Aarav Mehta</t>
        </is>
      </c>
      <c r="F171" s="9" t="inlineStr">
        <is>
          <t>Excess of Loss</t>
        </is>
      </c>
      <c r="G171" s="9" t="n">
        <v>2022</v>
      </c>
      <c r="H171" s="12" t="n">
        <v>43699999.99680001</v>
      </c>
      <c r="I171" s="12" t="n">
        <v>5005804.536</v>
      </c>
      <c r="J171" s="12" t="n">
        <v>572972.8752000001</v>
      </c>
      <c r="K171" s="12" t="n">
        <v>5005804.536</v>
      </c>
      <c r="L171" s="12" t="n">
        <v>524874.6864</v>
      </c>
      <c r="M171" s="9" t="n">
        <v>11</v>
      </c>
      <c r="N171" s="12" t="n">
        <v>2834185.5504</v>
      </c>
      <c r="O171" s="12" t="n">
        <v>2834185.5504</v>
      </c>
      <c r="P171" s="12" t="n">
        <v>43699999.99680001</v>
      </c>
      <c r="Q171" s="9" t="inlineStr">
        <is>
          <t>Low</t>
        </is>
      </c>
      <c r="R171" s="11">
        <f>IFERROR(O171/K171,0)</f>
        <v/>
      </c>
    </row>
    <row r="172">
      <c r="A172" s="9" t="inlineStr">
        <is>
          <t>T0643</t>
        </is>
      </c>
      <c r="B172" s="9" t="inlineStr">
        <is>
          <t>Pioneer General</t>
        </is>
      </c>
      <c r="C172" s="9" t="inlineStr">
        <is>
          <t>Property</t>
        </is>
      </c>
      <c r="D172" s="9" t="inlineStr">
        <is>
          <t>Europe</t>
        </is>
      </c>
      <c r="E172" s="9" t="inlineStr">
        <is>
          <t>Sophie Laurent</t>
        </is>
      </c>
      <c r="F172" s="9" t="inlineStr">
        <is>
          <t>Excess of Loss</t>
        </is>
      </c>
      <c r="G172" s="9" t="n">
        <v>2025</v>
      </c>
      <c r="H172" s="12" t="n">
        <v>15700000.0032</v>
      </c>
      <c r="I172" s="12" t="n">
        <v>2218041.792</v>
      </c>
      <c r="J172" s="12" t="n">
        <v>128016.0288</v>
      </c>
      <c r="K172" s="12" t="n">
        <v>2218041.792</v>
      </c>
      <c r="L172" s="12" t="n">
        <v>205279.92</v>
      </c>
      <c r="M172" s="9" t="n">
        <v>8</v>
      </c>
      <c r="N172" s="12" t="n">
        <v>499042.6740000001</v>
      </c>
      <c r="O172" s="12" t="n">
        <v>871149.9672000001</v>
      </c>
      <c r="P172" s="12" t="n">
        <v>15700000.0032</v>
      </c>
      <c r="Q172" s="9" t="inlineStr">
        <is>
          <t>Low</t>
        </is>
      </c>
      <c r="R172" s="11">
        <f>IFERROR(O172/K172,0)</f>
        <v/>
      </c>
    </row>
    <row r="173">
      <c r="A173" s="9" t="inlineStr">
        <is>
          <t>T0645</t>
        </is>
      </c>
      <c r="B173" s="9" t="inlineStr">
        <is>
          <t>Cobalt Mutual</t>
        </is>
      </c>
      <c r="C173" s="9" t="inlineStr">
        <is>
          <t>Property</t>
        </is>
      </c>
      <c r="D173" s="9" t="inlineStr">
        <is>
          <t>Europe</t>
        </is>
      </c>
      <c r="E173" s="9" t="inlineStr">
        <is>
          <t>Sophie Laurent</t>
        </is>
      </c>
      <c r="F173" s="9" t="inlineStr">
        <is>
          <t>Excess of Loss</t>
        </is>
      </c>
      <c r="G173" s="9" t="n">
        <v>2023</v>
      </c>
      <c r="H173" s="12" t="n">
        <v>9200000.001600001</v>
      </c>
      <c r="I173" s="12" t="n">
        <v>817877.6063999999</v>
      </c>
      <c r="J173" s="12" t="n">
        <v>73378.224</v>
      </c>
      <c r="K173" s="12" t="n">
        <v>817877.6063999999</v>
      </c>
      <c r="L173" s="12" t="n">
        <v>55178.1072</v>
      </c>
      <c r="M173" s="9" t="n">
        <v>4</v>
      </c>
      <c r="N173" s="12" t="n">
        <v>211732.6608</v>
      </c>
      <c r="O173" s="12" t="n">
        <v>211732.6608</v>
      </c>
      <c r="P173" s="12" t="n">
        <v>9200000.001600001</v>
      </c>
      <c r="Q173" s="9" t="inlineStr">
        <is>
          <t>Low</t>
        </is>
      </c>
      <c r="R173" s="11">
        <f>IFERROR(O173/K173,0)</f>
        <v/>
      </c>
    </row>
    <row r="174">
      <c r="A174" s="9" t="inlineStr">
        <is>
          <t>T0646</t>
        </is>
      </c>
      <c r="B174" s="9" t="inlineStr">
        <is>
          <t>Cobalt Mutual</t>
        </is>
      </c>
      <c r="C174" s="9" t="inlineStr">
        <is>
          <t>Property</t>
        </is>
      </c>
      <c r="D174" s="9" t="inlineStr">
        <is>
          <t>Europe</t>
        </is>
      </c>
      <c r="E174" s="9" t="inlineStr">
        <is>
          <t>Omar Haddad</t>
        </is>
      </c>
      <c r="F174" s="9" t="inlineStr">
        <is>
          <t>Facultative</t>
        </is>
      </c>
      <c r="G174" s="9" t="n">
        <v>2025</v>
      </c>
      <c r="H174" s="12" t="n">
        <v>27000000</v>
      </c>
      <c r="I174" s="12" t="n">
        <v>2010305.0448</v>
      </c>
      <c r="J174" s="12" t="n">
        <v>122603.6736</v>
      </c>
      <c r="K174" s="12" t="n">
        <v>2010305.0448</v>
      </c>
      <c r="L174" s="12" t="n">
        <v>375043.7376</v>
      </c>
      <c r="M174" s="9" t="n">
        <v>14</v>
      </c>
      <c r="N174" s="12" t="n">
        <v>654430.8816000001</v>
      </c>
      <c r="O174" s="12" t="n">
        <v>1289755.2996</v>
      </c>
      <c r="P174" s="12" t="n">
        <v>27000000</v>
      </c>
      <c r="Q174" s="9" t="inlineStr">
        <is>
          <t>Low</t>
        </is>
      </c>
      <c r="R174" s="11">
        <f>IFERROR(O174/K174,0)</f>
        <v/>
      </c>
    </row>
    <row r="175">
      <c r="A175" s="9" t="inlineStr">
        <is>
          <t>T0648</t>
        </is>
      </c>
      <c r="B175" s="9" t="inlineStr">
        <is>
          <t>Pioneer Assurance</t>
        </is>
      </c>
      <c r="C175" s="9" t="inlineStr">
        <is>
          <t>Property</t>
        </is>
      </c>
      <c r="D175" s="9" t="inlineStr">
        <is>
          <t>Europe</t>
        </is>
      </c>
      <c r="E175" s="9" t="inlineStr">
        <is>
          <t>Kenji Sato</t>
        </is>
      </c>
      <c r="F175" s="9" t="inlineStr">
        <is>
          <t>Proportional</t>
        </is>
      </c>
      <c r="G175" s="9" t="n">
        <v>2023</v>
      </c>
      <c r="H175" s="12" t="n">
        <v>45999999.9972</v>
      </c>
      <c r="I175" s="12" t="n">
        <v>3932304.5376</v>
      </c>
      <c r="J175" s="12" t="n">
        <v>382043.8224</v>
      </c>
      <c r="K175" s="12" t="n">
        <v>3932304.5376</v>
      </c>
      <c r="L175" s="12" t="n">
        <v>1238333.832</v>
      </c>
      <c r="M175" s="9" t="n">
        <v>8</v>
      </c>
      <c r="N175" s="12" t="n">
        <v>2651346.8532</v>
      </c>
      <c r="O175" s="12" t="n">
        <v>2762811.8712</v>
      </c>
      <c r="P175" s="12" t="n">
        <v>23000000.004</v>
      </c>
      <c r="Q175" s="9" t="inlineStr">
        <is>
          <t>Low</t>
        </is>
      </c>
      <c r="R175" s="11">
        <f>IFERROR(O175/K175,0)</f>
        <v/>
      </c>
    </row>
    <row r="176">
      <c r="A176" s="9" t="inlineStr">
        <is>
          <t>T0655</t>
        </is>
      </c>
      <c r="B176" s="9" t="inlineStr">
        <is>
          <t>Pioneer Insurance</t>
        </is>
      </c>
      <c r="C176" s="9" t="inlineStr">
        <is>
          <t>Specialty</t>
        </is>
      </c>
      <c r="D176" s="9" t="inlineStr">
        <is>
          <t>Europe</t>
        </is>
      </c>
      <c r="E176" s="9" t="inlineStr">
        <is>
          <t>Hannah Weber</t>
        </is>
      </c>
      <c r="F176" s="9" t="inlineStr">
        <is>
          <t>Excess of Loss</t>
        </is>
      </c>
      <c r="G176" s="9" t="n">
        <v>2022</v>
      </c>
      <c r="H176" s="12" t="n">
        <v>10800000</v>
      </c>
      <c r="I176" s="12" t="n">
        <v>1060887.456</v>
      </c>
      <c r="J176" s="12" t="n">
        <v>95102.9424</v>
      </c>
      <c r="K176" s="12" t="n">
        <v>1060887.456</v>
      </c>
      <c r="L176" s="12" t="n">
        <v>83428.05600000001</v>
      </c>
      <c r="M176" s="9" t="n">
        <v>9</v>
      </c>
      <c r="N176" s="12" t="n">
        <v>477401.4072</v>
      </c>
      <c r="O176" s="12" t="n">
        <v>507071.2536</v>
      </c>
      <c r="P176" s="12" t="n">
        <v>10800000</v>
      </c>
      <c r="Q176" s="9" t="inlineStr">
        <is>
          <t>Low</t>
        </is>
      </c>
      <c r="R176" s="11">
        <f>IFERROR(O176/K176,0)</f>
        <v/>
      </c>
    </row>
    <row r="177">
      <c r="A177" s="9" t="inlineStr">
        <is>
          <t>T0659</t>
        </is>
      </c>
      <c r="B177" s="9" t="inlineStr">
        <is>
          <t>Summit Insurance</t>
        </is>
      </c>
      <c r="C177" s="9" t="inlineStr">
        <is>
          <t>Property</t>
        </is>
      </c>
      <c r="D177" s="9" t="inlineStr">
        <is>
          <t>Europe</t>
        </is>
      </c>
      <c r="E177" s="9" t="inlineStr">
        <is>
          <t>Carlos Ibarra</t>
        </is>
      </c>
      <c r="F177" s="9" t="inlineStr">
        <is>
          <t>Excess of Loss</t>
        </is>
      </c>
      <c r="G177" s="9" t="n">
        <v>2022</v>
      </c>
      <c r="H177" s="12" t="n">
        <v>6599999.998800001</v>
      </c>
      <c r="I177" s="12" t="n">
        <v>482254.6896000001</v>
      </c>
      <c r="J177" s="12" t="n">
        <v>44110.7856</v>
      </c>
      <c r="K177" s="12" t="n">
        <v>482254.6896000001</v>
      </c>
      <c r="L177" s="12" t="n">
        <v>50782.72320000001</v>
      </c>
      <c r="M177" s="9" t="n">
        <v>11</v>
      </c>
      <c r="N177" s="12" t="n">
        <v>377432.1144</v>
      </c>
      <c r="O177" s="12" t="n">
        <v>405827.9928</v>
      </c>
      <c r="P177" s="12" t="n">
        <v>6599999.998800001</v>
      </c>
      <c r="Q177" s="9" t="inlineStr">
        <is>
          <t>Low</t>
        </is>
      </c>
      <c r="R177" s="11">
        <f>IFERROR(O177/K177,0)</f>
        <v/>
      </c>
    </row>
    <row r="178">
      <c r="A178" s="9" t="inlineStr">
        <is>
          <t>T0661</t>
        </is>
      </c>
      <c r="B178" s="9" t="inlineStr">
        <is>
          <t>Granite Indemnity</t>
        </is>
      </c>
      <c r="C178" s="9" t="inlineStr">
        <is>
          <t>Casualty</t>
        </is>
      </c>
      <c r="D178" s="9" t="inlineStr">
        <is>
          <t>Europe</t>
        </is>
      </c>
      <c r="E178" s="9" t="inlineStr">
        <is>
          <t>Omar Haddad</t>
        </is>
      </c>
      <c r="F178" s="9" t="inlineStr">
        <is>
          <t>Excess of Loss</t>
        </is>
      </c>
      <c r="G178" s="9" t="n">
        <v>2025</v>
      </c>
      <c r="H178" s="12" t="n">
        <v>17700000.0012</v>
      </c>
      <c r="I178" s="12" t="n">
        <v>1593647.3952</v>
      </c>
      <c r="J178" s="12" t="n">
        <v>188348.0688</v>
      </c>
      <c r="K178" s="12" t="n">
        <v>1567086.6096</v>
      </c>
      <c r="L178" s="12" t="n">
        <v>181677.3175408313</v>
      </c>
      <c r="M178" s="9" t="n">
        <v>5</v>
      </c>
      <c r="N178" s="12" t="n">
        <v>443704.7052</v>
      </c>
      <c r="O178" s="12" t="n">
        <v>835677.7560000001</v>
      </c>
      <c r="P178" s="12" t="n">
        <v>17700000.0012</v>
      </c>
      <c r="Q178" s="9" t="inlineStr">
        <is>
          <t>Low</t>
        </is>
      </c>
      <c r="R178" s="11">
        <f>IFERROR(O178/K178,0)</f>
        <v/>
      </c>
    </row>
    <row r="179">
      <c r="A179" s="9" t="inlineStr">
        <is>
          <t>T0663</t>
        </is>
      </c>
      <c r="B179" s="9" t="inlineStr">
        <is>
          <t>Cobalt Mutual</t>
        </is>
      </c>
      <c r="C179" s="9" t="inlineStr">
        <is>
          <t>Casualty</t>
        </is>
      </c>
      <c r="D179" s="9" t="inlineStr">
        <is>
          <t>Europe</t>
        </is>
      </c>
      <c r="E179" s="9" t="inlineStr">
        <is>
          <t>Carlos Ibarra</t>
        </is>
      </c>
      <c r="F179" s="9" t="inlineStr">
        <is>
          <t>Excess of Loss</t>
        </is>
      </c>
      <c r="G179" s="9" t="n">
        <v>2024</v>
      </c>
      <c r="H179" s="12" t="n">
        <v>53299999.998</v>
      </c>
      <c r="I179" s="12" t="n">
        <v>4363235.9424</v>
      </c>
      <c r="J179" s="12" t="n">
        <v>355387.824</v>
      </c>
      <c r="K179" s="12" t="n">
        <v>4363235.9424</v>
      </c>
      <c r="L179" s="12" t="n">
        <v>304603.416</v>
      </c>
      <c r="M179" s="9" t="n">
        <v>9</v>
      </c>
      <c r="N179" s="12" t="n">
        <v>3002624.0028</v>
      </c>
      <c r="O179" s="12" t="n">
        <v>3230110.8828</v>
      </c>
      <c r="P179" s="12" t="n">
        <v>53299999.998</v>
      </c>
      <c r="Q179" s="9" t="inlineStr">
        <is>
          <t>Low</t>
        </is>
      </c>
      <c r="R179" s="11">
        <f>IFERROR(O179/K179,0)</f>
        <v/>
      </c>
    </row>
    <row r="180">
      <c r="A180" s="9" t="inlineStr">
        <is>
          <t>T0666</t>
        </is>
      </c>
      <c r="B180" s="9" t="inlineStr">
        <is>
          <t>Sterling Mutual</t>
        </is>
      </c>
      <c r="C180" s="9" t="inlineStr">
        <is>
          <t>Specialty</t>
        </is>
      </c>
      <c r="D180" s="9" t="inlineStr">
        <is>
          <t>Europe</t>
        </is>
      </c>
      <c r="E180" s="9" t="inlineStr">
        <is>
          <t>Kenji Sato</t>
        </is>
      </c>
      <c r="F180" s="9" t="inlineStr">
        <is>
          <t>Excess of Loss</t>
        </is>
      </c>
      <c r="G180" s="9" t="n">
        <v>2024</v>
      </c>
      <c r="H180" s="12" t="n">
        <v>16199999.9977</v>
      </c>
      <c r="I180" s="12" t="n">
        <v>2265779.7204</v>
      </c>
      <c r="J180" s="12" t="n">
        <v>265553.0376</v>
      </c>
      <c r="K180" s="12" t="n">
        <v>2265779.7204</v>
      </c>
      <c r="L180" s="12" t="n">
        <v>158973.9264</v>
      </c>
      <c r="M180" s="9" t="n">
        <v>8</v>
      </c>
      <c r="N180" s="12" t="n">
        <v>868667.0714</v>
      </c>
      <c r="O180" s="12" t="n">
        <v>1639356.894</v>
      </c>
      <c r="P180" s="12" t="n">
        <v>16199999.9977</v>
      </c>
      <c r="Q180" s="9" t="inlineStr">
        <is>
          <t>Low</t>
        </is>
      </c>
      <c r="R180" s="11">
        <f>IFERROR(O180/K180,0)</f>
        <v/>
      </c>
    </row>
    <row r="181">
      <c r="A181" s="9" t="inlineStr">
        <is>
          <t>T0673</t>
        </is>
      </c>
      <c r="B181" s="9" t="inlineStr">
        <is>
          <t>Pioneer Insurance</t>
        </is>
      </c>
      <c r="C181" s="9" t="inlineStr">
        <is>
          <t>Casualty</t>
        </is>
      </c>
      <c r="D181" s="9" t="inlineStr">
        <is>
          <t>Europe</t>
        </is>
      </c>
      <c r="E181" s="9" t="inlineStr">
        <is>
          <t>Carlos Ibarra</t>
        </is>
      </c>
      <c r="F181" s="9" t="inlineStr">
        <is>
          <t>Excess of Loss</t>
        </is>
      </c>
      <c r="G181" s="9" t="n">
        <v>2024</v>
      </c>
      <c r="H181" s="12" t="n">
        <v>14900000.004</v>
      </c>
      <c r="I181" s="12" t="n">
        <v>1637719.1712</v>
      </c>
      <c r="J181" s="12" t="n">
        <v>130827.5712</v>
      </c>
      <c r="K181" s="12" t="n">
        <v>1637719.1712</v>
      </c>
      <c r="L181" s="12" t="n">
        <v>157566.2544</v>
      </c>
      <c r="M181" s="9" t="n">
        <v>7</v>
      </c>
      <c r="N181" s="12" t="n">
        <v>1187245.944</v>
      </c>
      <c r="O181" s="12" t="n">
        <v>1281522.3192</v>
      </c>
      <c r="P181" s="12" t="n">
        <v>14900000.004</v>
      </c>
      <c r="Q181" s="9" t="inlineStr">
        <is>
          <t>Low</t>
        </is>
      </c>
      <c r="R181" s="11">
        <f>IFERROR(O181/K181,0)</f>
        <v/>
      </c>
    </row>
    <row r="182">
      <c r="A182" s="9" t="inlineStr">
        <is>
          <t>T0674</t>
        </is>
      </c>
      <c r="B182" s="9" t="inlineStr">
        <is>
          <t>Pioneer Insurance</t>
        </is>
      </c>
      <c r="C182" s="9" t="inlineStr">
        <is>
          <t>Casualty</t>
        </is>
      </c>
      <c r="D182" s="9" t="inlineStr">
        <is>
          <t>Europe</t>
        </is>
      </c>
      <c r="E182" s="9" t="inlineStr">
        <is>
          <t>James Whitfield</t>
        </is>
      </c>
      <c r="F182" s="9" t="inlineStr">
        <is>
          <t>Excess of Loss</t>
        </is>
      </c>
      <c r="G182" s="9" t="n">
        <v>2021</v>
      </c>
      <c r="H182" s="12" t="n">
        <v>4600000.000800001</v>
      </c>
      <c r="I182" s="12" t="n">
        <v>529572.0384000001</v>
      </c>
      <c r="J182" s="12" t="n">
        <v>32206.5072</v>
      </c>
      <c r="K182" s="12" t="n">
        <v>529572.0384000001</v>
      </c>
      <c r="L182" s="12" t="n">
        <v>36127.5552</v>
      </c>
      <c r="M182" s="9" t="n">
        <v>7</v>
      </c>
      <c r="N182" s="12" t="n">
        <v>326623.4604</v>
      </c>
      <c r="O182" s="12" t="n">
        <v>351826.3512</v>
      </c>
      <c r="P182" s="12" t="n">
        <v>4600000.000800001</v>
      </c>
      <c r="Q182" s="9" t="inlineStr">
        <is>
          <t>Low</t>
        </is>
      </c>
      <c r="R182" s="11">
        <f>IFERROR(O182/K182,0)</f>
        <v/>
      </c>
    </row>
    <row r="183">
      <c r="A183" s="9" t="inlineStr">
        <is>
          <t>T0685</t>
        </is>
      </c>
      <c r="B183" s="9" t="inlineStr">
        <is>
          <t>Cobalt Mutual</t>
        </is>
      </c>
      <c r="C183" s="9" t="inlineStr">
        <is>
          <t>Casualty</t>
        </is>
      </c>
      <c r="D183" s="9" t="inlineStr">
        <is>
          <t>Europe</t>
        </is>
      </c>
      <c r="E183" s="9" t="inlineStr">
        <is>
          <t>Hannah Weber</t>
        </is>
      </c>
      <c r="F183" s="9" t="inlineStr">
        <is>
          <t>Proportional</t>
        </is>
      </c>
      <c r="G183" s="9" t="n">
        <v>2025</v>
      </c>
      <c r="H183" s="12" t="n">
        <v>29300000.0004</v>
      </c>
      <c r="I183" s="12" t="n">
        <v>2425009.104</v>
      </c>
      <c r="J183" s="12" t="n">
        <v>217556.5392</v>
      </c>
      <c r="K183" s="12" t="n">
        <v>2425009.104</v>
      </c>
      <c r="L183" s="12" t="n">
        <v>688590.2016000001</v>
      </c>
      <c r="M183" s="9" t="n">
        <v>8</v>
      </c>
      <c r="N183" s="12" t="n">
        <v>1590013.5948</v>
      </c>
      <c r="O183" s="12" t="n">
        <v>1689218.2692</v>
      </c>
      <c r="P183" s="12" t="n">
        <v>4394999.9952</v>
      </c>
      <c r="Q183" s="9" t="inlineStr">
        <is>
          <t>Low</t>
        </is>
      </c>
      <c r="R183" s="11">
        <f>IFERROR(O183/K183,0)</f>
        <v/>
      </c>
    </row>
    <row r="184">
      <c r="A184" s="9" t="inlineStr">
        <is>
          <t>T0688</t>
        </is>
      </c>
      <c r="B184" s="9" t="inlineStr">
        <is>
          <t>Granite Mutual</t>
        </is>
      </c>
      <c r="C184" s="9" t="inlineStr">
        <is>
          <t>Property</t>
        </is>
      </c>
      <c r="D184" s="9" t="inlineStr">
        <is>
          <t>Europe</t>
        </is>
      </c>
      <c r="E184" s="9" t="inlineStr">
        <is>
          <t>Hannah Weber</t>
        </is>
      </c>
      <c r="F184" s="9" t="inlineStr">
        <is>
          <t>Excess of Loss</t>
        </is>
      </c>
      <c r="G184" s="9" t="n">
        <v>2026</v>
      </c>
      <c r="H184" s="12" t="n">
        <v>9499999.999199999</v>
      </c>
      <c r="I184" s="12" t="n">
        <v>599115.5785000001</v>
      </c>
      <c r="J184" s="12" t="n">
        <v>54949.28050000001</v>
      </c>
      <c r="K184" s="12" t="n">
        <v>535209.9151</v>
      </c>
      <c r="L184" s="12" t="n">
        <v>59218.49876597384</v>
      </c>
      <c r="M184" s="9" t="n">
        <v>4</v>
      </c>
      <c r="N184" s="12" t="n">
        <v>140234.3398</v>
      </c>
      <c r="O184" s="12" t="n">
        <v>431904.3686</v>
      </c>
      <c r="P184" s="12" t="n">
        <v>9499999.999199999</v>
      </c>
      <c r="Q184" s="9" t="inlineStr">
        <is>
          <t>Low</t>
        </is>
      </c>
      <c r="R184" s="11">
        <f>IFERROR(O184/K184,0)</f>
        <v/>
      </c>
    </row>
    <row r="185">
      <c r="A185" s="9" t="inlineStr">
        <is>
          <t>T0689</t>
        </is>
      </c>
      <c r="B185" s="9" t="inlineStr">
        <is>
          <t>Sterling Mutual</t>
        </is>
      </c>
      <c r="C185" s="9" t="inlineStr">
        <is>
          <t>Financial Lines</t>
        </is>
      </c>
      <c r="D185" s="9" t="inlineStr">
        <is>
          <t>Europe</t>
        </is>
      </c>
      <c r="E185" s="9" t="inlineStr">
        <is>
          <t>Hannah Weber</t>
        </is>
      </c>
      <c r="F185" s="9" t="inlineStr">
        <is>
          <t>Excess of Loss</t>
        </is>
      </c>
      <c r="G185" s="9" t="n">
        <v>2022</v>
      </c>
      <c r="H185" s="12" t="n">
        <v>63500000</v>
      </c>
      <c r="I185" s="12" t="n">
        <v>5805995.601600001</v>
      </c>
      <c r="J185" s="12" t="n">
        <v>424742.7624</v>
      </c>
      <c r="K185" s="12" t="n">
        <v>5805995.601600001</v>
      </c>
      <c r="L185" s="12" t="n">
        <v>650131.9992000001</v>
      </c>
      <c r="M185" s="9" t="n">
        <v>6</v>
      </c>
      <c r="N185" s="12" t="n">
        <v>3501914.4084</v>
      </c>
      <c r="O185" s="12" t="n">
        <v>3783853.8623</v>
      </c>
      <c r="P185" s="12" t="n">
        <v>63500000</v>
      </c>
      <c r="Q185" s="9" t="inlineStr">
        <is>
          <t>Low</t>
        </is>
      </c>
      <c r="R185" s="11">
        <f>IFERROR(O185/K185,0)</f>
        <v/>
      </c>
    </row>
    <row r="186">
      <c r="A186" s="9" t="inlineStr">
        <is>
          <t>T0692</t>
        </is>
      </c>
      <c r="B186" s="9" t="inlineStr">
        <is>
          <t>Vantage Assurance</t>
        </is>
      </c>
      <c r="C186" s="9" t="inlineStr">
        <is>
          <t>Financial Lines</t>
        </is>
      </c>
      <c r="D186" s="9" t="inlineStr">
        <is>
          <t>Europe</t>
        </is>
      </c>
      <c r="E186" s="9" t="inlineStr">
        <is>
          <t>Carlos Ibarra</t>
        </is>
      </c>
      <c r="F186" s="9" t="inlineStr">
        <is>
          <t>Excess of Loss</t>
        </is>
      </c>
      <c r="G186" s="9" t="n">
        <v>2023</v>
      </c>
      <c r="H186" s="12" t="n">
        <v>12300000.0012</v>
      </c>
      <c r="I186" s="12" t="n">
        <v>1058970.024</v>
      </c>
      <c r="J186" s="12" t="n">
        <v>123395.1408</v>
      </c>
      <c r="K186" s="12" t="n">
        <v>1058970.024</v>
      </c>
      <c r="L186" s="12" t="n">
        <v>106419.8736</v>
      </c>
      <c r="M186" s="9" t="n">
        <v>6</v>
      </c>
      <c r="N186" s="12" t="n">
        <v>492305.9688</v>
      </c>
      <c r="O186" s="12" t="n">
        <v>492305.9688</v>
      </c>
      <c r="P186" s="12" t="n">
        <v>12300000.0012</v>
      </c>
      <c r="Q186" s="9" t="inlineStr">
        <is>
          <t>Low</t>
        </is>
      </c>
      <c r="R186" s="11">
        <f>IFERROR(O186/K186,0)</f>
        <v/>
      </c>
    </row>
    <row r="187">
      <c r="A187" s="9" t="inlineStr">
        <is>
          <t>T0695</t>
        </is>
      </c>
      <c r="B187" s="9" t="inlineStr">
        <is>
          <t>Meridian Indemnity</t>
        </is>
      </c>
      <c r="C187" s="9" t="inlineStr">
        <is>
          <t>Property</t>
        </is>
      </c>
      <c r="D187" s="9" t="inlineStr">
        <is>
          <t>Europe</t>
        </is>
      </c>
      <c r="E187" s="9" t="inlineStr">
        <is>
          <t>Carlos Ibarra</t>
        </is>
      </c>
      <c r="F187" s="9" t="inlineStr">
        <is>
          <t>Proportional</t>
        </is>
      </c>
      <c r="G187" s="9" t="n">
        <v>2025</v>
      </c>
      <c r="H187" s="12" t="n">
        <v>9900000.003600001</v>
      </c>
      <c r="I187" s="12" t="n">
        <v>1436244.048</v>
      </c>
      <c r="J187" s="12" t="n">
        <v>80893.85760000002</v>
      </c>
      <c r="K187" s="12" t="n">
        <v>1436244.048</v>
      </c>
      <c r="L187" s="12" t="n">
        <v>371616.8544</v>
      </c>
      <c r="M187" s="9" t="n">
        <v>8</v>
      </c>
      <c r="N187" s="12" t="n">
        <v>1185581.9016</v>
      </c>
      <c r="O187" s="12" t="n">
        <v>1862932.0572</v>
      </c>
      <c r="P187" s="12" t="n">
        <v>4949999.996400001</v>
      </c>
      <c r="Q187" s="9" t="inlineStr">
        <is>
          <t>Low</t>
        </is>
      </c>
      <c r="R187" s="11">
        <f>IFERROR(O187/K187,0)</f>
        <v/>
      </c>
    </row>
    <row r="188">
      <c r="A188" s="9" t="inlineStr">
        <is>
          <t>T0697</t>
        </is>
      </c>
      <c r="B188" s="9" t="inlineStr">
        <is>
          <t>Sterling Indemnity</t>
        </is>
      </c>
      <c r="C188" s="9" t="inlineStr">
        <is>
          <t>Professional</t>
        </is>
      </c>
      <c r="D188" s="9" t="inlineStr">
        <is>
          <t>Europe</t>
        </is>
      </c>
      <c r="E188" s="9" t="inlineStr">
        <is>
          <t>Priya Nair</t>
        </is>
      </c>
      <c r="F188" s="9" t="inlineStr">
        <is>
          <t>Proportional</t>
        </is>
      </c>
      <c r="G188" s="9" t="n">
        <v>2026</v>
      </c>
      <c r="H188" s="12" t="n">
        <v>8100000.000000001</v>
      </c>
      <c r="I188" s="12" t="n">
        <v>421928.4384</v>
      </c>
      <c r="J188" s="12" t="n">
        <v>44239.73760000001</v>
      </c>
      <c r="K188" s="12" t="n">
        <v>362155.2444</v>
      </c>
      <c r="L188" s="12" t="n">
        <v>81404.50532368022</v>
      </c>
      <c r="M188" s="9" t="n">
        <v>1</v>
      </c>
      <c r="N188" s="12" t="n">
        <v>58097.3688</v>
      </c>
      <c r="O188" s="12" t="n">
        <v>225046.9656</v>
      </c>
      <c r="P188" s="12" t="n">
        <v>1215000</v>
      </c>
      <c r="Q188" s="9" t="inlineStr">
        <is>
          <t>Low</t>
        </is>
      </c>
      <c r="R188" s="11">
        <f>IFERROR(O188/K188,0)</f>
        <v/>
      </c>
    </row>
    <row r="189">
      <c r="A189" s="9" t="inlineStr">
        <is>
          <t>T0700</t>
        </is>
      </c>
      <c r="B189" s="9" t="inlineStr">
        <is>
          <t>Meridian Indemnity</t>
        </is>
      </c>
      <c r="C189" s="9" t="inlineStr">
        <is>
          <t>Property</t>
        </is>
      </c>
      <c r="D189" s="9" t="inlineStr">
        <is>
          <t>Europe</t>
        </is>
      </c>
      <c r="E189" s="9" t="inlineStr">
        <is>
          <t>James Whitfield</t>
        </is>
      </c>
      <c r="F189" s="9" t="inlineStr">
        <is>
          <t>Excess of Loss</t>
        </is>
      </c>
      <c r="G189" s="9" t="n">
        <v>2025</v>
      </c>
      <c r="H189" s="12" t="n">
        <v>5199999.9948</v>
      </c>
      <c r="I189" s="12" t="n">
        <v>446143.8528</v>
      </c>
      <c r="J189" s="12" t="n">
        <v>52375.76640000001</v>
      </c>
      <c r="K189" s="12" t="n">
        <v>446143.8528</v>
      </c>
      <c r="L189" s="12" t="n">
        <v>36057.8304</v>
      </c>
      <c r="M189" s="9" t="n">
        <v>7</v>
      </c>
      <c r="N189" s="12" t="n">
        <v>66378.9384</v>
      </c>
      <c r="O189" s="12" t="n">
        <v>362754.3528000001</v>
      </c>
      <c r="P189" s="12" t="n">
        <v>5199999.9948</v>
      </c>
      <c r="Q189" s="9" t="inlineStr">
        <is>
          <t>Low</t>
        </is>
      </c>
      <c r="R189" s="11">
        <f>IFERROR(O189/K189,0)</f>
        <v/>
      </c>
    </row>
  </sheetData>
  <autoFilter ref="A1:R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296379.6696</v>
      </c>
      <c r="C2" s="12" t="n">
        <v>296379.6696</v>
      </c>
      <c r="D2" s="9" t="n">
        <v>2</v>
      </c>
      <c r="E2" s="12" t="n">
        <v>1394830.7676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1255799.9808</v>
      </c>
      <c r="C3" s="12" t="n">
        <v>1255799.9808</v>
      </c>
      <c r="D3" s="9" t="n">
        <v>2</v>
      </c>
      <c r="E3" s="12" t="n">
        <v>109563.7212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2096190.3492</v>
      </c>
      <c r="C4" s="12" t="n">
        <v>2096190.3492</v>
      </c>
      <c r="D4" s="9" t="n">
        <v>5</v>
      </c>
      <c r="E4" s="12" t="n">
        <v>389085.6816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2739344.6484</v>
      </c>
      <c r="C5" s="12" t="n">
        <v>2739344.6484</v>
      </c>
      <c r="D5" s="9" t="n">
        <v>12</v>
      </c>
      <c r="E5" s="12" t="n">
        <v>2508229.6164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3002202.5976</v>
      </c>
      <c r="C6" s="12" t="n">
        <v>3002202.5976</v>
      </c>
      <c r="D6" s="9" t="n">
        <v>10</v>
      </c>
      <c r="E6" s="12" t="n">
        <v>2757369.2868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3002202.5976</v>
      </c>
      <c r="C7" s="12" t="n">
        <v>3002202.5976</v>
      </c>
      <c r="D7" s="9" t="n">
        <v>13</v>
      </c>
      <c r="E7" s="12" t="n">
        <v>4137190.9704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3047580.6876</v>
      </c>
      <c r="C8" s="12" t="n">
        <v>3047580.6876</v>
      </c>
      <c r="D8" s="9" t="n">
        <v>14</v>
      </c>
      <c r="E8" s="12" t="n">
        <v>1416706.1028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3047580.6876</v>
      </c>
      <c r="C9" s="12" t="n">
        <v>3047580.6876</v>
      </c>
      <c r="D9" s="9" t="n">
        <v>13</v>
      </c>
      <c r="E9" s="12" t="n">
        <v>1220551.7292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3200016.1212</v>
      </c>
      <c r="C10" s="12" t="n">
        <v>3200016.1212</v>
      </c>
      <c r="D10" s="9" t="n">
        <v>10</v>
      </c>
      <c r="E10" s="12" t="n">
        <v>1767868.4052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3222890.7264</v>
      </c>
      <c r="C11" s="12" t="n">
        <v>3222890.7264</v>
      </c>
      <c r="D11" s="9" t="n">
        <v>15</v>
      </c>
      <c r="E11" s="12" t="n">
        <v>2207276.8488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3222890.7264</v>
      </c>
      <c r="C12" s="12" t="n">
        <v>3222890.7264</v>
      </c>
      <c r="D12" s="9" t="n">
        <v>15</v>
      </c>
      <c r="E12" s="12" t="n">
        <v>928750.1904000001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3222890.7264</v>
      </c>
      <c r="C13" s="12" t="n">
        <v>3222890.7264</v>
      </c>
      <c r="D13" s="9" t="n">
        <v>11</v>
      </c>
      <c r="E13" s="12" t="n">
        <v>516485.3112000001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3546012.1788</v>
      </c>
      <c r="C14" s="12" t="n">
        <v>3546012.1788</v>
      </c>
      <c r="D14" s="9" t="n">
        <v>21</v>
      </c>
      <c r="E14" s="12" t="n">
        <v>4487319.097200001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4476740.7132</v>
      </c>
      <c r="C15" s="12" t="n">
        <v>4476740.7132</v>
      </c>
      <c r="D15" s="9" t="n">
        <v>17</v>
      </c>
      <c r="E15" s="12" t="n">
        <v>4038209.931600001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4237694.5176</v>
      </c>
      <c r="C16" s="12" t="n">
        <v>4237694.5176</v>
      </c>
      <c r="D16" s="9" t="n">
        <v>13</v>
      </c>
      <c r="E16" s="12" t="n">
        <v>1902817.71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3532883.1588</v>
      </c>
      <c r="C17" s="12" t="n">
        <v>3532883.1588</v>
      </c>
      <c r="D17" s="9" t="n">
        <v>17</v>
      </c>
      <c r="E17" s="12" t="n">
        <v>2581879.9788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3986799.1992</v>
      </c>
      <c r="C18" s="12" t="n">
        <v>3986799.1992</v>
      </c>
      <c r="D18" s="9" t="n">
        <v>15</v>
      </c>
      <c r="E18" s="12" t="n">
        <v>804844.6632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5034480.466800001</v>
      </c>
      <c r="C19" s="12" t="n">
        <v>5034480.466800001</v>
      </c>
      <c r="D19" s="9" t="n">
        <v>12</v>
      </c>
      <c r="E19" s="12" t="n">
        <v>1376299.1448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5250540.018</v>
      </c>
      <c r="C20" s="12" t="n">
        <v>5250540.018</v>
      </c>
      <c r="D20" s="9" t="n">
        <v>24</v>
      </c>
      <c r="E20" s="12" t="n">
        <v>3117821.4792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5574481.86</v>
      </c>
      <c r="C21" s="12" t="n">
        <v>5574481.86</v>
      </c>
      <c r="D21" s="9" t="n">
        <v>22</v>
      </c>
      <c r="E21" s="12" t="n">
        <v>1608777.6768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5697261.7356</v>
      </c>
      <c r="C22" s="12" t="n">
        <v>5697261.7356</v>
      </c>
      <c r="D22" s="9" t="n">
        <v>15</v>
      </c>
      <c r="E22" s="12" t="n">
        <v>2778470.8948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5877204.7476</v>
      </c>
      <c r="C23" s="12" t="n">
        <v>5877204.7476</v>
      </c>
      <c r="D23" s="9" t="n">
        <v>20</v>
      </c>
      <c r="E23" s="12" t="n">
        <v>4476707.3412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6237913.17</v>
      </c>
      <c r="C24" s="12" t="n">
        <v>6237913.17</v>
      </c>
      <c r="D24" s="9" t="n">
        <v>22</v>
      </c>
      <c r="E24" s="12" t="n">
        <v>4708899.2335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6334732.0164</v>
      </c>
      <c r="C25" s="12" t="n">
        <v>6334732.0164</v>
      </c>
      <c r="D25" s="9" t="n">
        <v>32</v>
      </c>
      <c r="E25" s="12" t="n">
        <v>4123660.1172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6948265.2851</v>
      </c>
      <c r="C26" s="12" t="n">
        <v>6948265.2851</v>
      </c>
      <c r="D26" s="9" t="n">
        <v>34</v>
      </c>
      <c r="E26" s="12" t="n">
        <v>5935973.8327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5184758.4707</v>
      </c>
      <c r="C27" s="12" t="n">
        <v>5184758.4707</v>
      </c>
      <c r="D27" s="9" t="n">
        <v>28</v>
      </c>
      <c r="E27" s="12" t="n">
        <v>3080673.3292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4583414.297900001</v>
      </c>
      <c r="C28" s="12" t="n">
        <v>4583414.297900001</v>
      </c>
      <c r="D28" s="9" t="n">
        <v>26</v>
      </c>
      <c r="E28" s="12" t="n">
        <v>1988166.0863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4702510.6823</v>
      </c>
      <c r="C29" s="12" t="n">
        <v>4702510.6823</v>
      </c>
      <c r="D29" s="9" t="n">
        <v>18</v>
      </c>
      <c r="E29" s="12" t="n">
        <v>1484216.082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4842338.9627</v>
      </c>
      <c r="C30" s="12" t="n">
        <v>4842338.9627</v>
      </c>
      <c r="D30" s="9" t="n">
        <v>30</v>
      </c>
      <c r="E30" s="12" t="n">
        <v>4242742.2066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3911853.4199</v>
      </c>
      <c r="C31" s="12" t="n">
        <v>3911853.4199</v>
      </c>
      <c r="D31" s="9" t="n">
        <v>16</v>
      </c>
      <c r="E31" s="12" t="n">
        <v>1602008.1828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3650415.7787</v>
      </c>
      <c r="C32" s="12" t="n">
        <v>3650415.7787</v>
      </c>
      <c r="D32" s="9" t="n">
        <v>22</v>
      </c>
      <c r="E32" s="12" t="n">
        <v>1971198.8435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3867605.0963</v>
      </c>
      <c r="C33" s="12" t="n">
        <v>3867605.0963</v>
      </c>
      <c r="D33" s="9" t="n">
        <v>16</v>
      </c>
      <c r="E33" s="12" t="n">
        <v>2119826.8393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3685078.6416</v>
      </c>
      <c r="C34" s="12" t="n">
        <v>3685078.6416</v>
      </c>
      <c r="D34" s="9" t="n">
        <v>20</v>
      </c>
      <c r="E34" s="12" t="n">
        <v>1574388.1656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3607852.5936</v>
      </c>
      <c r="C35" s="12" t="n">
        <v>3607852.5936</v>
      </c>
      <c r="D35" s="9" t="n">
        <v>26</v>
      </c>
      <c r="E35" s="12" t="n">
        <v>1732788.6855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3777691.2984</v>
      </c>
      <c r="C36" s="12" t="n">
        <v>3777691.2984</v>
      </c>
      <c r="D36" s="9" t="n">
        <v>15</v>
      </c>
      <c r="E36" s="12" t="n">
        <v>2087279.209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3854248.4376</v>
      </c>
      <c r="C37" s="12" t="n">
        <v>3854248.4376</v>
      </c>
      <c r="D37" s="9" t="n">
        <v>21</v>
      </c>
      <c r="E37" s="12" t="n">
        <v>2289987.3323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3568286.0832</v>
      </c>
      <c r="C38" s="12" t="n">
        <v>3568286.0832</v>
      </c>
      <c r="D38" s="9" t="n">
        <v>29</v>
      </c>
      <c r="E38" s="12" t="n">
        <v>3418421.741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3598397.4228</v>
      </c>
      <c r="C39" s="12" t="n">
        <v>3598397.4228</v>
      </c>
      <c r="D39" s="9" t="n">
        <v>20</v>
      </c>
      <c r="E39" s="12" t="n">
        <v>1992957.8796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3846352.5816</v>
      </c>
      <c r="C40" s="12" t="n">
        <v>3846352.5816</v>
      </c>
      <c r="D40" s="9" t="n">
        <v>24</v>
      </c>
      <c r="E40" s="12" t="n">
        <v>1365292.3159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4467355.7878</v>
      </c>
      <c r="C41" s="12" t="n">
        <v>4467355.7878</v>
      </c>
      <c r="D41" s="9" t="n">
        <v>21</v>
      </c>
      <c r="E41" s="12" t="n">
        <v>3894653.206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3754494.9298</v>
      </c>
      <c r="C42" s="12" t="n">
        <v>3754494.9298</v>
      </c>
      <c r="D42" s="9" t="n">
        <v>23</v>
      </c>
      <c r="E42" s="12" t="n">
        <v>2681509.1513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4631370.247</v>
      </c>
      <c r="C43" s="12" t="n">
        <v>4631370.247</v>
      </c>
      <c r="D43" s="9" t="n">
        <v>23</v>
      </c>
      <c r="E43" s="12" t="n">
        <v>1084102.434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4686440.0302</v>
      </c>
      <c r="C44" s="12" t="n">
        <v>4686440.0302</v>
      </c>
      <c r="D44" s="9" t="n">
        <v>35</v>
      </c>
      <c r="E44" s="12" t="n">
        <v>4265452.2125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6374452.256</v>
      </c>
      <c r="C45" s="12" t="n">
        <v>6374452.256</v>
      </c>
      <c r="D45" s="9" t="n">
        <v>29</v>
      </c>
      <c r="E45" s="12" t="n">
        <v>3585542.8311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6468989.8471</v>
      </c>
      <c r="C46" s="12" t="n">
        <v>6468989.8471</v>
      </c>
      <c r="D46" s="9" t="n">
        <v>26</v>
      </c>
      <c r="E46" s="12" t="n">
        <v>5918743.5793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6759803.6611</v>
      </c>
      <c r="C47" s="12" t="n">
        <v>6759803.6611</v>
      </c>
      <c r="D47" s="9" t="n">
        <v>43</v>
      </c>
      <c r="E47" s="12" t="n">
        <v>5149156.674000001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7415490.604300001</v>
      </c>
      <c r="C48" s="12" t="n">
        <v>7415490.604300001</v>
      </c>
      <c r="D48" s="9" t="n">
        <v>34</v>
      </c>
      <c r="E48" s="12" t="n">
        <v>3803610.0636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7075931.962300001</v>
      </c>
      <c r="C49" s="12" t="n">
        <v>7075931.962300001</v>
      </c>
      <c r="D49" s="9" t="n">
        <v>30</v>
      </c>
      <c r="E49" s="12" t="n">
        <v>2513357.4315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5646333.0548</v>
      </c>
      <c r="C50" s="12" t="n">
        <v>5646333.0548</v>
      </c>
      <c r="D50" s="9" t="n">
        <v>19</v>
      </c>
      <c r="E50" s="12" t="n">
        <v>4545426.8653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7079893.616</v>
      </c>
      <c r="C51" s="12" t="n">
        <v>7079893.616</v>
      </c>
      <c r="D51" s="9" t="n">
        <v>24</v>
      </c>
      <c r="E51" s="12" t="n">
        <v>1776771.8348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9058167.329600001</v>
      </c>
      <c r="C52" s="12" t="n">
        <v>9058167.329600001</v>
      </c>
      <c r="D52" s="9" t="n">
        <v>25</v>
      </c>
      <c r="E52" s="12" t="n">
        <v>8656289.9201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8865931.1482</v>
      </c>
      <c r="C53" s="12" t="n">
        <v>8865931.1482</v>
      </c>
      <c r="D53" s="9" t="n">
        <v>24</v>
      </c>
      <c r="E53" s="12" t="n">
        <v>5130468.5557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9077796.387500001</v>
      </c>
      <c r="C54" s="12" t="n">
        <v>9077796.387500001</v>
      </c>
      <c r="D54" s="9" t="n">
        <v>42</v>
      </c>
      <c r="E54" s="12" t="n">
        <v>11527341.0873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9161798.8091</v>
      </c>
      <c r="C55" s="12" t="n">
        <v>9161798.8091</v>
      </c>
      <c r="D55" s="9" t="n">
        <v>34</v>
      </c>
      <c r="E55" s="12" t="n">
        <v>10894025.7827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9936877.0415</v>
      </c>
      <c r="C56" s="12" t="n">
        <v>9936877.0415</v>
      </c>
      <c r="D56" s="9" t="n">
        <v>35</v>
      </c>
      <c r="E56" s="12" t="n">
        <v>3593964.060000001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8645860.3147</v>
      </c>
      <c r="C57" s="12" t="n">
        <v>8645860.3147</v>
      </c>
      <c r="D57" s="9" t="n">
        <v>40</v>
      </c>
      <c r="E57" s="12" t="n">
        <v>5161378.803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9241747.825100001</v>
      </c>
      <c r="C58" s="12" t="n">
        <v>9241747.825100001</v>
      </c>
      <c r="D58" s="9" t="n">
        <v>30</v>
      </c>
      <c r="E58" s="12" t="n">
        <v>6461942.9051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9258485.487300001</v>
      </c>
      <c r="C59" s="12" t="n">
        <v>9258485.487300001</v>
      </c>
      <c r="D59" s="9" t="n">
        <v>31</v>
      </c>
      <c r="E59" s="12" t="n">
        <v>5821294.401900001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8326568.920500001</v>
      </c>
      <c r="C60" s="12" t="n">
        <v>8326568.920500001</v>
      </c>
      <c r="D60" s="9" t="n">
        <v>25</v>
      </c>
      <c r="E60" s="12" t="n">
        <v>8611881.779100001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8511440.706900001</v>
      </c>
      <c r="C61" s="12" t="n">
        <v>8511440.706900001</v>
      </c>
      <c r="D61" s="9" t="n">
        <v>34</v>
      </c>
      <c r="E61" s="12" t="n">
        <v>8418925.899900001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8222969.920500001</v>
      </c>
      <c r="C62" s="12" t="n">
        <v>8222969.920500001</v>
      </c>
      <c r="D62" s="9" t="n">
        <v>35</v>
      </c>
      <c r="E62" s="12" t="n">
        <v>4657598.3913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8065423.376100001</v>
      </c>
      <c r="C63" s="12" t="n">
        <v>8065423.376100001</v>
      </c>
      <c r="D63" s="9" t="n">
        <v>29</v>
      </c>
      <c r="E63" s="12" t="n">
        <v>2899749.1943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6071279.5257</v>
      </c>
      <c r="C64" s="12" t="n">
        <v>6071279.5257</v>
      </c>
      <c r="D64" s="9" t="n">
        <v>35</v>
      </c>
      <c r="E64" s="12" t="n">
        <v>2986455.5514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5537654.4801</v>
      </c>
      <c r="C65" s="12" t="n">
        <v>5537654.4801</v>
      </c>
      <c r="D65" s="9" t="n">
        <v>32</v>
      </c>
      <c r="E65" s="12" t="n">
        <v>4599558.369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5567678.4061</v>
      </c>
      <c r="C66" s="12" t="n">
        <v>5567678.4061</v>
      </c>
      <c r="D66" s="9" t="n">
        <v>34</v>
      </c>
      <c r="E66" s="12" t="n">
        <v>3546185.1997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4651552.303300001</v>
      </c>
      <c r="C67" s="12" t="n">
        <v>4651552.303300001</v>
      </c>
      <c r="D67" s="9" t="n">
        <v>23</v>
      </c>
      <c r="E67" s="12" t="n">
        <v>3454061.0136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5351494.816500001</v>
      </c>
      <c r="C68" s="12" t="n">
        <v>5351494.816500001</v>
      </c>
      <c r="D68" s="9" t="n">
        <v>22</v>
      </c>
      <c r="E68" s="12" t="n">
        <v>1926713.2796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4690974.9597</v>
      </c>
      <c r="C69" s="12" t="n">
        <v>4690974.9597</v>
      </c>
      <c r="D69" s="9" t="n">
        <v>28</v>
      </c>
      <c r="E69" s="12" t="n">
        <v>2344546.2284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3907861.0037</v>
      </c>
      <c r="C70" s="12" t="n">
        <v>2566037.7371</v>
      </c>
      <c r="D70" s="9" t="n">
        <v>22</v>
      </c>
      <c r="E70" s="12" t="n">
        <v>2417417.6679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CL004840</t>
        </is>
      </c>
      <c r="B2" s="9" t="inlineStr">
        <is>
          <t>T0640</t>
        </is>
      </c>
      <c r="C2" s="9" t="inlineStr">
        <is>
          <t>Pioneer Insurance</t>
        </is>
      </c>
      <c r="D2" s="9" t="inlineStr">
        <is>
          <t>Specialty</t>
        </is>
      </c>
      <c r="E2" s="9" t="inlineStr">
        <is>
          <t>Europe</t>
        </is>
      </c>
      <c r="F2" s="9" t="inlineStr">
        <is>
          <t>2025-11-30</t>
        </is>
      </c>
      <c r="G2" s="9" t="inlineStr">
        <is>
          <t>Energy</t>
        </is>
      </c>
      <c r="H2" s="9" t="inlineStr">
        <is>
          <t>Settled</t>
        </is>
      </c>
      <c r="I2" s="12" t="n">
        <v>6009160.824</v>
      </c>
      <c r="J2" s="12" t="n">
        <v>0</v>
      </c>
      <c r="K2" s="12" t="n">
        <v>6009160.824</v>
      </c>
      <c r="L2" s="9" t="n">
        <v>0</v>
      </c>
    </row>
    <row r="3">
      <c r="A3" s="9" t="inlineStr">
        <is>
          <t>CL004057</t>
        </is>
      </c>
      <c r="B3" s="9" t="inlineStr">
        <is>
          <t>T0284</t>
        </is>
      </c>
      <c r="C3" s="9" t="inlineStr">
        <is>
          <t>Granite Indemnity</t>
        </is>
      </c>
      <c r="D3" s="9" t="inlineStr">
        <is>
          <t>Financial Lines</t>
        </is>
      </c>
      <c r="E3" s="9" t="inlineStr">
        <is>
          <t>Europe</t>
        </is>
      </c>
      <c r="F3" s="9" t="inlineStr">
        <is>
          <t>2025-05-23</t>
        </is>
      </c>
      <c r="G3" s="9" t="inlineStr">
        <is>
          <t>Credit &amp; Surety</t>
        </is>
      </c>
      <c r="H3" s="9" t="inlineStr">
        <is>
          <t>Open</t>
        </is>
      </c>
      <c r="I3" s="12" t="n">
        <v>1077109.5096</v>
      </c>
      <c r="J3" s="12" t="n">
        <v>3507149.88</v>
      </c>
      <c r="K3" s="12" t="n">
        <v>4584259.3896</v>
      </c>
      <c r="L3" s="9" t="n">
        <v>0</v>
      </c>
    </row>
    <row r="4">
      <c r="A4" s="9" t="inlineStr">
        <is>
          <t>CL004136</t>
        </is>
      </c>
      <c r="B4" s="9" t="inlineStr">
        <is>
          <t>T0372</t>
        </is>
      </c>
      <c r="C4" s="9" t="inlineStr">
        <is>
          <t>Meridian Assurance</t>
        </is>
      </c>
      <c r="D4" s="9" t="inlineStr">
        <is>
          <t>Specialty</t>
        </is>
      </c>
      <c r="E4" s="9" t="inlineStr">
        <is>
          <t>Europe</t>
        </is>
      </c>
      <c r="F4" s="9" t="inlineStr">
        <is>
          <t>2025-06-10</t>
        </is>
      </c>
      <c r="G4" s="9" t="inlineStr">
        <is>
          <t>Political Risk</t>
        </is>
      </c>
      <c r="H4" s="9" t="inlineStr">
        <is>
          <t>Settled</t>
        </is>
      </c>
      <c r="I4" s="12" t="n">
        <v>3136776.732</v>
      </c>
      <c r="J4" s="12" t="n">
        <v>0</v>
      </c>
      <c r="K4" s="12" t="n">
        <v>3136776.732</v>
      </c>
      <c r="L4" s="9" t="n">
        <v>0</v>
      </c>
    </row>
    <row r="5">
      <c r="A5" s="9" t="inlineStr">
        <is>
          <t>CL005205</t>
        </is>
      </c>
      <c r="B5" s="9" t="inlineStr">
        <is>
          <t>T0259</t>
        </is>
      </c>
      <c r="C5" s="9" t="inlineStr">
        <is>
          <t>Vantage Assurance</t>
        </is>
      </c>
      <c r="D5" s="9" t="inlineStr">
        <is>
          <t>Casualty</t>
        </is>
      </c>
      <c r="E5" s="9" t="inlineStr">
        <is>
          <t>Europe</t>
        </is>
      </c>
      <c r="F5" s="9" t="inlineStr">
        <is>
          <t>2025-12-12</t>
        </is>
      </c>
      <c r="G5" s="9" t="inlineStr">
        <is>
          <t>Workers Compensation</t>
        </is>
      </c>
      <c r="H5" s="9" t="inlineStr">
        <is>
          <t>Settled</t>
        </is>
      </c>
      <c r="I5" s="12" t="n">
        <v>2956220.7984</v>
      </c>
      <c r="J5" s="12" t="n">
        <v>0</v>
      </c>
      <c r="K5" s="12" t="n">
        <v>2956220.7984</v>
      </c>
      <c r="L5" s="9" t="n">
        <v>0</v>
      </c>
    </row>
    <row r="6">
      <c r="A6" s="9" t="inlineStr">
        <is>
          <t>CL003149</t>
        </is>
      </c>
      <c r="B6" s="9" t="inlineStr">
        <is>
          <t>T0484</t>
        </is>
      </c>
      <c r="C6" s="9" t="inlineStr">
        <is>
          <t>Meridian Assurance</t>
        </is>
      </c>
      <c r="D6" s="9" t="inlineStr">
        <is>
          <t>Property</t>
        </is>
      </c>
      <c r="E6" s="9" t="inlineStr">
        <is>
          <t>Europe</t>
        </is>
      </c>
      <c r="F6" s="9" t="inlineStr">
        <is>
          <t>2024-09-28</t>
        </is>
      </c>
      <c r="G6" s="9" t="inlineStr">
        <is>
          <t>Fire &amp; Explosion</t>
        </is>
      </c>
      <c r="H6" s="9" t="inlineStr">
        <is>
          <t>Settled</t>
        </is>
      </c>
      <c r="I6" s="12" t="n">
        <v>2914423.0272</v>
      </c>
      <c r="J6" s="12" t="n">
        <v>0</v>
      </c>
      <c r="K6" s="12" t="n">
        <v>2914423.0272</v>
      </c>
      <c r="L6" s="9" t="n">
        <v>0</v>
      </c>
    </row>
    <row r="7">
      <c r="A7" s="9" t="inlineStr">
        <is>
          <t>CL004222</t>
        </is>
      </c>
      <c r="B7" s="9" t="inlineStr">
        <is>
          <t>T0259</t>
        </is>
      </c>
      <c r="C7" s="9" t="inlineStr">
        <is>
          <t>Vantage Assurance</t>
        </is>
      </c>
      <c r="D7" s="9" t="inlineStr">
        <is>
          <t>Casualty</t>
        </is>
      </c>
      <c r="E7" s="9" t="inlineStr">
        <is>
          <t>Europe</t>
        </is>
      </c>
      <c r="F7" s="9" t="inlineStr">
        <is>
          <t>2025-06-11</t>
        </is>
      </c>
      <c r="G7" s="9" t="inlineStr">
        <is>
          <t>General Liability</t>
        </is>
      </c>
      <c r="H7" s="9" t="inlineStr">
        <is>
          <t>Settled</t>
        </is>
      </c>
      <c r="I7" s="12" t="n">
        <v>2890744.5348</v>
      </c>
      <c r="J7" s="12" t="n">
        <v>0</v>
      </c>
      <c r="K7" s="12" t="n">
        <v>2890744.5348</v>
      </c>
      <c r="L7" s="9" t="n">
        <v>0</v>
      </c>
    </row>
    <row r="8">
      <c r="A8" s="9" t="inlineStr">
        <is>
          <t>CL003582</t>
        </is>
      </c>
      <c r="B8" s="9" t="inlineStr">
        <is>
          <t>T0417</t>
        </is>
      </c>
      <c r="C8" s="9" t="inlineStr">
        <is>
          <t>Meridian Indemnity</t>
        </is>
      </c>
      <c r="D8" s="9" t="inlineStr">
        <is>
          <t>Property</t>
        </is>
      </c>
      <c r="E8" s="9" t="inlineStr">
        <is>
          <t>Europe</t>
        </is>
      </c>
      <c r="F8" s="9" t="inlineStr">
        <is>
          <t>2025-01-18</t>
        </is>
      </c>
      <c r="G8" s="9" t="inlineStr">
        <is>
          <t>Natural Catastrophe</t>
        </is>
      </c>
      <c r="H8" s="9" t="inlineStr">
        <is>
          <t>Open</t>
        </is>
      </c>
      <c r="I8" s="12" t="n">
        <v>359242.776</v>
      </c>
      <c r="J8" s="12" t="n">
        <v>2191405.914</v>
      </c>
      <c r="K8" s="12" t="n">
        <v>2550648.69</v>
      </c>
      <c r="L8" s="9" t="n">
        <v>0</v>
      </c>
    </row>
    <row r="9">
      <c r="A9" s="9" t="inlineStr">
        <is>
          <t>CL001312</t>
        </is>
      </c>
      <c r="B9" s="9" t="inlineStr">
        <is>
          <t>T0283</t>
        </is>
      </c>
      <c r="C9" s="9" t="inlineStr">
        <is>
          <t>Cobalt Mutual</t>
        </is>
      </c>
      <c r="D9" s="9" t="inlineStr">
        <is>
          <t>Casualty</t>
        </is>
      </c>
      <c r="E9" s="9" t="inlineStr">
        <is>
          <t>Europe</t>
        </is>
      </c>
      <c r="F9" s="9" t="inlineStr">
        <is>
          <t>2023-01-17</t>
        </is>
      </c>
      <c r="G9" s="9" t="inlineStr">
        <is>
          <t>General Liability</t>
        </is>
      </c>
      <c r="H9" s="9" t="inlineStr">
        <is>
          <t>Settled</t>
        </is>
      </c>
      <c r="I9" s="12" t="n">
        <v>2485590.3648</v>
      </c>
      <c r="J9" s="12" t="n">
        <v>0</v>
      </c>
      <c r="K9" s="12" t="n">
        <v>2485590.3648</v>
      </c>
      <c r="L9" s="9" t="n">
        <v>0</v>
      </c>
    </row>
    <row r="10">
      <c r="A10" s="9" t="inlineStr">
        <is>
          <t>CL001018</t>
        </is>
      </c>
      <c r="B10" s="9" t="inlineStr">
        <is>
          <t>T0283</t>
        </is>
      </c>
      <c r="C10" s="9" t="inlineStr">
        <is>
          <t>Cobalt Mutual</t>
        </is>
      </c>
      <c r="D10" s="9" t="inlineStr">
        <is>
          <t>Casualty</t>
        </is>
      </c>
      <c r="E10" s="9" t="inlineStr">
        <is>
          <t>Europe</t>
        </is>
      </c>
      <c r="F10" s="9" t="inlineStr">
        <is>
          <t>2022-10-27</t>
        </is>
      </c>
      <c r="G10" s="9" t="inlineStr">
        <is>
          <t>Auto Liability</t>
        </is>
      </c>
      <c r="H10" s="9" t="inlineStr">
        <is>
          <t>Settled</t>
        </is>
      </c>
      <c r="I10" s="12" t="n">
        <v>2276899.2108</v>
      </c>
      <c r="J10" s="12" t="n">
        <v>0</v>
      </c>
      <c r="K10" s="12" t="n">
        <v>2276899.2108</v>
      </c>
      <c r="L10" s="9" t="n">
        <v>0</v>
      </c>
    </row>
    <row r="11">
      <c r="A11" s="9" t="inlineStr">
        <is>
          <t>CL000361</t>
        </is>
      </c>
      <c r="B11" s="9" t="inlineStr">
        <is>
          <t>T0073</t>
        </is>
      </c>
      <c r="C11" s="9" t="inlineStr">
        <is>
          <t>Granite Indemnity</t>
        </is>
      </c>
      <c r="D11" s="9" t="inlineStr">
        <is>
          <t>Casualty</t>
        </is>
      </c>
      <c r="E11" s="9" t="inlineStr">
        <is>
          <t>Europe</t>
        </is>
      </c>
      <c r="F11" s="9" t="inlineStr">
        <is>
          <t>2022-01-05</t>
        </is>
      </c>
      <c r="G11" s="9" t="inlineStr">
        <is>
          <t>Auto Liability</t>
        </is>
      </c>
      <c r="H11" s="9" t="inlineStr">
        <is>
          <t>Reopened</t>
        </is>
      </c>
      <c r="I11" s="12" t="n">
        <v>1488952.584</v>
      </c>
      <c r="J11" s="12" t="n">
        <v>638122.536</v>
      </c>
      <c r="K11" s="12" t="n">
        <v>2127075.12</v>
      </c>
      <c r="L11" s="9" t="n">
        <v>0</v>
      </c>
    </row>
    <row r="12">
      <c r="A12" s="9" t="inlineStr">
        <is>
          <t>CL004393</t>
        </is>
      </c>
      <c r="B12" s="9" t="inlineStr">
        <is>
          <t>T0259</t>
        </is>
      </c>
      <c r="C12" s="9" t="inlineStr">
        <is>
          <t>Vantage Assurance</t>
        </is>
      </c>
      <c r="D12" s="9" t="inlineStr">
        <is>
          <t>Casualty</t>
        </is>
      </c>
      <c r="E12" s="9" t="inlineStr">
        <is>
          <t>Europe</t>
        </is>
      </c>
      <c r="F12" s="9" t="inlineStr">
        <is>
          <t>2025-09-11</t>
        </is>
      </c>
      <c r="G12" s="9" t="inlineStr">
        <is>
          <t>Workers Compensation</t>
        </is>
      </c>
      <c r="H12" s="9" t="inlineStr">
        <is>
          <t>Settled</t>
        </is>
      </c>
      <c r="I12" s="12" t="n">
        <v>2098067.4972</v>
      </c>
      <c r="J12" s="12" t="n">
        <v>0</v>
      </c>
      <c r="K12" s="12" t="n">
        <v>2098067.4972</v>
      </c>
      <c r="L12" s="9" t="n">
        <v>0</v>
      </c>
    </row>
    <row r="13">
      <c r="A13" s="9" t="inlineStr">
        <is>
          <t>CL003919</t>
        </is>
      </c>
      <c r="B13" s="9" t="inlineStr">
        <is>
          <t>T0259</t>
        </is>
      </c>
      <c r="C13" s="9" t="inlineStr">
        <is>
          <t>Vantage Assurance</t>
        </is>
      </c>
      <c r="D13" s="9" t="inlineStr">
        <is>
          <t>Casualty</t>
        </is>
      </c>
      <c r="E13" s="9" t="inlineStr">
        <is>
          <t>Europe</t>
        </is>
      </c>
      <c r="F13" s="9" t="inlineStr">
        <is>
          <t>2025-03-27</t>
        </is>
      </c>
      <c r="G13" s="9" t="inlineStr">
        <is>
          <t>General Liability</t>
        </is>
      </c>
      <c r="H13" s="9" t="inlineStr">
        <is>
          <t>Open</t>
        </is>
      </c>
      <c r="I13" s="12" t="n">
        <v>99851.72400000002</v>
      </c>
      <c r="J13" s="12" t="n">
        <v>1792813.0788</v>
      </c>
      <c r="K13" s="12" t="n">
        <v>1892664.8028</v>
      </c>
      <c r="L13" s="9" t="n">
        <v>0</v>
      </c>
    </row>
    <row r="14">
      <c r="A14" s="9" t="inlineStr">
        <is>
          <t>CL004814</t>
        </is>
      </c>
      <c r="B14" s="9" t="inlineStr">
        <is>
          <t>T0577</t>
        </is>
      </c>
      <c r="C14" s="9" t="inlineStr">
        <is>
          <t>Orion Mutual</t>
        </is>
      </c>
      <c r="D14" s="9" t="inlineStr">
        <is>
          <t>Property</t>
        </is>
      </c>
      <c r="E14" s="9" t="inlineStr">
        <is>
          <t>Europe</t>
        </is>
      </c>
      <c r="F14" s="9" t="inlineStr">
        <is>
          <t>2025-12-09</t>
        </is>
      </c>
      <c r="G14" s="9" t="inlineStr">
        <is>
          <t>Fire &amp; Explosion</t>
        </is>
      </c>
      <c r="H14" s="9" t="inlineStr">
        <is>
          <t>Settled</t>
        </is>
      </c>
      <c r="I14" s="12" t="n">
        <v>1666695.582</v>
      </c>
      <c r="J14" s="12" t="n">
        <v>0</v>
      </c>
      <c r="K14" s="12" t="n">
        <v>1666695.582</v>
      </c>
      <c r="L14" s="9" t="n">
        <v>0</v>
      </c>
    </row>
    <row r="15">
      <c r="A15" s="9" t="inlineStr">
        <is>
          <t>CL004558</t>
        </is>
      </c>
      <c r="B15" s="9" t="inlineStr">
        <is>
          <t>T0372</t>
        </is>
      </c>
      <c r="C15" s="9" t="inlineStr">
        <is>
          <t>Meridian Assurance</t>
        </is>
      </c>
      <c r="D15" s="9" t="inlineStr">
        <is>
          <t>Specialty</t>
        </is>
      </c>
      <c r="E15" s="9" t="inlineStr">
        <is>
          <t>Europe</t>
        </is>
      </c>
      <c r="F15" s="9" t="inlineStr">
        <is>
          <t>2025-10-26</t>
        </is>
      </c>
      <c r="G15" s="9" t="inlineStr">
        <is>
          <t>Aviation</t>
        </is>
      </c>
      <c r="H15" s="9" t="inlineStr">
        <is>
          <t>Settled</t>
        </is>
      </c>
      <c r="I15" s="12" t="n">
        <v>1660295.0808</v>
      </c>
      <c r="J15" s="12" t="n">
        <v>0</v>
      </c>
      <c r="K15" s="12" t="n">
        <v>1660295.0808</v>
      </c>
      <c r="L15" s="9" t="n">
        <v>0</v>
      </c>
    </row>
    <row r="16">
      <c r="A16" s="9" t="inlineStr">
        <is>
          <t>CL004550</t>
        </is>
      </c>
      <c r="B16" s="9" t="inlineStr">
        <is>
          <t>T0212</t>
        </is>
      </c>
      <c r="C16" s="9" t="inlineStr">
        <is>
          <t>Pioneer Insurance</t>
        </is>
      </c>
      <c r="D16" s="9" t="inlineStr">
        <is>
          <t>Casualty</t>
        </is>
      </c>
      <c r="E16" s="9" t="inlineStr">
        <is>
          <t>Europe</t>
        </is>
      </c>
      <c r="F16" s="9" t="inlineStr">
        <is>
          <t>2025-10-04</t>
        </is>
      </c>
      <c r="G16" s="9" t="inlineStr">
        <is>
          <t>Workers Compensation</t>
        </is>
      </c>
      <c r="H16" s="9" t="inlineStr">
        <is>
          <t>Settled</t>
        </is>
      </c>
      <c r="I16" s="12" t="n">
        <v>1658449.1232</v>
      </c>
      <c r="J16" s="12" t="n">
        <v>0</v>
      </c>
      <c r="K16" s="12" t="n">
        <v>1658449.1232</v>
      </c>
      <c r="L16" s="9" t="n">
        <v>0</v>
      </c>
    </row>
    <row r="17">
      <c r="A17" s="9" t="inlineStr">
        <is>
          <t>CL004727</t>
        </is>
      </c>
      <c r="B17" s="9" t="inlineStr">
        <is>
          <t>T0485</t>
        </is>
      </c>
      <c r="C17" s="9" t="inlineStr">
        <is>
          <t>Summit Insurance</t>
        </is>
      </c>
      <c r="D17" s="9" t="inlineStr">
        <is>
          <t>Financial Lines</t>
        </is>
      </c>
      <c r="E17" s="9" t="inlineStr">
        <is>
          <t>Europe</t>
        </is>
      </c>
      <c r="F17" s="9" t="inlineStr">
        <is>
          <t>2025-09-28</t>
        </is>
      </c>
      <c r="G17" s="9" t="inlineStr">
        <is>
          <t>Directors &amp; Officers</t>
        </is>
      </c>
      <c r="H17" s="9" t="inlineStr">
        <is>
          <t>Open</t>
        </is>
      </c>
      <c r="I17" s="12" t="n">
        <v>491901.5628</v>
      </c>
      <c r="J17" s="12" t="n">
        <v>1045315.5948</v>
      </c>
      <c r="K17" s="12" t="n">
        <v>1537217.1576</v>
      </c>
      <c r="L17" s="9" t="n">
        <v>0</v>
      </c>
    </row>
    <row r="18">
      <c r="A18" s="9" t="inlineStr">
        <is>
          <t>CL003039</t>
        </is>
      </c>
      <c r="B18" s="9" t="inlineStr">
        <is>
          <t>T0460</t>
        </is>
      </c>
      <c r="C18" s="9" t="inlineStr">
        <is>
          <t>Cobalt Assurance</t>
        </is>
      </c>
      <c r="D18" s="9" t="inlineStr">
        <is>
          <t>Casualty</t>
        </is>
      </c>
      <c r="E18" s="9" t="inlineStr">
        <is>
          <t>Europe</t>
        </is>
      </c>
      <c r="F18" s="9" t="inlineStr">
        <is>
          <t>2024-08-28</t>
        </is>
      </c>
      <c r="G18" s="9" t="inlineStr">
        <is>
          <t>Workers Compensation</t>
        </is>
      </c>
      <c r="H18" s="9" t="inlineStr">
        <is>
          <t>Reopened</t>
        </is>
      </c>
      <c r="I18" s="12" t="n">
        <v>1065354.7464</v>
      </c>
      <c r="J18" s="12" t="n">
        <v>456580.6056</v>
      </c>
      <c r="K18" s="12" t="n">
        <v>1521935.352</v>
      </c>
      <c r="L18" s="9" t="n">
        <v>0</v>
      </c>
    </row>
    <row r="19">
      <c r="A19" s="9" t="inlineStr">
        <is>
          <t>CL000044</t>
        </is>
      </c>
      <c r="B19" s="9" t="inlineStr">
        <is>
          <t>T0073</t>
        </is>
      </c>
      <c r="C19" s="9" t="inlineStr">
        <is>
          <t>Granite Indemnity</t>
        </is>
      </c>
      <c r="D19" s="9" t="inlineStr">
        <is>
          <t>Casualty</t>
        </is>
      </c>
      <c r="E19" s="9" t="inlineStr">
        <is>
          <t>Europe</t>
        </is>
      </c>
      <c r="F19" s="9" t="inlineStr">
        <is>
          <t>2021-04-30</t>
        </is>
      </c>
      <c r="G19" s="9" t="inlineStr">
        <is>
          <t>Auto Liability</t>
        </is>
      </c>
      <c r="H19" s="9" t="inlineStr">
        <is>
          <t>Settled</t>
        </is>
      </c>
      <c r="I19" s="12" t="n">
        <v>1504491.3648</v>
      </c>
      <c r="J19" s="12" t="n">
        <v>0</v>
      </c>
      <c r="K19" s="12" t="n">
        <v>1504491.3648</v>
      </c>
      <c r="L19" s="9" t="n">
        <v>0</v>
      </c>
    </row>
    <row r="20">
      <c r="A20" s="9" t="inlineStr">
        <is>
          <t>CL004119</t>
        </is>
      </c>
      <c r="B20" s="9" t="inlineStr">
        <is>
          <t>T0284</t>
        </is>
      </c>
      <c r="C20" s="9" t="inlineStr">
        <is>
          <t>Granite Indemnity</t>
        </is>
      </c>
      <c r="D20" s="9" t="inlineStr">
        <is>
          <t>Financial Lines</t>
        </is>
      </c>
      <c r="E20" s="9" t="inlineStr">
        <is>
          <t>Europe</t>
        </is>
      </c>
      <c r="F20" s="9" t="inlineStr">
        <is>
          <t>2025-05-20</t>
        </is>
      </c>
      <c r="G20" s="9" t="inlineStr">
        <is>
          <t>Directors &amp; Officers</t>
        </is>
      </c>
      <c r="H20" s="9" t="inlineStr">
        <is>
          <t>Open</t>
        </is>
      </c>
      <c r="I20" s="12" t="n">
        <v>545466.9276000001</v>
      </c>
      <c r="J20" s="12" t="n">
        <v>927155.2032000001</v>
      </c>
      <c r="K20" s="12" t="n">
        <v>1472622.1308</v>
      </c>
      <c r="L20" s="9" t="n">
        <v>0</v>
      </c>
    </row>
    <row r="21">
      <c r="A21" s="9" t="inlineStr">
        <is>
          <t>CL005500</t>
        </is>
      </c>
      <c r="B21" s="9" t="inlineStr">
        <is>
          <t>T0447</t>
        </is>
      </c>
      <c r="C21" s="9" t="inlineStr">
        <is>
          <t>Pioneer Insurance</t>
        </is>
      </c>
      <c r="D21" s="9" t="inlineStr">
        <is>
          <t>Specialty</t>
        </is>
      </c>
      <c r="E21" s="9" t="inlineStr">
        <is>
          <t>Europe</t>
        </is>
      </c>
      <c r="F21" s="9" t="inlineStr">
        <is>
          <t>2026-06-01</t>
        </is>
      </c>
      <c r="G21" s="9" t="inlineStr">
        <is>
          <t>Political Risk</t>
        </is>
      </c>
      <c r="H21" s="9" t="inlineStr">
        <is>
          <t>Open</t>
        </is>
      </c>
      <c r="I21" s="12" t="n">
        <v>572093.7876</v>
      </c>
      <c r="J21" s="12" t="n">
        <v>850263.6096000001</v>
      </c>
      <c r="K21" s="12" t="n">
        <v>1422357.3972</v>
      </c>
      <c r="L21" s="9" t="n">
        <v>0</v>
      </c>
    </row>
    <row r="22">
      <c r="A22" s="9" t="inlineStr">
        <is>
          <t>CL000003</t>
        </is>
      </c>
      <c r="B22" s="9" t="inlineStr">
        <is>
          <t>T0140</t>
        </is>
      </c>
      <c r="C22" s="9" t="inlineStr">
        <is>
          <t>Pioneer General</t>
        </is>
      </c>
      <c r="D22" s="9" t="inlineStr">
        <is>
          <t>Casualty</t>
        </is>
      </c>
      <c r="E22" s="9" t="inlineStr">
        <is>
          <t>Europe</t>
        </is>
      </c>
      <c r="F22" s="9" t="inlineStr">
        <is>
          <t>2021-01-27</t>
        </is>
      </c>
      <c r="G22" s="9" t="inlineStr">
        <is>
          <t>General Liability</t>
        </is>
      </c>
      <c r="H22" s="9" t="inlineStr">
        <is>
          <t>Open</t>
        </is>
      </c>
      <c r="I22" s="12" t="n">
        <v>329096.5524</v>
      </c>
      <c r="J22" s="12" t="n">
        <v>1036481.238</v>
      </c>
      <c r="K22" s="12" t="n">
        <v>1365577.7904</v>
      </c>
      <c r="L22" s="9" t="n">
        <v>0</v>
      </c>
    </row>
    <row r="23">
      <c r="A23" s="9" t="inlineStr">
        <is>
          <t>CL000119</t>
        </is>
      </c>
      <c r="B23" s="9" t="inlineStr">
        <is>
          <t>T0615</t>
        </is>
      </c>
      <c r="C23" s="9" t="inlineStr">
        <is>
          <t>Summit Insurance</t>
        </is>
      </c>
      <c r="D23" s="9" t="inlineStr">
        <is>
          <t>Professional</t>
        </is>
      </c>
      <c r="E23" s="9" t="inlineStr">
        <is>
          <t>Europe</t>
        </is>
      </c>
      <c r="F23" s="9" t="inlineStr">
        <is>
          <t>2021-06-24</t>
        </is>
      </c>
      <c r="G23" s="9" t="inlineStr">
        <is>
          <t>Professional Indemnity</t>
        </is>
      </c>
      <c r="H23" s="9" t="inlineStr">
        <is>
          <t>Settled</t>
        </is>
      </c>
      <c r="I23" s="12" t="n">
        <v>1361102.994</v>
      </c>
      <c r="J23" s="12" t="n">
        <v>0</v>
      </c>
      <c r="K23" s="12" t="n">
        <v>1361102.994</v>
      </c>
      <c r="L23" s="9" t="n">
        <v>0</v>
      </c>
    </row>
    <row r="24">
      <c r="A24" s="9" t="inlineStr">
        <is>
          <t>CL000589</t>
        </is>
      </c>
      <c r="B24" s="9" t="inlineStr">
        <is>
          <t>T0283</t>
        </is>
      </c>
      <c r="C24" s="9" t="inlineStr">
        <is>
          <t>Cobalt Mutual</t>
        </is>
      </c>
      <c r="D24" s="9" t="inlineStr">
        <is>
          <t>Casualty</t>
        </is>
      </c>
      <c r="E24" s="9" t="inlineStr">
        <is>
          <t>Europe</t>
        </is>
      </c>
      <c r="F24" s="9" t="inlineStr">
        <is>
          <t>2022-04-22</t>
        </is>
      </c>
      <c r="G24" s="9" t="inlineStr">
        <is>
          <t>General Liability</t>
        </is>
      </c>
      <c r="H24" s="9" t="inlineStr">
        <is>
          <t>Settled</t>
        </is>
      </c>
      <c r="I24" s="12" t="n">
        <v>1338048.2448</v>
      </c>
      <c r="J24" s="12" t="n">
        <v>0</v>
      </c>
      <c r="K24" s="12" t="n">
        <v>1338048.2448</v>
      </c>
      <c r="L24" s="9" t="n">
        <v>0</v>
      </c>
    </row>
    <row r="25">
      <c r="A25" s="9" t="inlineStr">
        <is>
          <t>CL001145</t>
        </is>
      </c>
      <c r="B25" s="9" t="inlineStr">
        <is>
          <t>T0689</t>
        </is>
      </c>
      <c r="C25" s="9" t="inlineStr">
        <is>
          <t>Sterling Mutual</t>
        </is>
      </c>
      <c r="D25" s="9" t="inlineStr">
        <is>
          <t>Financial Lines</t>
        </is>
      </c>
      <c r="E25" s="9" t="inlineStr">
        <is>
          <t>Europe</t>
        </is>
      </c>
      <c r="F25" s="9" t="inlineStr">
        <is>
          <t>2022-09-27</t>
        </is>
      </c>
      <c r="G25" s="9" t="inlineStr">
        <is>
          <t>Cyber</t>
        </is>
      </c>
      <c r="H25" s="9" t="inlineStr">
        <is>
          <t>Settled</t>
        </is>
      </c>
      <c r="I25" s="12" t="n">
        <v>1293250.271</v>
      </c>
      <c r="J25" s="12" t="n">
        <v>0</v>
      </c>
      <c r="K25" s="12" t="n">
        <v>1293250.271</v>
      </c>
      <c r="L25" s="9" t="n">
        <v>0</v>
      </c>
    </row>
    <row r="26">
      <c r="A26" s="9" t="inlineStr">
        <is>
          <t>CL004122</t>
        </is>
      </c>
      <c r="B26" s="9" t="inlineStr">
        <is>
          <t>T0372</t>
        </is>
      </c>
      <c r="C26" s="9" t="inlineStr">
        <is>
          <t>Meridian Assurance</t>
        </is>
      </c>
      <c r="D26" s="9" t="inlineStr">
        <is>
          <t>Specialty</t>
        </is>
      </c>
      <c r="E26" s="9" t="inlineStr">
        <is>
          <t>Europe</t>
        </is>
      </c>
      <c r="F26" s="9" t="inlineStr">
        <is>
          <t>2025-06-19</t>
        </is>
      </c>
      <c r="G26" s="9" t="inlineStr">
        <is>
          <t>Aviation</t>
        </is>
      </c>
      <c r="H26" s="9" t="inlineStr">
        <is>
          <t>Open</t>
        </is>
      </c>
      <c r="I26" s="12" t="n">
        <v>288534.7764</v>
      </c>
      <c r="J26" s="12" t="n">
        <v>975306.2472</v>
      </c>
      <c r="K26" s="12" t="n">
        <v>1263841.0236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2026-10-08T11:45:45Z</dcterms:created>
  <dcterms:modified xmlns:dcterms="http://purl.org/dc/terms/" xmlns:xsi="http://www.w3.org/2001/XMLSchema-instance" xsi:type="dcterms:W3CDTF">2026-10-08T11:45:46Z</dcterms:modified>
</cp:coreProperties>
</file>