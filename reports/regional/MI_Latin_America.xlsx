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eaty_Data" sheetId="2" state="visible" r:id="rId2"/>
    <sheet xmlns:r="http://schemas.openxmlformats.org/officeDocument/2006/relationships" name="Monthly_Trend" sheetId="3" state="visible" r:id="rId3"/>
    <sheet xmlns:r="http://schemas.openxmlformats.org/officeDocument/2006/relationships" name="Large_Losses" sheetId="4" state="visible" r:id="rId4"/>
    <sheet xmlns:r="http://schemas.openxmlformats.org/officeDocument/2006/relationships" name="Watchlist" sheetId="5" state="visible" r:id="rId5"/>
    <sheet xmlns:r="http://schemas.openxmlformats.org/officeDocument/2006/relationships" name="DQ_Log" sheetId="6" state="visible" r:id="rId6"/>
    <sheet xmlns:r="http://schemas.openxmlformats.org/officeDocument/2006/relationships" name="Notes" sheetId="7" state="visible" r:id="rId7"/>
  </sheets>
  <definedNames>
    <definedName name="_xlnm._FilterDatabase" localSheetId="1" hidden="1">'Treaty_Data'!$A$1:$R$35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A4D"/>
      <sz val="16"/>
    </font>
    <font>
      <name val="Arial"/>
      <i val="1"/>
      <sz val="9"/>
    </font>
    <font>
      <name val="Arial"/>
      <b val="1"/>
      <color rgb="000000FF"/>
    </font>
    <font>
      <name val="Arial"/>
      <b val="1"/>
      <color rgb="001F3A4D"/>
      <sz val="14"/>
    </font>
    <font>
      <name val="Arial"/>
      <b val="1"/>
      <color rgb="009C0006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3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6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3" fontId="6" fillId="0" borderId="0" applyAlignment="1" pivotButton="0" quotePrefix="0" xfId="0">
      <alignment horizontal="center"/>
    </xf>
    <xf numFmtId="0" fontId="7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9" fontId="2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dxfs count="2">
    <dxf>
      <font>
        <b val="1"/>
        <color rgb="009C0006"/>
      </font>
      <fill>
        <patternFill patternType="solid">
          <bgColor rgb="00FFC7CE"/>
        </patternFill>
      </fill>
    </dxf>
    <dxf>
      <font>
        <color rgb="00006100"/>
      </font>
      <fill>
        <patternFill patternType="solid"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Loss ratio by line of business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'Summary'!E10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'Summary'!$A$11:$A$15</f>
            </numRef>
          </cat>
          <val>
            <numRef>
              <f>'Summary'!$E$11:$E$15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gross premium vs incurred losses (USD)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'Monthly_Trend'!$A$2:$A$70</f>
            </numRef>
          </cat>
          <val>
            <numRef>
              <f>'Monthly_Trend'!$B$2:$B$70</f>
            </numRef>
          </val>
        </ser>
        <ser>
          <idx val="1"/>
          <order val="1"/>
          <tx>
            <strRef>
              <f>'Monthly_Trend'!E1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'Monthly_Trend'!$A$2:$A$70</f>
            </numRef>
          </cat>
          <val>
            <numRef>
              <f>'Monthly_Trend'!$E$2:$E$70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9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6" customWidth="1" min="11" max="11"/>
  </cols>
  <sheetData>
    <row r="1">
      <c r="A1" s="1" t="inlineStr">
        <is>
          <t>Reinsurance Portfolio MI - Latin America</t>
        </is>
      </c>
    </row>
    <row r="2">
      <c r="A2" s="2" t="inlineStr">
        <is>
          <t>Valuation date 30-Sep-2026 | USD millions unless stated | all figures are live formulas over Treaty_Data</t>
        </is>
      </c>
    </row>
    <row r="4">
      <c r="A4" t="inlineStr">
        <is>
          <t>Admin expense ratio (assumption)</t>
        </is>
      </c>
      <c r="B4" s="3" t="n">
        <v>0.05</v>
      </c>
      <c r="C4" s="2" t="inlineStr">
        <is>
          <t>Input: edit to flex the combined ratio. Source: ref_assumptions table.</t>
        </is>
      </c>
    </row>
    <row r="6">
      <c r="A6" s="4" t="inlineStr">
        <is>
          <t>Gross premium</t>
        </is>
      </c>
      <c r="B6" s="4" t="inlineStr">
        <is>
          <t>Ceded</t>
        </is>
      </c>
      <c r="C6" s="4" t="inlineStr">
        <is>
          <t>Earned</t>
        </is>
      </c>
      <c r="D6" s="4" t="inlineStr">
        <is>
          <t>Incurred</t>
        </is>
      </c>
      <c r="E6" s="4" t="inlineStr">
        <is>
          <t>Loss ratio</t>
        </is>
      </c>
      <c r="F6" s="4" t="inlineStr">
        <is>
          <t>Combined ratio</t>
        </is>
      </c>
      <c r="G6" s="4" t="inlineStr">
        <is>
          <t>Exposure</t>
        </is>
      </c>
      <c r="H6" s="4" t="inlineStr">
        <is>
          <t>Treaties</t>
        </is>
      </c>
      <c r="I6" s="4" t="inlineStr">
        <is>
          <t>Claims</t>
        </is>
      </c>
      <c r="K6" s="4" t="inlineStr">
        <is>
          <t>Data health</t>
        </is>
      </c>
    </row>
    <row r="7">
      <c r="A7" s="5">
        <f>SUM(Treaty_Data!$I$2:$I$35)/1000000</f>
        <v/>
      </c>
      <c r="B7" s="5">
        <f>SUM(Treaty_Data!$J$2:$J$35)/1000000</f>
        <v/>
      </c>
      <c r="C7" s="5">
        <f>SUM(Treaty_Data!$K$2:$K$35)/1000000</f>
        <v/>
      </c>
      <c r="D7" s="5">
        <f>SUM(Treaty_Data!$O$2:$O$35)/1000000</f>
        <v/>
      </c>
      <c r="E7" s="6">
        <f>IFERROR(D7/C7,0)</f>
        <v/>
      </c>
      <c r="F7" s="6">
        <f>IFERROR(E7+SUM(Treaty_Data!$L$2:$L$35)/1000000/C7+B4,0)</f>
        <v/>
      </c>
      <c r="G7" s="7">
        <f>SUM(Treaty_Data!$P$2:$P$35)/1000000</f>
        <v/>
      </c>
      <c r="H7" s="7">
        <f>COUNTA(Treaty_Data!$A$2:$A$35)</f>
        <v/>
      </c>
      <c r="I7" s="7">
        <f>SUM(Treaty_Data!$M$2:$M$35)</f>
        <v/>
      </c>
      <c r="K7" s="8">
        <f>COUNTIF(DQ_Log!G2:G29,"PASS")&amp;" of "&amp;COUNTA(DQ_Log!G2:G29)&amp;" checks passed"</f>
        <v/>
      </c>
    </row>
    <row r="10">
      <c r="A10" s="4" t="inlineStr">
        <is>
          <t>Line of business</t>
        </is>
      </c>
      <c r="B10" s="4" t="inlineStr">
        <is>
          <t>GWP</t>
        </is>
      </c>
      <c r="C10" s="4" t="inlineStr">
        <is>
          <t>Earned</t>
        </is>
      </c>
      <c r="D10" s="4" t="inlineStr">
        <is>
          <t>Incurred</t>
        </is>
      </c>
      <c r="E10" s="4" t="inlineStr">
        <is>
          <t>Loss ratio</t>
        </is>
      </c>
      <c r="F10" s="4" t="inlineStr">
        <is>
          <t>Commission ratio</t>
        </is>
      </c>
      <c r="G10" s="4" t="inlineStr">
        <is>
          <t>Combined ratio</t>
        </is>
      </c>
      <c r="H10" s="4" t="inlineStr">
        <is>
          <t>Treaties</t>
        </is>
      </c>
    </row>
    <row r="11">
      <c r="A11" s="9" t="inlineStr">
        <is>
          <t>Casualty</t>
        </is>
      </c>
      <c r="B11" s="10">
        <f>SUMIFS(Treaty_Data!$I$2:$I$35,Treaty_Data!$C$2:$C$35,$A11)/1000000</f>
        <v/>
      </c>
      <c r="C11" s="10">
        <f>SUMIFS(Treaty_Data!$K$2:$K$35,Treaty_Data!$C$2:$C$35,$A11)/1000000</f>
        <v/>
      </c>
      <c r="D11" s="10">
        <f>SUMIFS(Treaty_Data!$O$2:$O$35,Treaty_Data!$C$2:$C$35,$A11)/1000000</f>
        <v/>
      </c>
      <c r="E11" s="11">
        <f>IFERROR(D11/C11,0)</f>
        <v/>
      </c>
      <c r="F11" s="11">
        <f>IFERROR(SUMIFS(Treaty_Data!$L$2:$L$35,Treaty_Data!$C$2:$C$35,$A11)/1000000/C11,0)</f>
        <v/>
      </c>
      <c r="G11" s="11">
        <f>E11+F11+$B$4</f>
        <v/>
      </c>
      <c r="H11" s="12">
        <f>COUNTIF(Treaty_Data!$C$2:$C$35,$A11)</f>
        <v/>
      </c>
    </row>
    <row r="12">
      <c r="A12" s="9" t="inlineStr">
        <is>
          <t>Financial Lines</t>
        </is>
      </c>
      <c r="B12" s="10">
        <f>SUMIFS(Treaty_Data!$I$2:$I$35,Treaty_Data!$C$2:$C$35,$A12)/1000000</f>
        <v/>
      </c>
      <c r="C12" s="10">
        <f>SUMIFS(Treaty_Data!$K$2:$K$35,Treaty_Data!$C$2:$C$35,$A12)/1000000</f>
        <v/>
      </c>
      <c r="D12" s="10">
        <f>SUMIFS(Treaty_Data!$O$2:$O$35,Treaty_Data!$C$2:$C$35,$A12)/1000000</f>
        <v/>
      </c>
      <c r="E12" s="11">
        <f>IFERROR(D12/C12,0)</f>
        <v/>
      </c>
      <c r="F12" s="11">
        <f>IFERROR(SUMIFS(Treaty_Data!$L$2:$L$35,Treaty_Data!$C$2:$C$35,$A12)/1000000/C12,0)</f>
        <v/>
      </c>
      <c r="G12" s="11">
        <f>E12+F12+$B$4</f>
        <v/>
      </c>
      <c r="H12" s="12">
        <f>COUNTIF(Treaty_Data!$C$2:$C$35,$A12)</f>
        <v/>
      </c>
    </row>
    <row r="13">
      <c r="A13" s="9" t="inlineStr">
        <is>
          <t>Professional</t>
        </is>
      </c>
      <c r="B13" s="10">
        <f>SUMIFS(Treaty_Data!$I$2:$I$35,Treaty_Data!$C$2:$C$35,$A13)/1000000</f>
        <v/>
      </c>
      <c r="C13" s="10">
        <f>SUMIFS(Treaty_Data!$K$2:$K$35,Treaty_Data!$C$2:$C$35,$A13)/1000000</f>
        <v/>
      </c>
      <c r="D13" s="10">
        <f>SUMIFS(Treaty_Data!$O$2:$O$35,Treaty_Data!$C$2:$C$35,$A13)/1000000</f>
        <v/>
      </c>
      <c r="E13" s="11">
        <f>IFERROR(D13/C13,0)</f>
        <v/>
      </c>
      <c r="F13" s="11">
        <f>IFERROR(SUMIFS(Treaty_Data!$L$2:$L$35,Treaty_Data!$C$2:$C$35,$A13)/1000000/C13,0)</f>
        <v/>
      </c>
      <c r="G13" s="11">
        <f>E13+F13+$B$4</f>
        <v/>
      </c>
      <c r="H13" s="12">
        <f>COUNTIF(Treaty_Data!$C$2:$C$35,$A13)</f>
        <v/>
      </c>
    </row>
    <row r="14">
      <c r="A14" s="9" t="inlineStr">
        <is>
          <t>Property</t>
        </is>
      </c>
      <c r="B14" s="10">
        <f>SUMIFS(Treaty_Data!$I$2:$I$35,Treaty_Data!$C$2:$C$35,$A14)/1000000</f>
        <v/>
      </c>
      <c r="C14" s="10">
        <f>SUMIFS(Treaty_Data!$K$2:$K$35,Treaty_Data!$C$2:$C$35,$A14)/1000000</f>
        <v/>
      </c>
      <c r="D14" s="10">
        <f>SUMIFS(Treaty_Data!$O$2:$O$35,Treaty_Data!$C$2:$C$35,$A14)/1000000</f>
        <v/>
      </c>
      <c r="E14" s="11">
        <f>IFERROR(D14/C14,0)</f>
        <v/>
      </c>
      <c r="F14" s="11">
        <f>IFERROR(SUMIFS(Treaty_Data!$L$2:$L$35,Treaty_Data!$C$2:$C$35,$A14)/1000000/C14,0)</f>
        <v/>
      </c>
      <c r="G14" s="11">
        <f>E14+F14+$B$4</f>
        <v/>
      </c>
      <c r="H14" s="12">
        <f>COUNTIF(Treaty_Data!$C$2:$C$35,$A14)</f>
        <v/>
      </c>
    </row>
    <row r="15">
      <c r="A15" s="9" t="inlineStr">
        <is>
          <t>Specialty</t>
        </is>
      </c>
      <c r="B15" s="10">
        <f>SUMIFS(Treaty_Data!$I$2:$I$35,Treaty_Data!$C$2:$C$35,$A15)/1000000</f>
        <v/>
      </c>
      <c r="C15" s="10">
        <f>SUMIFS(Treaty_Data!$K$2:$K$35,Treaty_Data!$C$2:$C$35,$A15)/1000000</f>
        <v/>
      </c>
      <c r="D15" s="10">
        <f>SUMIFS(Treaty_Data!$O$2:$O$35,Treaty_Data!$C$2:$C$35,$A15)/1000000</f>
        <v/>
      </c>
      <c r="E15" s="11">
        <f>IFERROR(D15/C15,0)</f>
        <v/>
      </c>
      <c r="F15" s="11">
        <f>IFERROR(SUMIFS(Treaty_Data!$L$2:$L$35,Treaty_Data!$C$2:$C$35,$A15)/1000000/C15,0)</f>
        <v/>
      </c>
      <c r="G15" s="11">
        <f>E15+F15+$B$4</f>
        <v/>
      </c>
      <c r="H15" s="12">
        <f>COUNTIF(Treaty_Data!$C$2:$C$35,$A15)</f>
        <v/>
      </c>
    </row>
    <row r="18">
      <c r="A18" s="4" t="inlineStr">
        <is>
          <t>Region</t>
        </is>
      </c>
      <c r="B18" s="4" t="inlineStr">
        <is>
          <t>GWP</t>
        </is>
      </c>
      <c r="C18" s="4" t="inlineStr">
        <is>
          <t>Earned</t>
        </is>
      </c>
      <c r="D18" s="4" t="inlineStr">
        <is>
          <t>Incurred</t>
        </is>
      </c>
      <c r="E18" s="4" t="inlineStr">
        <is>
          <t>Loss ratio</t>
        </is>
      </c>
      <c r="F18" s="4" t="inlineStr">
        <is>
          <t>Commission ratio</t>
        </is>
      </c>
      <c r="G18" s="4" t="inlineStr">
        <is>
          <t>Combined ratio</t>
        </is>
      </c>
      <c r="H18" s="4" t="inlineStr">
        <is>
          <t>Treaties</t>
        </is>
      </c>
    </row>
    <row r="19">
      <c r="A19" s="9" t="inlineStr">
        <is>
          <t>Latin America</t>
        </is>
      </c>
      <c r="B19" s="10">
        <f>SUMIFS(Treaty_Data!$I$2:$I$35,Treaty_Data!$D$2:$D$35,$A19)/1000000</f>
        <v/>
      </c>
      <c r="C19" s="10">
        <f>SUMIFS(Treaty_Data!$K$2:$K$35,Treaty_Data!$D$2:$D$35,$A19)/1000000</f>
        <v/>
      </c>
      <c r="D19" s="10">
        <f>SUMIFS(Treaty_Data!$O$2:$O$35,Treaty_Data!$D$2:$D$35,$A19)/1000000</f>
        <v/>
      </c>
      <c r="E19" s="11">
        <f>IFERROR(D19/C19,0)</f>
        <v/>
      </c>
      <c r="F19" s="11">
        <f>IFERROR(SUMIFS(Treaty_Data!$L$2:$L$35,Treaty_Data!$D$2:$D$35,$A19)/1000000/C19,0)</f>
        <v/>
      </c>
      <c r="G19" s="11">
        <f>E19+F19+$B$4</f>
        <v/>
      </c>
      <c r="H19" s="12">
        <f>COUNTIF(Treaty_Data!$D$2:$D$35,$A19)</f>
        <v/>
      </c>
    </row>
    <row r="22">
      <c r="A22" s="4" t="inlineStr">
        <is>
          <t>Underwriting year</t>
        </is>
      </c>
      <c r="B22" s="4" t="inlineStr">
        <is>
          <t>GWP</t>
        </is>
      </c>
      <c r="C22" s="4" t="inlineStr">
        <is>
          <t>Earned</t>
        </is>
      </c>
      <c r="D22" s="4" t="inlineStr">
        <is>
          <t>Incurred</t>
        </is>
      </c>
      <c r="E22" s="4" t="inlineStr">
        <is>
          <t>Loss ratio</t>
        </is>
      </c>
      <c r="F22" s="4" t="inlineStr">
        <is>
          <t>Commission ratio</t>
        </is>
      </c>
      <c r="G22" s="4" t="inlineStr">
        <is>
          <t>Combined ratio</t>
        </is>
      </c>
      <c r="H22" s="4" t="inlineStr">
        <is>
          <t>Treaties</t>
        </is>
      </c>
    </row>
    <row r="23">
      <c r="A23" s="9" t="n">
        <v>2021</v>
      </c>
      <c r="B23" s="10">
        <f>SUMIFS(Treaty_Data!$I$2:$I$35,Treaty_Data!$G$2:$G$35,$A23)/1000000</f>
        <v/>
      </c>
      <c r="C23" s="10">
        <f>SUMIFS(Treaty_Data!$K$2:$K$35,Treaty_Data!$G$2:$G$35,$A23)/1000000</f>
        <v/>
      </c>
      <c r="D23" s="10">
        <f>SUMIFS(Treaty_Data!$O$2:$O$35,Treaty_Data!$G$2:$G$35,$A23)/1000000</f>
        <v/>
      </c>
      <c r="E23" s="11">
        <f>IFERROR(D23/C23,0)</f>
        <v/>
      </c>
      <c r="F23" s="11">
        <f>IFERROR(SUMIFS(Treaty_Data!$L$2:$L$35,Treaty_Data!$G$2:$G$35,$A23)/1000000/C23,0)</f>
        <v/>
      </c>
      <c r="G23" s="11">
        <f>E23+F23+$B$4</f>
        <v/>
      </c>
      <c r="H23" s="12">
        <f>COUNTIF(Treaty_Data!$G$2:$G$35,$A23)</f>
        <v/>
      </c>
    </row>
    <row r="24">
      <c r="A24" s="9" t="n">
        <v>2022</v>
      </c>
      <c r="B24" s="10">
        <f>SUMIFS(Treaty_Data!$I$2:$I$35,Treaty_Data!$G$2:$G$35,$A24)/1000000</f>
        <v/>
      </c>
      <c r="C24" s="10">
        <f>SUMIFS(Treaty_Data!$K$2:$K$35,Treaty_Data!$G$2:$G$35,$A24)/1000000</f>
        <v/>
      </c>
      <c r="D24" s="10">
        <f>SUMIFS(Treaty_Data!$O$2:$O$35,Treaty_Data!$G$2:$G$35,$A24)/1000000</f>
        <v/>
      </c>
      <c r="E24" s="11">
        <f>IFERROR(D24/C24,0)</f>
        <v/>
      </c>
      <c r="F24" s="11">
        <f>IFERROR(SUMIFS(Treaty_Data!$L$2:$L$35,Treaty_Data!$G$2:$G$35,$A24)/1000000/C24,0)</f>
        <v/>
      </c>
      <c r="G24" s="11">
        <f>E24+F24+$B$4</f>
        <v/>
      </c>
      <c r="H24" s="12">
        <f>COUNTIF(Treaty_Data!$G$2:$G$35,$A24)</f>
        <v/>
      </c>
    </row>
    <row r="25">
      <c r="A25" s="9" t="n">
        <v>2023</v>
      </c>
      <c r="B25" s="10">
        <f>SUMIFS(Treaty_Data!$I$2:$I$35,Treaty_Data!$G$2:$G$35,$A25)/1000000</f>
        <v/>
      </c>
      <c r="C25" s="10">
        <f>SUMIFS(Treaty_Data!$K$2:$K$35,Treaty_Data!$G$2:$G$35,$A25)/1000000</f>
        <v/>
      </c>
      <c r="D25" s="10">
        <f>SUMIFS(Treaty_Data!$O$2:$O$35,Treaty_Data!$G$2:$G$35,$A25)/1000000</f>
        <v/>
      </c>
      <c r="E25" s="11">
        <f>IFERROR(D25/C25,0)</f>
        <v/>
      </c>
      <c r="F25" s="11">
        <f>IFERROR(SUMIFS(Treaty_Data!$L$2:$L$35,Treaty_Data!$G$2:$G$35,$A25)/1000000/C25,0)</f>
        <v/>
      </c>
      <c r="G25" s="11">
        <f>E25+F25+$B$4</f>
        <v/>
      </c>
      <c r="H25" s="12">
        <f>COUNTIF(Treaty_Data!$G$2:$G$35,$A25)</f>
        <v/>
      </c>
    </row>
    <row r="26">
      <c r="A26" s="9" t="n">
        <v>2024</v>
      </c>
      <c r="B26" s="10">
        <f>SUMIFS(Treaty_Data!$I$2:$I$35,Treaty_Data!$G$2:$G$35,$A26)/1000000</f>
        <v/>
      </c>
      <c r="C26" s="10">
        <f>SUMIFS(Treaty_Data!$K$2:$K$35,Treaty_Data!$G$2:$G$35,$A26)/1000000</f>
        <v/>
      </c>
      <c r="D26" s="10">
        <f>SUMIFS(Treaty_Data!$O$2:$O$35,Treaty_Data!$G$2:$G$35,$A26)/1000000</f>
        <v/>
      </c>
      <c r="E26" s="11">
        <f>IFERROR(D26/C26,0)</f>
        <v/>
      </c>
      <c r="F26" s="11">
        <f>IFERROR(SUMIFS(Treaty_Data!$L$2:$L$35,Treaty_Data!$G$2:$G$35,$A26)/1000000/C26,0)</f>
        <v/>
      </c>
      <c r="G26" s="11">
        <f>E26+F26+$B$4</f>
        <v/>
      </c>
      <c r="H26" s="12">
        <f>COUNTIF(Treaty_Data!$G$2:$G$35,$A26)</f>
        <v/>
      </c>
    </row>
    <row r="27">
      <c r="A27" s="9" t="n">
        <v>2025</v>
      </c>
      <c r="B27" s="10">
        <f>SUMIFS(Treaty_Data!$I$2:$I$35,Treaty_Data!$G$2:$G$35,$A27)/1000000</f>
        <v/>
      </c>
      <c r="C27" s="10">
        <f>SUMIFS(Treaty_Data!$K$2:$K$35,Treaty_Data!$G$2:$G$35,$A27)/1000000</f>
        <v/>
      </c>
      <c r="D27" s="10">
        <f>SUMIFS(Treaty_Data!$O$2:$O$35,Treaty_Data!$G$2:$G$35,$A27)/1000000</f>
        <v/>
      </c>
      <c r="E27" s="11">
        <f>IFERROR(D27/C27,0)</f>
        <v/>
      </c>
      <c r="F27" s="11">
        <f>IFERROR(SUMIFS(Treaty_Data!$L$2:$L$35,Treaty_Data!$G$2:$G$35,$A27)/1000000/C27,0)</f>
        <v/>
      </c>
      <c r="G27" s="11">
        <f>E27+F27+$B$4</f>
        <v/>
      </c>
      <c r="H27" s="12">
        <f>COUNTIF(Treaty_Data!$G$2:$G$35,$A27)</f>
        <v/>
      </c>
    </row>
    <row r="28">
      <c r="A28" s="9" t="n">
        <v>2026</v>
      </c>
      <c r="B28" s="10">
        <f>SUMIFS(Treaty_Data!$I$2:$I$35,Treaty_Data!$G$2:$G$35,$A28)/1000000</f>
        <v/>
      </c>
      <c r="C28" s="10">
        <f>SUMIFS(Treaty_Data!$K$2:$K$35,Treaty_Data!$G$2:$G$35,$A28)/1000000</f>
        <v/>
      </c>
      <c r="D28" s="10">
        <f>SUMIFS(Treaty_Data!$O$2:$O$35,Treaty_Data!$G$2:$G$35,$A28)/1000000</f>
        <v/>
      </c>
      <c r="E28" s="11">
        <f>IFERROR(D28/C28,0)</f>
        <v/>
      </c>
      <c r="F28" s="11">
        <f>IFERROR(SUMIFS(Treaty_Data!$L$2:$L$35,Treaty_Data!$G$2:$G$35,$A28)/1000000/C28,0)</f>
        <v/>
      </c>
      <c r="G28" s="11">
        <f>E28+F28+$B$4</f>
        <v/>
      </c>
      <c r="H28" s="12">
        <f>COUNTIF(Treaty_Data!$G$2:$G$35,$A28)</f>
        <v/>
      </c>
    </row>
  </sheetData>
  <conditionalFormatting sqref="G11:G15">
    <cfRule type="cellIs" priority="1" operator="greaterThan" dxfId="0">
      <formula>1</formula>
    </cfRule>
  </conditionalFormatting>
  <conditionalFormatting sqref="E11:E15">
    <cfRule type="dataBar" priority="2">
      <dataBar>
        <cfvo type="num" val="0"/>
        <cfvo type="num" val="1.2"/>
        <color rgb="007FA6BF"/>
      </dataBar>
    </cfRule>
  </conditionalFormatting>
  <conditionalFormatting sqref="G19">
    <cfRule type="cellIs" priority="3" operator="greaterThan" dxfId="0">
      <formula>1</formula>
    </cfRule>
  </conditionalFormatting>
  <conditionalFormatting sqref="E19">
    <cfRule type="dataBar" priority="4">
      <dataBar>
        <cfvo type="num" val="0"/>
        <cfvo type="num" val="1.2"/>
        <color rgb="007FA6BF"/>
      </dataBar>
    </cfRule>
  </conditionalFormatting>
  <conditionalFormatting sqref="G23:G28">
    <cfRule type="cellIs" priority="5" operator="greaterThan" dxfId="0">
      <formula>1</formula>
    </cfRule>
  </conditionalFormatting>
  <conditionalFormatting sqref="E23:E28">
    <cfRule type="dataBar" priority="6">
      <dataBar>
        <cfvo type="num" val="0"/>
        <cfvo type="num" val="1.2"/>
        <color rgb="007FA6BF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5" customWidth="1" min="4" max="4"/>
    <col width="20" customWidth="1" min="5" max="5"/>
    <col width="15" customWidth="1" min="6" max="6"/>
    <col width="21" customWidth="1" min="7" max="7"/>
    <col width="13" customWidth="1" min="8" max="8"/>
    <col width="11" customWidth="1" min="9" max="9"/>
    <col width="11" customWidth="1" min="10" max="10"/>
    <col width="11" customWidth="1" min="11" max="11"/>
    <col width="21" customWidth="1" min="12" max="12"/>
    <col width="15" customWidth="1" min="13" max="13"/>
    <col width="11" customWidth="1" min="14" max="14"/>
    <col width="12" customWidth="1" min="15" max="15"/>
    <col width="12" customWidth="1" min="16" max="16"/>
    <col width="13" customWidth="1" min="17" max="17"/>
  </cols>
  <sheetData>
    <row r="1">
      <c r="A1" s="4" t="inlineStr">
        <is>
          <t>treaty_id</t>
        </is>
      </c>
      <c r="B1" s="4" t="inlineStr">
        <is>
          <t>cedant_name</t>
        </is>
      </c>
      <c r="C1" s="4" t="inlineStr">
        <is>
          <t>lob_name</t>
        </is>
      </c>
      <c r="D1" s="4" t="inlineStr">
        <is>
          <t>region_name</t>
        </is>
      </c>
      <c r="E1" s="4" t="inlineStr">
        <is>
          <t>underwriter_name</t>
        </is>
      </c>
      <c r="F1" s="4" t="inlineStr">
        <is>
          <t>treaty_type</t>
        </is>
      </c>
      <c r="G1" s="4" t="inlineStr">
        <is>
          <t>underwriting_year</t>
        </is>
      </c>
      <c r="H1" s="4" t="inlineStr">
        <is>
          <t>limit_usd</t>
        </is>
      </c>
      <c r="I1" s="4" t="inlineStr">
        <is>
          <t>gwp</t>
        </is>
      </c>
      <c r="J1" s="4" t="inlineStr">
        <is>
          <t>ceded</t>
        </is>
      </c>
      <c r="K1" s="4" t="inlineStr">
        <is>
          <t>earned</t>
        </is>
      </c>
      <c r="L1" s="4" t="inlineStr">
        <is>
          <t>earned_commission</t>
        </is>
      </c>
      <c r="M1" s="4" t="inlineStr">
        <is>
          <t>claim_count</t>
        </is>
      </c>
      <c r="N1" s="4" t="inlineStr">
        <is>
          <t>paid</t>
        </is>
      </c>
      <c r="O1" s="4" t="inlineStr">
        <is>
          <t>incurred</t>
        </is>
      </c>
      <c r="P1" s="4" t="inlineStr">
        <is>
          <t>exposure</t>
        </is>
      </c>
      <c r="Q1" s="4" t="inlineStr">
        <is>
          <t>risk_band</t>
        </is>
      </c>
      <c r="R1" s="4" t="inlineStr">
        <is>
          <t>loss_ratio</t>
        </is>
      </c>
    </row>
    <row r="2">
      <c r="A2" s="9" t="inlineStr">
        <is>
          <t>T0016</t>
        </is>
      </c>
      <c r="B2" s="9" t="inlineStr">
        <is>
          <t>Pioneer Indemnity</t>
        </is>
      </c>
      <c r="C2" s="9" t="inlineStr">
        <is>
          <t>Property</t>
        </is>
      </c>
      <c r="D2" s="9" t="inlineStr">
        <is>
          <t>Latin America</t>
        </is>
      </c>
      <c r="E2" s="9" t="inlineStr">
        <is>
          <t>Sophie Laurent</t>
        </is>
      </c>
      <c r="F2" s="9" t="inlineStr">
        <is>
          <t>Proportional</t>
        </is>
      </c>
      <c r="G2" s="9" t="n">
        <v>2025</v>
      </c>
      <c r="H2" s="12" t="n">
        <v>35100000</v>
      </c>
      <c r="I2" s="12" t="n">
        <v>4852389.08</v>
      </c>
      <c r="J2" s="12" t="n">
        <v>441815.66</v>
      </c>
      <c r="K2" s="12" t="n">
        <v>4852389.08</v>
      </c>
      <c r="L2" s="12" t="n">
        <v>1507687.61</v>
      </c>
      <c r="M2" s="9" t="n">
        <v>6</v>
      </c>
      <c r="N2" s="12" t="n">
        <v>2853297.25</v>
      </c>
      <c r="O2" s="12" t="n">
        <v>3154948.06</v>
      </c>
      <c r="P2" s="12" t="n">
        <v>8775000</v>
      </c>
      <c r="Q2" s="9" t="inlineStr">
        <is>
          <t>Low</t>
        </is>
      </c>
      <c r="R2" s="11">
        <f>IFERROR(O2/K2,0)</f>
        <v/>
      </c>
    </row>
    <row r="3">
      <c r="A3" s="9" t="inlineStr">
        <is>
          <t>T0019</t>
        </is>
      </c>
      <c r="B3" s="9" t="inlineStr">
        <is>
          <t>Pioneer Indemnity</t>
        </is>
      </c>
      <c r="C3" s="9" t="inlineStr">
        <is>
          <t>Financial Lines</t>
        </is>
      </c>
      <c r="D3" s="9" t="inlineStr">
        <is>
          <t>Latin America</t>
        </is>
      </c>
      <c r="E3" s="9" t="inlineStr">
        <is>
          <t>Sophie Laurent</t>
        </is>
      </c>
      <c r="F3" s="9" t="inlineStr">
        <is>
          <t>Proportional</t>
        </is>
      </c>
      <c r="G3" s="9" t="n">
        <v>2024</v>
      </c>
      <c r="H3" s="12" t="n">
        <v>3800000</v>
      </c>
      <c r="I3" s="12" t="n">
        <v>730349.04</v>
      </c>
      <c r="J3" s="12" t="n">
        <v>36891.36</v>
      </c>
      <c r="K3" s="12" t="n">
        <v>730349.04</v>
      </c>
      <c r="L3" s="12" t="n">
        <v>228413.76</v>
      </c>
      <c r="M3" s="9" t="n">
        <v>9</v>
      </c>
      <c r="N3" s="12" t="n">
        <v>185729.33</v>
      </c>
      <c r="O3" s="12" t="n">
        <v>226767.47</v>
      </c>
      <c r="P3" s="12" t="n">
        <v>760000</v>
      </c>
      <c r="Q3" s="9" t="inlineStr">
        <is>
          <t>Low</t>
        </is>
      </c>
      <c r="R3" s="11">
        <f>IFERROR(O3/K3,0)</f>
        <v/>
      </c>
    </row>
    <row r="4">
      <c r="A4" s="9" t="inlineStr">
        <is>
          <t>T0030</t>
        </is>
      </c>
      <c r="B4" s="9" t="inlineStr">
        <is>
          <t>Lumen Assurance</t>
        </is>
      </c>
      <c r="C4" s="9" t="inlineStr">
        <is>
          <t>Property</t>
        </is>
      </c>
      <c r="D4" s="9" t="inlineStr">
        <is>
          <t>Latin America</t>
        </is>
      </c>
      <c r="E4" s="9" t="inlineStr">
        <is>
          <t>Aarav Mehta</t>
        </is>
      </c>
      <c r="F4" s="9" t="inlineStr">
        <is>
          <t>Excess of Loss</t>
        </is>
      </c>
      <c r="G4" s="9" t="n">
        <v>2024</v>
      </c>
      <c r="H4" s="12" t="n">
        <v>8700000</v>
      </c>
      <c r="I4" s="12" t="n">
        <v>975714.36</v>
      </c>
      <c r="J4" s="12" t="n">
        <v>53261.39999999999</v>
      </c>
      <c r="K4" s="12" t="n">
        <v>975714.36</v>
      </c>
      <c r="L4" s="12" t="n">
        <v>55820.75999999999</v>
      </c>
      <c r="M4" s="9" t="n">
        <v>11</v>
      </c>
      <c r="N4" s="12" t="n">
        <v>495474.26</v>
      </c>
      <c r="O4" s="12" t="n">
        <v>575871.52</v>
      </c>
      <c r="P4" s="12" t="n">
        <v>8700000</v>
      </c>
      <c r="Q4" s="9" t="inlineStr">
        <is>
          <t>Low</t>
        </is>
      </c>
      <c r="R4" s="11">
        <f>IFERROR(O4/K4,0)</f>
        <v/>
      </c>
    </row>
    <row r="5">
      <c r="A5" s="9" t="inlineStr">
        <is>
          <t>T0044</t>
        </is>
      </c>
      <c r="B5" s="9" t="inlineStr">
        <is>
          <t>Pioneer Indemnity</t>
        </is>
      </c>
      <c r="C5" s="9" t="inlineStr">
        <is>
          <t>Property</t>
        </is>
      </c>
      <c r="D5" s="9" t="inlineStr">
        <is>
          <t>Latin America</t>
        </is>
      </c>
      <c r="E5" s="9" t="inlineStr">
        <is>
          <t>Omar Haddad</t>
        </is>
      </c>
      <c r="F5" s="9" t="inlineStr">
        <is>
          <t>Proportional</t>
        </is>
      </c>
      <c r="G5" s="9" t="n">
        <v>2022</v>
      </c>
      <c r="H5" s="12" t="n">
        <v>14500000</v>
      </c>
      <c r="I5" s="12" t="n">
        <v>2009112.84</v>
      </c>
      <c r="J5" s="12" t="n">
        <v>128876.88</v>
      </c>
      <c r="K5" s="12" t="n">
        <v>2009112.84</v>
      </c>
      <c r="L5" s="12" t="n">
        <v>461879.88</v>
      </c>
      <c r="M5" s="9" t="n">
        <v>11</v>
      </c>
      <c r="N5" s="12" t="n">
        <v>1019231.38</v>
      </c>
      <c r="O5" s="12" t="n">
        <v>1019231.38</v>
      </c>
      <c r="P5" s="12" t="n">
        <v>1450000</v>
      </c>
      <c r="Q5" s="9" t="inlineStr">
        <is>
          <t>Low</t>
        </is>
      </c>
      <c r="R5" s="11">
        <f>IFERROR(O5/K5,0)</f>
        <v/>
      </c>
    </row>
    <row r="6">
      <c r="A6" s="9" t="inlineStr">
        <is>
          <t>T0079</t>
        </is>
      </c>
      <c r="B6" s="9" t="inlineStr">
        <is>
          <t>Lumen Assurance</t>
        </is>
      </c>
      <c r="C6" s="9" t="inlineStr">
        <is>
          <t>Property</t>
        </is>
      </c>
      <c r="D6" s="9" t="inlineStr">
        <is>
          <t>Latin America</t>
        </is>
      </c>
      <c r="E6" s="9" t="inlineStr">
        <is>
          <t>Kenji Sato</t>
        </is>
      </c>
      <c r="F6" s="9" t="inlineStr">
        <is>
          <t>Excess of Loss</t>
        </is>
      </c>
      <c r="G6" s="9" t="n">
        <v>2025</v>
      </c>
      <c r="H6" s="12" t="n">
        <v>1300000</v>
      </c>
      <c r="I6" s="12" t="n">
        <v>252709.44</v>
      </c>
      <c r="J6" s="12" t="n">
        <v>22631.52</v>
      </c>
      <c r="K6" s="12" t="n">
        <v>252709.44</v>
      </c>
      <c r="L6" s="12" t="n">
        <v>28180.56</v>
      </c>
      <c r="M6" s="9" t="n">
        <v>15</v>
      </c>
      <c r="N6" s="12" t="n">
        <v>720897.1599999999</v>
      </c>
      <c r="O6" s="12" t="n">
        <v>3360348.47</v>
      </c>
      <c r="P6" s="12" t="n">
        <v>1300000</v>
      </c>
      <c r="Q6" s="9" t="inlineStr">
        <is>
          <t>Critical</t>
        </is>
      </c>
      <c r="R6" s="11">
        <f>IFERROR(O6/K6,0)</f>
        <v/>
      </c>
    </row>
    <row r="7">
      <c r="A7" s="9" t="inlineStr">
        <is>
          <t>T0088</t>
        </is>
      </c>
      <c r="B7" s="9" t="inlineStr">
        <is>
          <t>Pioneer Indemnity</t>
        </is>
      </c>
      <c r="C7" s="9" t="inlineStr">
        <is>
          <t>Property</t>
        </is>
      </c>
      <c r="D7" s="9" t="inlineStr">
        <is>
          <t>Latin America</t>
        </is>
      </c>
      <c r="E7" s="9" t="inlineStr">
        <is>
          <t>Kenji Sato</t>
        </is>
      </c>
      <c r="F7" s="9" t="inlineStr">
        <is>
          <t>Facultative</t>
        </is>
      </c>
      <c r="G7" s="9" t="n">
        <v>2021</v>
      </c>
      <c r="H7" s="12" t="n">
        <v>6800000</v>
      </c>
      <c r="I7" s="12" t="n">
        <v>707040.36</v>
      </c>
      <c r="J7" s="12" t="n">
        <v>46176.24</v>
      </c>
      <c r="K7" s="12" t="n">
        <v>707040.36</v>
      </c>
      <c r="L7" s="12" t="n">
        <v>111624.84</v>
      </c>
      <c r="M7" s="9" t="n">
        <v>6</v>
      </c>
      <c r="N7" s="12" t="n">
        <v>322850.89</v>
      </c>
      <c r="O7" s="12" t="n">
        <v>326115.91</v>
      </c>
      <c r="P7" s="12" t="n">
        <v>6800000</v>
      </c>
      <c r="Q7" s="9" t="inlineStr">
        <is>
          <t>Low</t>
        </is>
      </c>
      <c r="R7" s="11">
        <f>IFERROR(O7/K7,0)</f>
        <v/>
      </c>
    </row>
    <row r="8">
      <c r="A8" s="9" t="inlineStr">
        <is>
          <t>T0125</t>
        </is>
      </c>
      <c r="B8" s="9" t="inlineStr">
        <is>
          <t>Lumen Assurance</t>
        </is>
      </c>
      <c r="C8" s="9" t="inlineStr">
        <is>
          <t>Casualty</t>
        </is>
      </c>
      <c r="D8" s="9" t="inlineStr">
        <is>
          <t>Latin America</t>
        </is>
      </c>
      <c r="E8" s="9" t="inlineStr">
        <is>
          <t>Aarav Mehta</t>
        </is>
      </c>
      <c r="F8" s="9" t="inlineStr">
        <is>
          <t>Proportional</t>
        </is>
      </c>
      <c r="G8" s="9" t="n">
        <v>2024</v>
      </c>
      <c r="H8" s="12" t="n">
        <v>39200000</v>
      </c>
      <c r="I8" s="12" t="n">
        <v>4918528.199999999</v>
      </c>
      <c r="J8" s="12" t="n">
        <v>507365.28</v>
      </c>
      <c r="K8" s="12" t="n">
        <v>4918528.199999999</v>
      </c>
      <c r="L8" s="12" t="n">
        <v>1144652.64</v>
      </c>
      <c r="M8" s="9" t="n">
        <v>11</v>
      </c>
      <c r="N8" s="12" t="n">
        <v>2003502.53</v>
      </c>
      <c r="O8" s="12" t="n">
        <v>3469318.84</v>
      </c>
      <c r="P8" s="12" t="n">
        <v>7840000</v>
      </c>
      <c r="Q8" s="9" t="inlineStr">
        <is>
          <t>Low</t>
        </is>
      </c>
      <c r="R8" s="11">
        <f>IFERROR(O8/K8,0)</f>
        <v/>
      </c>
    </row>
    <row r="9">
      <c r="A9" s="9" t="inlineStr">
        <is>
          <t>T0137</t>
        </is>
      </c>
      <c r="B9" s="9" t="inlineStr">
        <is>
          <t>Pioneer Indemnity</t>
        </is>
      </c>
      <c r="C9" s="9" t="inlineStr">
        <is>
          <t>Professional</t>
        </is>
      </c>
      <c r="D9" s="9" t="inlineStr">
        <is>
          <t>Latin America</t>
        </is>
      </c>
      <c r="E9" s="9" t="inlineStr">
        <is>
          <t>Aarav Mehta</t>
        </is>
      </c>
      <c r="F9" s="9" t="inlineStr">
        <is>
          <t>Excess of Loss</t>
        </is>
      </c>
      <c r="G9" s="9" t="n">
        <v>2023</v>
      </c>
      <c r="H9" s="12" t="n">
        <v>5900000</v>
      </c>
      <c r="I9" s="12" t="n">
        <v>1130001.36</v>
      </c>
      <c r="J9" s="12" t="n">
        <v>131044.32</v>
      </c>
      <c r="K9" s="12" t="n">
        <v>1130001.36</v>
      </c>
      <c r="L9" s="12" t="n">
        <v>89823.36</v>
      </c>
      <c r="M9" s="9" t="n">
        <v>13</v>
      </c>
      <c r="N9" s="12" t="n">
        <v>604521.61</v>
      </c>
      <c r="O9" s="12" t="n">
        <v>615725.5</v>
      </c>
      <c r="P9" s="12" t="n">
        <v>5900000</v>
      </c>
      <c r="Q9" s="9" t="inlineStr">
        <is>
          <t>Low</t>
        </is>
      </c>
      <c r="R9" s="11">
        <f>IFERROR(O9/K9,0)</f>
        <v/>
      </c>
    </row>
    <row r="10">
      <c r="A10" s="9" t="inlineStr">
        <is>
          <t>T0141</t>
        </is>
      </c>
      <c r="B10" s="9" t="inlineStr">
        <is>
          <t>Orion Indemnity</t>
        </is>
      </c>
      <c r="C10" s="9" t="inlineStr">
        <is>
          <t>Casualty</t>
        </is>
      </c>
      <c r="D10" s="9" t="inlineStr">
        <is>
          <t>Latin America</t>
        </is>
      </c>
      <c r="E10" s="9" t="inlineStr">
        <is>
          <t>James Whitfield</t>
        </is>
      </c>
      <c r="F10" s="9" t="inlineStr">
        <is>
          <t>Proportional</t>
        </is>
      </c>
      <c r="G10" s="9" t="n">
        <v>2024</v>
      </c>
      <c r="H10" s="12" t="n">
        <v>22500000</v>
      </c>
      <c r="I10" s="12" t="n">
        <v>4256647.439999999</v>
      </c>
      <c r="J10" s="12" t="n">
        <v>413903.16</v>
      </c>
      <c r="K10" s="12" t="n">
        <v>4256647.439999999</v>
      </c>
      <c r="L10" s="12" t="n">
        <v>1103253.96</v>
      </c>
      <c r="M10" s="9" t="n">
        <v>8</v>
      </c>
      <c r="N10" s="12" t="n">
        <v>2586249.49</v>
      </c>
      <c r="O10" s="12" t="n">
        <v>2649016.42</v>
      </c>
      <c r="P10" s="12" t="n">
        <v>6750000</v>
      </c>
      <c r="Q10" s="9" t="inlineStr">
        <is>
          <t>Low</t>
        </is>
      </c>
      <c r="R10" s="11">
        <f>IFERROR(O10/K10,0)</f>
        <v/>
      </c>
    </row>
    <row r="11">
      <c r="A11" s="9" t="inlineStr">
        <is>
          <t>T0149</t>
        </is>
      </c>
      <c r="B11" s="9" t="inlineStr">
        <is>
          <t>Evergreen Mutual</t>
        </is>
      </c>
      <c r="C11" s="9" t="inlineStr">
        <is>
          <t>Casualty</t>
        </is>
      </c>
      <c r="D11" s="9" t="inlineStr">
        <is>
          <t>Latin America</t>
        </is>
      </c>
      <c r="E11" s="9" t="inlineStr">
        <is>
          <t>James Whitfield</t>
        </is>
      </c>
      <c r="F11" s="9" t="inlineStr">
        <is>
          <t>Excess of Loss</t>
        </is>
      </c>
      <c r="G11" s="9" t="n">
        <v>2022</v>
      </c>
      <c r="H11" s="12" t="n">
        <v>11100000</v>
      </c>
      <c r="I11" s="12" t="n">
        <v>896968.4399999999</v>
      </c>
      <c r="J11" s="12" t="n">
        <v>97473.12</v>
      </c>
      <c r="K11" s="12" t="n">
        <v>896968.4399999999</v>
      </c>
      <c r="L11" s="12" t="n">
        <v>94119.36</v>
      </c>
      <c r="M11" s="9" t="n">
        <v>9</v>
      </c>
      <c r="N11" s="12" t="n">
        <v>489545.63</v>
      </c>
      <c r="O11" s="12" t="n">
        <v>823124.7000000001</v>
      </c>
      <c r="P11" s="12" t="n">
        <v>11100000</v>
      </c>
      <c r="Q11" s="9" t="inlineStr">
        <is>
          <t>Low</t>
        </is>
      </c>
      <c r="R11" s="11">
        <f>IFERROR(O11/K11,0)</f>
        <v/>
      </c>
    </row>
    <row r="12">
      <c r="A12" s="9" t="inlineStr">
        <is>
          <t>T0183</t>
        </is>
      </c>
      <c r="B12" s="9" t="inlineStr">
        <is>
          <t>Pioneer Indemnity</t>
        </is>
      </c>
      <c r="C12" s="9" t="inlineStr">
        <is>
          <t>Professional</t>
        </is>
      </c>
      <c r="D12" s="9" t="inlineStr">
        <is>
          <t>Latin America</t>
        </is>
      </c>
      <c r="E12" s="9" t="inlineStr">
        <is>
          <t>James Whitfield</t>
        </is>
      </c>
      <c r="F12" s="9" t="inlineStr">
        <is>
          <t>Proportional</t>
        </is>
      </c>
      <c r="G12" s="9" t="n">
        <v>2025</v>
      </c>
      <c r="H12" s="12" t="n">
        <v>16000000</v>
      </c>
      <c r="I12" s="12" t="n">
        <v>1206531.12</v>
      </c>
      <c r="J12" s="12" t="n">
        <v>95055.60000000001</v>
      </c>
      <c r="K12" s="12" t="n">
        <v>1206531.12</v>
      </c>
      <c r="L12" s="12" t="n">
        <v>276142.92</v>
      </c>
      <c r="M12" s="9" t="n">
        <v>6</v>
      </c>
      <c r="N12" s="12" t="n">
        <v>1226960.41</v>
      </c>
      <c r="O12" s="12" t="n">
        <v>1299625.94</v>
      </c>
      <c r="P12" s="12" t="n">
        <v>6400000</v>
      </c>
      <c r="Q12" s="9" t="inlineStr">
        <is>
          <t>Low</t>
        </is>
      </c>
      <c r="R12" s="11">
        <f>IFERROR(O12/K12,0)</f>
        <v/>
      </c>
    </row>
    <row r="13">
      <c r="A13" s="9" t="inlineStr">
        <is>
          <t>T0189</t>
        </is>
      </c>
      <c r="B13" s="9" t="inlineStr">
        <is>
          <t>Pioneer Indemnity</t>
        </is>
      </c>
      <c r="C13" s="9" t="inlineStr">
        <is>
          <t>Property</t>
        </is>
      </c>
      <c r="D13" s="9" t="inlineStr">
        <is>
          <t>Latin America</t>
        </is>
      </c>
      <c r="E13" s="9" t="inlineStr">
        <is>
          <t>James Whitfield</t>
        </is>
      </c>
      <c r="F13" s="9" t="inlineStr">
        <is>
          <t>Excess of Loss</t>
        </is>
      </c>
      <c r="G13" s="9" t="n">
        <v>2024</v>
      </c>
      <c r="H13" s="12" t="n">
        <v>3400000</v>
      </c>
      <c r="I13" s="12" t="n">
        <v>602030.28</v>
      </c>
      <c r="J13" s="12" t="n">
        <v>49987.56</v>
      </c>
      <c r="K13" s="12" t="n">
        <v>602030.28</v>
      </c>
      <c r="L13" s="12" t="n">
        <v>55988.64</v>
      </c>
      <c r="M13" s="9" t="n">
        <v>7</v>
      </c>
      <c r="N13" s="12" t="n">
        <v>409454.86</v>
      </c>
      <c r="O13" s="12" t="n">
        <v>409454.86</v>
      </c>
      <c r="P13" s="12" t="n">
        <v>3400000</v>
      </c>
      <c r="Q13" s="9" t="inlineStr">
        <is>
          <t>Low</t>
        </is>
      </c>
      <c r="R13" s="11">
        <f>IFERROR(O13/K13,0)</f>
        <v/>
      </c>
    </row>
    <row r="14">
      <c r="A14" s="9" t="inlineStr">
        <is>
          <t>T0192</t>
        </is>
      </c>
      <c r="B14" s="9" t="inlineStr">
        <is>
          <t>Pioneer Indemnity</t>
        </is>
      </c>
      <c r="C14" s="9" t="inlineStr">
        <is>
          <t>Financial Lines</t>
        </is>
      </c>
      <c r="D14" s="9" t="inlineStr">
        <is>
          <t>Latin America</t>
        </is>
      </c>
      <c r="E14" s="9" t="inlineStr">
        <is>
          <t>Kenji Sato</t>
        </is>
      </c>
      <c r="F14" s="9" t="inlineStr">
        <is>
          <t>Proportional</t>
        </is>
      </c>
      <c r="G14" s="9" t="n">
        <v>2024</v>
      </c>
      <c r="H14" s="12" t="n">
        <v>26300000</v>
      </c>
      <c r="I14" s="12" t="n">
        <v>2309004.24</v>
      </c>
      <c r="J14" s="12" t="n">
        <v>219346.8</v>
      </c>
      <c r="K14" s="12" t="n">
        <v>2309004.24</v>
      </c>
      <c r="L14" s="12" t="n">
        <v>616135.9199999999</v>
      </c>
      <c r="M14" s="9" t="n">
        <v>16</v>
      </c>
      <c r="N14" s="12" t="n">
        <v>1370812.46</v>
      </c>
      <c r="O14" s="12" t="n">
        <v>1662701.29</v>
      </c>
      <c r="P14" s="12" t="n">
        <v>10520000</v>
      </c>
      <c r="Q14" s="9" t="inlineStr">
        <is>
          <t>Low</t>
        </is>
      </c>
      <c r="R14" s="11">
        <f>IFERROR(O14/K14,0)</f>
        <v/>
      </c>
    </row>
    <row r="15">
      <c r="A15" s="9" t="inlineStr">
        <is>
          <t>T0193</t>
        </is>
      </c>
      <c r="B15" s="9" t="inlineStr">
        <is>
          <t>Sterling Assurance</t>
        </is>
      </c>
      <c r="C15" s="9" t="inlineStr">
        <is>
          <t>Property</t>
        </is>
      </c>
      <c r="D15" s="9" t="inlineStr">
        <is>
          <t>Latin America</t>
        </is>
      </c>
      <c r="E15" s="9" t="inlineStr">
        <is>
          <t>Omar Haddad</t>
        </is>
      </c>
      <c r="F15" s="9" t="inlineStr">
        <is>
          <t>Proportional</t>
        </is>
      </c>
      <c r="G15" s="9" t="n">
        <v>2022</v>
      </c>
      <c r="H15" s="12" t="n">
        <v>39800000</v>
      </c>
      <c r="I15" s="12" t="n">
        <v>4179007.8</v>
      </c>
      <c r="J15" s="12" t="n">
        <v>312881.04</v>
      </c>
      <c r="K15" s="12" t="n">
        <v>4179007.8</v>
      </c>
      <c r="L15" s="12" t="n">
        <v>1333468.08</v>
      </c>
      <c r="M15" s="9" t="n">
        <v>14</v>
      </c>
      <c r="N15" s="12" t="n">
        <v>1487457.72</v>
      </c>
      <c r="O15" s="12" t="n">
        <v>1615440.14</v>
      </c>
      <c r="P15" s="12" t="n">
        <v>3980000</v>
      </c>
      <c r="Q15" s="9" t="inlineStr">
        <is>
          <t>Low</t>
        </is>
      </c>
      <c r="R15" s="11">
        <f>IFERROR(O15/K15,0)</f>
        <v/>
      </c>
    </row>
    <row r="16">
      <c r="A16" s="9" t="inlineStr">
        <is>
          <t>T0208</t>
        </is>
      </c>
      <c r="B16" s="9" t="inlineStr">
        <is>
          <t>Sterling Assurance</t>
        </is>
      </c>
      <c r="C16" s="9" t="inlineStr">
        <is>
          <t>Property</t>
        </is>
      </c>
      <c r="D16" s="9" t="inlineStr">
        <is>
          <t>Latin America</t>
        </is>
      </c>
      <c r="E16" s="9" t="inlineStr">
        <is>
          <t>Unassigned</t>
        </is>
      </c>
      <c r="F16" s="9" t="inlineStr">
        <is>
          <t>Proportional</t>
        </is>
      </c>
      <c r="G16" s="9" t="n">
        <v>2024</v>
      </c>
      <c r="H16" s="12" t="n">
        <v>13500000</v>
      </c>
      <c r="I16" s="12" t="n">
        <v>2129207.52</v>
      </c>
      <c r="J16" s="12" t="n">
        <v>115045.44</v>
      </c>
      <c r="K16" s="12" t="n">
        <v>2129207.52</v>
      </c>
      <c r="L16" s="12" t="n">
        <v>680722.3200000001</v>
      </c>
      <c r="M16" s="9" t="n">
        <v>2</v>
      </c>
      <c r="N16" s="12" t="n">
        <v>1754008.1</v>
      </c>
      <c r="O16" s="12" t="n">
        <v>1952318.75</v>
      </c>
      <c r="P16" s="12" t="n">
        <v>3375000</v>
      </c>
      <c r="Q16" s="9" t="inlineStr">
        <is>
          <t>Low</t>
        </is>
      </c>
      <c r="R16" s="11">
        <f>IFERROR(O16/K16,0)</f>
        <v/>
      </c>
    </row>
    <row r="17">
      <c r="A17" s="9" t="inlineStr">
        <is>
          <t>T0211</t>
        </is>
      </c>
      <c r="B17" s="9" t="inlineStr">
        <is>
          <t>Lumen Assurance</t>
        </is>
      </c>
      <c r="C17" s="9" t="inlineStr">
        <is>
          <t>Financial Lines</t>
        </is>
      </c>
      <c r="D17" s="9" t="inlineStr">
        <is>
          <t>Latin America</t>
        </is>
      </c>
      <c r="E17" s="9" t="inlineStr">
        <is>
          <t>Omar Haddad</t>
        </is>
      </c>
      <c r="F17" s="9" t="inlineStr">
        <is>
          <t>Proportional</t>
        </is>
      </c>
      <c r="G17" s="9" t="n">
        <v>2024</v>
      </c>
      <c r="H17" s="12" t="n">
        <v>5700000</v>
      </c>
      <c r="I17" s="12" t="n">
        <v>787090.08</v>
      </c>
      <c r="J17" s="12" t="n">
        <v>54979.92</v>
      </c>
      <c r="K17" s="12" t="n">
        <v>787090.08</v>
      </c>
      <c r="L17" s="12" t="n">
        <v>174040.32</v>
      </c>
      <c r="M17" s="9" t="n">
        <v>8</v>
      </c>
      <c r="N17" s="12" t="n">
        <v>235047.79</v>
      </c>
      <c r="O17" s="12" t="n">
        <v>457474.0699999999</v>
      </c>
      <c r="P17" s="12" t="n">
        <v>1425000</v>
      </c>
      <c r="Q17" s="9" t="inlineStr">
        <is>
          <t>Low</t>
        </is>
      </c>
      <c r="R17" s="11">
        <f>IFERROR(O17/K17,0)</f>
        <v/>
      </c>
    </row>
    <row r="18">
      <c r="A18" s="9" t="inlineStr">
        <is>
          <t>T0256</t>
        </is>
      </c>
      <c r="B18" s="9" t="inlineStr">
        <is>
          <t>Lumen Assurance</t>
        </is>
      </c>
      <c r="C18" s="9" t="inlineStr">
        <is>
          <t>Specialty</t>
        </is>
      </c>
      <c r="D18" s="9" t="inlineStr">
        <is>
          <t>Latin America</t>
        </is>
      </c>
      <c r="E18" s="9" t="inlineStr">
        <is>
          <t>Carlos Ibarra</t>
        </is>
      </c>
      <c r="F18" s="9" t="inlineStr">
        <is>
          <t>Excess of Loss</t>
        </is>
      </c>
      <c r="G18" s="9" t="n">
        <v>2025</v>
      </c>
      <c r="H18" s="12" t="n">
        <v>7100000</v>
      </c>
      <c r="I18" s="12" t="n">
        <v>1025098.56</v>
      </c>
      <c r="J18" s="12" t="n">
        <v>60521.39999999999</v>
      </c>
      <c r="K18" s="12" t="n">
        <v>1025098.56</v>
      </c>
      <c r="L18" s="12" t="n">
        <v>51432.72</v>
      </c>
      <c r="M18" s="9" t="n">
        <v>8</v>
      </c>
      <c r="N18" s="12" t="n">
        <v>513410.56</v>
      </c>
      <c r="O18" s="12" t="n">
        <v>843134.1699999999</v>
      </c>
      <c r="P18" s="12" t="n">
        <v>7100000</v>
      </c>
      <c r="Q18" s="9" t="inlineStr">
        <is>
          <t>Low</t>
        </is>
      </c>
      <c r="R18" s="11">
        <f>IFERROR(O18/K18,0)</f>
        <v/>
      </c>
    </row>
    <row r="19">
      <c r="A19" s="9" t="inlineStr">
        <is>
          <t>T0277</t>
        </is>
      </c>
      <c r="B19" s="9" t="inlineStr">
        <is>
          <t>Orion Indemnity</t>
        </is>
      </c>
      <c r="C19" s="9" t="inlineStr">
        <is>
          <t>Casualty</t>
        </is>
      </c>
      <c r="D19" s="9" t="inlineStr">
        <is>
          <t>Latin America</t>
        </is>
      </c>
      <c r="E19" s="9" t="inlineStr">
        <is>
          <t>Unassigned</t>
        </is>
      </c>
      <c r="F19" s="9" t="inlineStr">
        <is>
          <t>Excess of Loss</t>
        </is>
      </c>
      <c r="G19" s="9" t="n">
        <v>2021</v>
      </c>
      <c r="H19" s="12" t="n">
        <v>10900000</v>
      </c>
      <c r="I19" s="12" t="n">
        <v>1405135.44</v>
      </c>
      <c r="J19" s="12" t="n">
        <v>144155.4</v>
      </c>
      <c r="K19" s="12" t="n">
        <v>1405135.44</v>
      </c>
      <c r="L19" s="12" t="n">
        <v>120570.72</v>
      </c>
      <c r="M19" s="9" t="n">
        <v>4</v>
      </c>
      <c r="N19" s="12" t="n">
        <v>528930.79</v>
      </c>
      <c r="O19" s="12" t="n">
        <v>528930.79</v>
      </c>
      <c r="P19" s="12" t="n">
        <v>10900000</v>
      </c>
      <c r="Q19" s="9" t="inlineStr">
        <is>
          <t>Low</t>
        </is>
      </c>
      <c r="R19" s="11">
        <f>IFERROR(O19/K19,0)</f>
        <v/>
      </c>
    </row>
    <row r="20">
      <c r="A20" s="9" t="inlineStr">
        <is>
          <t>T0291</t>
        </is>
      </c>
      <c r="B20" s="9" t="inlineStr">
        <is>
          <t>Pioneer Indemnity</t>
        </is>
      </c>
      <c r="C20" s="9" t="inlineStr">
        <is>
          <t>Property</t>
        </is>
      </c>
      <c r="D20" s="9" t="inlineStr">
        <is>
          <t>Latin America</t>
        </is>
      </c>
      <c r="E20" s="9" t="inlineStr">
        <is>
          <t>Aarav Mehta</t>
        </is>
      </c>
      <c r="F20" s="9" t="inlineStr">
        <is>
          <t>Excess of Loss</t>
        </is>
      </c>
      <c r="G20" s="9" t="n">
        <v>2024</v>
      </c>
      <c r="H20" s="12" t="n">
        <v>25700000</v>
      </c>
      <c r="I20" s="12" t="n">
        <v>2893816.2</v>
      </c>
      <c r="J20" s="12" t="n">
        <v>258140.04</v>
      </c>
      <c r="K20" s="12" t="n">
        <v>2893816.2</v>
      </c>
      <c r="L20" s="12" t="n">
        <v>214779.24</v>
      </c>
      <c r="M20" s="9" t="n">
        <v>11</v>
      </c>
      <c r="N20" s="12" t="n">
        <v>2511433.64</v>
      </c>
      <c r="O20" s="12" t="n">
        <v>2738335.39</v>
      </c>
      <c r="P20" s="12" t="n">
        <v>25700000</v>
      </c>
      <c r="Q20" s="9" t="inlineStr">
        <is>
          <t>Low</t>
        </is>
      </c>
      <c r="R20" s="11">
        <f>IFERROR(O20/K20,0)</f>
        <v/>
      </c>
    </row>
    <row r="21">
      <c r="A21" s="9" t="inlineStr">
        <is>
          <t>T0301</t>
        </is>
      </c>
      <c r="B21" s="9" t="inlineStr">
        <is>
          <t>Orion Indemnity</t>
        </is>
      </c>
      <c r="C21" s="9" t="inlineStr">
        <is>
          <t>Casualty</t>
        </is>
      </c>
      <c r="D21" s="9" t="inlineStr">
        <is>
          <t>Latin America</t>
        </is>
      </c>
      <c r="E21" s="9" t="inlineStr">
        <is>
          <t>James Whitfield</t>
        </is>
      </c>
      <c r="F21" s="9" t="inlineStr">
        <is>
          <t>Excess of Loss</t>
        </is>
      </c>
      <c r="G21" s="9" t="n">
        <v>2025</v>
      </c>
      <c r="H21" s="12" t="n">
        <v>1600000</v>
      </c>
      <c r="I21" s="12" t="n">
        <v>262359.24</v>
      </c>
      <c r="J21" s="12" t="n">
        <v>19852.92</v>
      </c>
      <c r="K21" s="12" t="n">
        <v>262359.24</v>
      </c>
      <c r="L21" s="12" t="n">
        <v>17889.24</v>
      </c>
      <c r="M21" s="9" t="n">
        <v>15</v>
      </c>
      <c r="N21" s="12" t="n">
        <v>65988.92999999999</v>
      </c>
      <c r="O21" s="12" t="n">
        <v>144542.9</v>
      </c>
      <c r="P21" s="12" t="n">
        <v>1600000</v>
      </c>
      <c r="Q21" s="9" t="inlineStr">
        <is>
          <t>Low</t>
        </is>
      </c>
      <c r="R21" s="11">
        <f>IFERROR(O21/K21,0)</f>
        <v/>
      </c>
    </row>
    <row r="22">
      <c r="A22" s="9" t="inlineStr">
        <is>
          <t>T0310</t>
        </is>
      </c>
      <c r="B22" s="9" t="inlineStr">
        <is>
          <t>Evergreen Mutual</t>
        </is>
      </c>
      <c r="C22" s="9" t="inlineStr">
        <is>
          <t>Property</t>
        </is>
      </c>
      <c r="D22" s="9" t="inlineStr">
        <is>
          <t>Latin America</t>
        </is>
      </c>
      <c r="E22" s="9" t="inlineStr">
        <is>
          <t>Priya Nair</t>
        </is>
      </c>
      <c r="F22" s="9" t="inlineStr">
        <is>
          <t>Proportional</t>
        </is>
      </c>
      <c r="G22" s="9" t="n">
        <v>2025</v>
      </c>
      <c r="H22" s="12" t="n">
        <v>19000000</v>
      </c>
      <c r="I22" s="12" t="n">
        <v>1926766.08</v>
      </c>
      <c r="J22" s="12" t="n">
        <v>105926.16</v>
      </c>
      <c r="K22" s="12" t="n">
        <v>1851836.29</v>
      </c>
      <c r="L22" s="12" t="n">
        <v>488519.361194272</v>
      </c>
      <c r="M22" s="9" t="n">
        <v>9</v>
      </c>
      <c r="N22" s="12" t="n">
        <v>608478.99</v>
      </c>
      <c r="O22" s="12" t="n">
        <v>1040704.64</v>
      </c>
      <c r="P22" s="12" t="n">
        <v>4750000</v>
      </c>
      <c r="Q22" s="9" t="inlineStr">
        <is>
          <t>Low</t>
        </is>
      </c>
      <c r="R22" s="11">
        <f>IFERROR(O22/K22,0)</f>
        <v/>
      </c>
    </row>
    <row r="23">
      <c r="A23" s="9" t="inlineStr">
        <is>
          <t>T0355</t>
        </is>
      </c>
      <c r="B23" s="9" t="inlineStr">
        <is>
          <t>Pioneer Indemnity</t>
        </is>
      </c>
      <c r="C23" s="9" t="inlineStr">
        <is>
          <t>Casualty</t>
        </is>
      </c>
      <c r="D23" s="9" t="inlineStr">
        <is>
          <t>Latin America</t>
        </is>
      </c>
      <c r="E23" s="9" t="inlineStr">
        <is>
          <t>Kenji Sato</t>
        </is>
      </c>
      <c r="F23" s="9" t="inlineStr">
        <is>
          <t>Excess of Loss</t>
        </is>
      </c>
      <c r="G23" s="9" t="n">
        <v>2024</v>
      </c>
      <c r="H23" s="12" t="n">
        <v>17400000</v>
      </c>
      <c r="I23" s="12" t="n">
        <v>2152165.44</v>
      </c>
      <c r="J23" s="12" t="n">
        <v>172071.24</v>
      </c>
      <c r="K23" s="12" t="n">
        <v>2152165.44</v>
      </c>
      <c r="L23" s="12" t="n">
        <v>152342.52</v>
      </c>
      <c r="M23" s="9" t="n">
        <v>10</v>
      </c>
      <c r="N23" s="12" t="n">
        <v>1275351.93</v>
      </c>
      <c r="O23" s="12" t="n">
        <v>1810278.16</v>
      </c>
      <c r="P23" s="12" t="n">
        <v>17400000</v>
      </c>
      <c r="Q23" s="9" t="inlineStr">
        <is>
          <t>Low</t>
        </is>
      </c>
      <c r="R23" s="11">
        <f>IFERROR(O23/K23,0)</f>
        <v/>
      </c>
    </row>
    <row r="24">
      <c r="A24" s="9" t="inlineStr">
        <is>
          <t>T0468</t>
        </is>
      </c>
      <c r="B24" s="9" t="inlineStr">
        <is>
          <t>Orion Indemnity</t>
        </is>
      </c>
      <c r="C24" s="9" t="inlineStr">
        <is>
          <t>Property</t>
        </is>
      </c>
      <c r="D24" s="9" t="inlineStr">
        <is>
          <t>Latin America</t>
        </is>
      </c>
      <c r="E24" s="9" t="inlineStr">
        <is>
          <t>Aarav Mehta</t>
        </is>
      </c>
      <c r="F24" s="9" t="inlineStr">
        <is>
          <t>Proportional</t>
        </is>
      </c>
      <c r="G24" s="9" t="n">
        <v>2021</v>
      </c>
      <c r="H24" s="12" t="n">
        <v>28700000</v>
      </c>
      <c r="I24" s="12" t="n">
        <v>2353431</v>
      </c>
      <c r="J24" s="12" t="n">
        <v>128602.8</v>
      </c>
      <c r="K24" s="12" t="n">
        <v>2353431</v>
      </c>
      <c r="L24" s="12" t="n">
        <v>633451.8</v>
      </c>
      <c r="M24" s="9" t="n">
        <v>11</v>
      </c>
      <c r="N24" s="12" t="n">
        <v>805315.38</v>
      </c>
      <c r="O24" s="12" t="n">
        <v>950887.1699999999</v>
      </c>
      <c r="P24" s="12" t="n">
        <v>14350000</v>
      </c>
      <c r="Q24" s="9" t="inlineStr">
        <is>
          <t>Low</t>
        </is>
      </c>
      <c r="R24" s="11">
        <f>IFERROR(O24/K24,0)</f>
        <v/>
      </c>
    </row>
    <row r="25">
      <c r="A25" s="9" t="inlineStr">
        <is>
          <t>T0478</t>
        </is>
      </c>
      <c r="B25" s="9" t="inlineStr">
        <is>
          <t>Lumen Assurance</t>
        </is>
      </c>
      <c r="C25" s="9" t="inlineStr">
        <is>
          <t>Property</t>
        </is>
      </c>
      <c r="D25" s="9" t="inlineStr">
        <is>
          <t>Latin America</t>
        </is>
      </c>
      <c r="E25" s="9" t="inlineStr">
        <is>
          <t>Hannah Weber</t>
        </is>
      </c>
      <c r="F25" s="9" t="inlineStr">
        <is>
          <t>Proportional</t>
        </is>
      </c>
      <c r="G25" s="9" t="n">
        <v>2022</v>
      </c>
      <c r="H25" s="12" t="n">
        <v>6100000</v>
      </c>
      <c r="I25" s="12" t="n">
        <v>1147601.16</v>
      </c>
      <c r="J25" s="12" t="n">
        <v>77276.52</v>
      </c>
      <c r="K25" s="12" t="n">
        <v>1147601.16</v>
      </c>
      <c r="L25" s="12" t="n">
        <v>349565.16</v>
      </c>
      <c r="M25" s="9" t="n">
        <v>12</v>
      </c>
      <c r="N25" s="12" t="n">
        <v>769269.6</v>
      </c>
      <c r="O25" s="12" t="n">
        <v>808766.05</v>
      </c>
      <c r="P25" s="12" t="n">
        <v>1830000</v>
      </c>
      <c r="Q25" s="9" t="inlineStr">
        <is>
          <t>Low</t>
        </is>
      </c>
      <c r="R25" s="11">
        <f>IFERROR(O25/K25,0)</f>
        <v/>
      </c>
    </row>
    <row r="26">
      <c r="A26" s="9" t="inlineStr">
        <is>
          <t>T0481</t>
        </is>
      </c>
      <c r="B26" s="9" t="inlineStr">
        <is>
          <t>Lumen Assurance</t>
        </is>
      </c>
      <c r="C26" s="9" t="inlineStr">
        <is>
          <t>Specialty</t>
        </is>
      </c>
      <c r="D26" s="9" t="inlineStr">
        <is>
          <t>Latin America</t>
        </is>
      </c>
      <c r="E26" s="9" t="inlineStr">
        <is>
          <t>Sophie Laurent</t>
        </is>
      </c>
      <c r="F26" s="9" t="inlineStr">
        <is>
          <t>Excess of Loss</t>
        </is>
      </c>
      <c r="G26" s="9" t="n">
        <v>2022</v>
      </c>
      <c r="H26" s="12" t="n">
        <v>6800000</v>
      </c>
      <c r="I26" s="12" t="n">
        <v>1053048.24</v>
      </c>
      <c r="J26" s="12" t="n">
        <v>114073.32</v>
      </c>
      <c r="K26" s="12" t="n">
        <v>1053048.24</v>
      </c>
      <c r="L26" s="12" t="n">
        <v>123676.8</v>
      </c>
      <c r="M26" s="9" t="n">
        <v>6</v>
      </c>
      <c r="N26" s="12" t="n">
        <v>938623.51</v>
      </c>
      <c r="O26" s="12" t="n">
        <v>938623.51</v>
      </c>
      <c r="P26" s="12" t="n">
        <v>6800000</v>
      </c>
      <c r="Q26" s="9" t="inlineStr">
        <is>
          <t>Low</t>
        </is>
      </c>
      <c r="R26" s="11">
        <f>IFERROR(O26/K26,0)</f>
        <v/>
      </c>
    </row>
    <row r="27">
      <c r="A27" s="9" t="inlineStr">
        <is>
          <t>T0492</t>
        </is>
      </c>
      <c r="B27" s="9" t="inlineStr">
        <is>
          <t>Sterling Assurance</t>
        </is>
      </c>
      <c r="C27" s="9" t="inlineStr">
        <is>
          <t>Professional</t>
        </is>
      </c>
      <c r="D27" s="9" t="inlineStr">
        <is>
          <t>Latin America</t>
        </is>
      </c>
      <c r="E27" s="9" t="inlineStr">
        <is>
          <t>Omar Haddad</t>
        </is>
      </c>
      <c r="F27" s="9" t="inlineStr">
        <is>
          <t>Proportional</t>
        </is>
      </c>
      <c r="G27" s="9" t="n">
        <v>2022</v>
      </c>
      <c r="H27" s="12" t="n">
        <v>20400000</v>
      </c>
      <c r="I27" s="12" t="n">
        <v>2673665.04</v>
      </c>
      <c r="J27" s="12" t="n">
        <v>274632.6</v>
      </c>
      <c r="K27" s="12" t="n">
        <v>2673665.04</v>
      </c>
      <c r="L27" s="12" t="n">
        <v>711949.2</v>
      </c>
      <c r="M27" s="9" t="n">
        <v>9</v>
      </c>
      <c r="N27" s="12" t="n">
        <v>864698.4299999999</v>
      </c>
      <c r="O27" s="12" t="n">
        <v>940321.2</v>
      </c>
      <c r="P27" s="12" t="n">
        <v>6120000</v>
      </c>
      <c r="Q27" s="9" t="inlineStr">
        <is>
          <t>Low</t>
        </is>
      </c>
      <c r="R27" s="11">
        <f>IFERROR(O27/K27,0)</f>
        <v/>
      </c>
    </row>
    <row r="28">
      <c r="A28" s="9" t="inlineStr">
        <is>
          <t>T0538</t>
        </is>
      </c>
      <c r="B28" s="9" t="inlineStr">
        <is>
          <t>Lumen Assurance</t>
        </is>
      </c>
      <c r="C28" s="9" t="inlineStr">
        <is>
          <t>Property</t>
        </is>
      </c>
      <c r="D28" s="9" t="inlineStr">
        <is>
          <t>Latin America</t>
        </is>
      </c>
      <c r="E28" s="9" t="inlineStr">
        <is>
          <t>Omar Haddad</t>
        </is>
      </c>
      <c r="F28" s="9" t="inlineStr">
        <is>
          <t>Excess of Loss</t>
        </is>
      </c>
      <c r="G28" s="9" t="n">
        <v>2022</v>
      </c>
      <c r="H28" s="12" t="n">
        <v>62500000</v>
      </c>
      <c r="I28" s="12" t="n">
        <v>6294232.68</v>
      </c>
      <c r="J28" s="12" t="n">
        <v>629874.6000000001</v>
      </c>
      <c r="K28" s="12" t="n">
        <v>6294232.68</v>
      </c>
      <c r="L28" s="12" t="n">
        <v>655687.08</v>
      </c>
      <c r="M28" s="9" t="n">
        <v>12</v>
      </c>
      <c r="N28" s="12" t="n">
        <v>2452990.26</v>
      </c>
      <c r="O28" s="12" t="n">
        <v>2452990.26</v>
      </c>
      <c r="P28" s="12" t="n">
        <v>62500000</v>
      </c>
      <c r="Q28" s="9" t="inlineStr">
        <is>
          <t>Low</t>
        </is>
      </c>
      <c r="R28" s="11">
        <f>IFERROR(O28/K28,0)</f>
        <v/>
      </c>
    </row>
    <row r="29">
      <c r="A29" s="9" t="inlineStr">
        <is>
          <t>T0598</t>
        </is>
      </c>
      <c r="B29" s="9" t="inlineStr">
        <is>
          <t>Pioneer Indemnity</t>
        </is>
      </c>
      <c r="C29" s="9" t="inlineStr">
        <is>
          <t>Casualty</t>
        </is>
      </c>
      <c r="D29" s="9" t="inlineStr">
        <is>
          <t>Latin America</t>
        </is>
      </c>
      <c r="E29" s="9" t="inlineStr">
        <is>
          <t>Carlos Ibarra</t>
        </is>
      </c>
      <c r="F29" s="9" t="inlineStr">
        <is>
          <t>Facultative</t>
        </is>
      </c>
      <c r="G29" s="9" t="n">
        <v>2024</v>
      </c>
      <c r="H29" s="12" t="n">
        <v>16100000</v>
      </c>
      <c r="I29" s="12" t="n">
        <v>1216119.24</v>
      </c>
      <c r="J29" s="12" t="n">
        <v>62832.48</v>
      </c>
      <c r="K29" s="12" t="n">
        <v>1216119.24</v>
      </c>
      <c r="L29" s="12" t="n">
        <v>243036.48</v>
      </c>
      <c r="M29" s="9" t="n">
        <v>10</v>
      </c>
      <c r="N29" s="12" t="n">
        <v>607255.4299999999</v>
      </c>
      <c r="O29" s="12" t="n">
        <v>721894.15</v>
      </c>
      <c r="P29" s="12" t="n">
        <v>16100000</v>
      </c>
      <c r="Q29" s="9" t="inlineStr">
        <is>
          <t>Low</t>
        </is>
      </c>
      <c r="R29" s="11">
        <f>IFERROR(O29/K29,0)</f>
        <v/>
      </c>
    </row>
    <row r="30">
      <c r="A30" s="9" t="inlineStr">
        <is>
          <t>T0605</t>
        </is>
      </c>
      <c r="B30" s="9" t="inlineStr">
        <is>
          <t>Lumen Assurance</t>
        </is>
      </c>
      <c r="C30" s="9" t="inlineStr">
        <is>
          <t>Casualty</t>
        </is>
      </c>
      <c r="D30" s="9" t="inlineStr">
        <is>
          <t>Latin America</t>
        </is>
      </c>
      <c r="E30" s="9" t="inlineStr">
        <is>
          <t>Hannah Weber</t>
        </is>
      </c>
      <c r="F30" s="9" t="inlineStr">
        <is>
          <t>Proportional</t>
        </is>
      </c>
      <c r="G30" s="9" t="n">
        <v>2026</v>
      </c>
      <c r="H30" s="12" t="n">
        <v>7000000</v>
      </c>
      <c r="I30" s="12" t="n">
        <v>1037459.79</v>
      </c>
      <c r="J30" s="12" t="n">
        <v>55664.91</v>
      </c>
      <c r="K30" s="12" t="n">
        <v>1010562.68</v>
      </c>
      <c r="L30" s="12" t="n">
        <v>295847.9973980585</v>
      </c>
      <c r="M30" s="9" t="n">
        <v>8</v>
      </c>
      <c r="N30" s="12" t="n">
        <v>247218.27</v>
      </c>
      <c r="O30" s="12" t="n">
        <v>525968.37</v>
      </c>
      <c r="P30" s="12" t="n">
        <v>1750000</v>
      </c>
      <c r="Q30" s="9" t="inlineStr">
        <is>
          <t>Low</t>
        </is>
      </c>
      <c r="R30" s="11">
        <f>IFERROR(O30/K30,0)</f>
        <v/>
      </c>
    </row>
    <row r="31">
      <c r="A31" s="9" t="inlineStr">
        <is>
          <t>T0619</t>
        </is>
      </c>
      <c r="B31" s="9" t="inlineStr">
        <is>
          <t>Lumen Assurance</t>
        </is>
      </c>
      <c r="C31" s="9" t="inlineStr">
        <is>
          <t>Property</t>
        </is>
      </c>
      <c r="D31" s="9" t="inlineStr">
        <is>
          <t>Latin America</t>
        </is>
      </c>
      <c r="E31" s="9" t="inlineStr">
        <is>
          <t>Aarav Mehta</t>
        </is>
      </c>
      <c r="F31" s="9" t="inlineStr">
        <is>
          <t>Proportional</t>
        </is>
      </c>
      <c r="G31" s="9" t="n">
        <v>2022</v>
      </c>
      <c r="H31" s="12" t="n">
        <v>8200000</v>
      </c>
      <c r="I31" s="12" t="n">
        <v>1154482.92</v>
      </c>
      <c r="J31" s="12" t="n">
        <v>99235.79999999999</v>
      </c>
      <c r="K31" s="12" t="n">
        <v>1154482.92</v>
      </c>
      <c r="L31" s="12" t="n">
        <v>278786.76</v>
      </c>
      <c r="M31" s="9" t="n">
        <v>11</v>
      </c>
      <c r="N31" s="12" t="n">
        <v>816096.78</v>
      </c>
      <c r="O31" s="12" t="n">
        <v>816096.78</v>
      </c>
      <c r="P31" s="12" t="n">
        <v>2460000</v>
      </c>
      <c r="Q31" s="9" t="inlineStr">
        <is>
          <t>Low</t>
        </is>
      </c>
      <c r="R31" s="11">
        <f>IFERROR(O31/K31,0)</f>
        <v/>
      </c>
    </row>
    <row r="32">
      <c r="A32" s="9" t="inlineStr">
        <is>
          <t>T0647</t>
        </is>
      </c>
      <c r="B32" s="9" t="inlineStr">
        <is>
          <t>Sterling Assurance</t>
        </is>
      </c>
      <c r="C32" s="9" t="inlineStr">
        <is>
          <t>Professional</t>
        </is>
      </c>
      <c r="D32" s="9" t="inlineStr">
        <is>
          <t>Latin America</t>
        </is>
      </c>
      <c r="E32" s="9" t="inlineStr">
        <is>
          <t>James Whitfield</t>
        </is>
      </c>
      <c r="F32" s="9" t="inlineStr">
        <is>
          <t>Excess of Loss</t>
        </is>
      </c>
      <c r="G32" s="9" t="n">
        <v>2022</v>
      </c>
      <c r="H32" s="12" t="n">
        <v>31500000</v>
      </c>
      <c r="I32" s="12" t="n">
        <v>2365610.4</v>
      </c>
      <c r="J32" s="12" t="n">
        <v>201769.32</v>
      </c>
      <c r="K32" s="12" t="n">
        <v>2365610.4</v>
      </c>
      <c r="L32" s="12" t="n">
        <v>216511.44</v>
      </c>
      <c r="M32" s="9" t="n">
        <v>9</v>
      </c>
      <c r="N32" s="12" t="n">
        <v>1549249.13</v>
      </c>
      <c r="O32" s="12" t="n">
        <v>1549249.13</v>
      </c>
      <c r="P32" s="12" t="n">
        <v>31500000</v>
      </c>
      <c r="Q32" s="9" t="inlineStr">
        <is>
          <t>Low</t>
        </is>
      </c>
      <c r="R32" s="11">
        <f>IFERROR(O32/K32,0)</f>
        <v/>
      </c>
    </row>
    <row r="33">
      <c r="A33" s="9" t="inlineStr">
        <is>
          <t>T0667</t>
        </is>
      </c>
      <c r="B33" s="9" t="inlineStr">
        <is>
          <t>Pioneer Indemnity</t>
        </is>
      </c>
      <c r="C33" s="9" t="inlineStr">
        <is>
          <t>Specialty</t>
        </is>
      </c>
      <c r="D33" s="9" t="inlineStr">
        <is>
          <t>Latin America</t>
        </is>
      </c>
      <c r="E33" s="9" t="inlineStr">
        <is>
          <t>James Whitfield</t>
        </is>
      </c>
      <c r="F33" s="9" t="inlineStr">
        <is>
          <t>Excess of Loss</t>
        </is>
      </c>
      <c r="G33" s="9" t="n">
        <v>2026</v>
      </c>
      <c r="H33" s="12" t="n">
        <v>5000000</v>
      </c>
      <c r="I33" s="12" t="n">
        <v>348161.6</v>
      </c>
      <c r="J33" s="12" t="n">
        <v>37733.75</v>
      </c>
      <c r="K33" s="12" t="n">
        <v>343519.45</v>
      </c>
      <c r="L33" s="12" t="n">
        <v>40444.1085494279</v>
      </c>
      <c r="M33" s="9" t="n">
        <v>6</v>
      </c>
      <c r="N33" s="12" t="n">
        <v>33509.95</v>
      </c>
      <c r="O33" s="12" t="n">
        <v>174313.86</v>
      </c>
      <c r="P33" s="12" t="n">
        <v>5000000</v>
      </c>
      <c r="Q33" s="9" t="inlineStr">
        <is>
          <t>Low</t>
        </is>
      </c>
      <c r="R33" s="11">
        <f>IFERROR(O33/K33,0)</f>
        <v/>
      </c>
    </row>
    <row r="34">
      <c r="A34" s="9" t="inlineStr">
        <is>
          <t>T0686</t>
        </is>
      </c>
      <c r="B34" s="9" t="inlineStr">
        <is>
          <t>Pioneer Indemnity</t>
        </is>
      </c>
      <c r="C34" s="9" t="inlineStr">
        <is>
          <t>Specialty</t>
        </is>
      </c>
      <c r="D34" s="9" t="inlineStr">
        <is>
          <t>Latin America</t>
        </is>
      </c>
      <c r="E34" s="9" t="inlineStr">
        <is>
          <t>Omar Haddad</t>
        </is>
      </c>
      <c r="F34" s="9" t="inlineStr">
        <is>
          <t>Excess of Loss</t>
        </is>
      </c>
      <c r="G34" s="9" t="n">
        <v>2025</v>
      </c>
      <c r="H34" s="12" t="n">
        <v>12900000</v>
      </c>
      <c r="I34" s="12" t="n">
        <v>1121914.8</v>
      </c>
      <c r="J34" s="12" t="n">
        <v>77299.08</v>
      </c>
      <c r="K34" s="12" t="n">
        <v>1121914.8</v>
      </c>
      <c r="L34" s="12" t="n">
        <v>121204.56</v>
      </c>
      <c r="M34" s="9" t="n">
        <v>4</v>
      </c>
      <c r="N34" s="12" t="n">
        <v>116473.85</v>
      </c>
      <c r="O34" s="12" t="n">
        <v>498267.86</v>
      </c>
      <c r="P34" s="12" t="n">
        <v>12900000</v>
      </c>
      <c r="Q34" s="9" t="inlineStr">
        <is>
          <t>Low</t>
        </is>
      </c>
      <c r="R34" s="11">
        <f>IFERROR(O34/K34,0)</f>
        <v/>
      </c>
    </row>
    <row r="35">
      <c r="A35" s="9" t="inlineStr">
        <is>
          <t>T0696</t>
        </is>
      </c>
      <c r="B35" s="9" t="inlineStr">
        <is>
          <t>Pioneer Indemnity</t>
        </is>
      </c>
      <c r="C35" s="9" t="inlineStr">
        <is>
          <t>Casualty</t>
        </is>
      </c>
      <c r="D35" s="9" t="inlineStr">
        <is>
          <t>Latin America</t>
        </is>
      </c>
      <c r="E35" s="9" t="inlineStr">
        <is>
          <t>Aarav Mehta</t>
        </is>
      </c>
      <c r="F35" s="9" t="inlineStr">
        <is>
          <t>Excess of Loss</t>
        </is>
      </c>
      <c r="G35" s="9" t="n">
        <v>2024</v>
      </c>
      <c r="H35" s="12" t="n">
        <v>12000000</v>
      </c>
      <c r="I35" s="12" t="n">
        <v>2340839.52</v>
      </c>
      <c r="J35" s="12" t="n">
        <v>145225.08</v>
      </c>
      <c r="K35" s="12" t="n">
        <v>2340839.52</v>
      </c>
      <c r="L35" s="12" t="n">
        <v>166902.48</v>
      </c>
      <c r="M35" s="9" t="n">
        <v>8</v>
      </c>
      <c r="N35" s="12" t="n">
        <v>3348831.83</v>
      </c>
      <c r="O35" s="12" t="n">
        <v>3489619.01</v>
      </c>
      <c r="P35" s="12" t="n">
        <v>12000000</v>
      </c>
      <c r="Q35" s="9" t="inlineStr">
        <is>
          <t>Medium</t>
        </is>
      </c>
      <c r="R35" s="11">
        <f>IFERROR(O35/K35,0)</f>
        <v/>
      </c>
    </row>
  </sheetData>
  <autoFilter ref="A1:R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2" customWidth="1" min="5" max="5"/>
  </cols>
  <sheetData>
    <row r="1">
      <c r="A1" s="4" t="inlineStr">
        <is>
          <t>year_month</t>
        </is>
      </c>
      <c r="B1" s="4" t="inlineStr">
        <is>
          <t>gwp</t>
        </is>
      </c>
      <c r="C1" s="4" t="inlineStr">
        <is>
          <t>earned</t>
        </is>
      </c>
      <c r="D1" s="4" t="inlineStr">
        <is>
          <t>claims</t>
        </is>
      </c>
      <c r="E1" s="4" t="inlineStr">
        <is>
          <t>incurred</t>
        </is>
      </c>
      <c r="F1" s="4" t="inlineStr">
        <is>
          <t>gwp_mom_growth</t>
        </is>
      </c>
      <c r="G1" s="4" t="inlineStr">
        <is>
          <t>incurred_rolling_3m</t>
        </is>
      </c>
    </row>
    <row r="2">
      <c r="A2" s="9" t="inlineStr">
        <is>
          <t>2021-01</t>
        </is>
      </c>
      <c r="B2" s="12" t="n">
        <v>0</v>
      </c>
      <c r="C2" s="12" t="n">
        <v>0</v>
      </c>
      <c r="D2" s="9" t="n">
        <v>0</v>
      </c>
      <c r="E2" s="12" t="n">
        <v>0</v>
      </c>
      <c r="F2" s="13" t="n"/>
      <c r="G2" s="14">
        <f>AVERAGE(E2:E2)</f>
        <v/>
      </c>
    </row>
    <row r="3">
      <c r="A3" s="9" t="inlineStr">
        <is>
          <t>2021-02</t>
        </is>
      </c>
      <c r="B3" s="12" t="n">
        <v>117094.62</v>
      </c>
      <c r="C3" s="12" t="n">
        <v>117094.62</v>
      </c>
      <c r="D3" s="9" t="n">
        <v>0</v>
      </c>
      <c r="E3" s="12" t="n">
        <v>0</v>
      </c>
      <c r="F3" s="13">
        <f>IFERROR(B3/B2-1,"")</f>
        <v/>
      </c>
      <c r="G3" s="14">
        <f>AVERAGE(E2:E3)</f>
        <v/>
      </c>
    </row>
    <row r="4">
      <c r="A4" s="9" t="inlineStr">
        <is>
          <t>2021-03</t>
        </is>
      </c>
      <c r="B4" s="12" t="n">
        <v>117094.62</v>
      </c>
      <c r="C4" s="12" t="n">
        <v>117094.62</v>
      </c>
      <c r="D4" s="9" t="n">
        <v>1</v>
      </c>
      <c r="E4" s="12" t="n">
        <v>182016.76</v>
      </c>
      <c r="F4" s="13">
        <f>IFERROR(B4/B3-1,"")</f>
        <v/>
      </c>
      <c r="G4" s="14">
        <f>AVERAGE(E2:E4)</f>
        <v/>
      </c>
    </row>
    <row r="5">
      <c r="A5" s="9" t="inlineStr">
        <is>
          <t>2021-04</t>
        </is>
      </c>
      <c r="B5" s="12" t="n">
        <v>117094.62</v>
      </c>
      <c r="C5" s="12" t="n">
        <v>117094.62</v>
      </c>
      <c r="D5" s="9" t="n">
        <v>1</v>
      </c>
      <c r="E5" s="12" t="n">
        <v>70565.41</v>
      </c>
      <c r="F5" s="13">
        <f>IFERROR(B5/B4-1,"")</f>
        <v/>
      </c>
      <c r="G5" s="14">
        <f>AVERAGE(E3:E5)</f>
        <v/>
      </c>
    </row>
    <row r="6">
      <c r="A6" s="9" t="inlineStr">
        <is>
          <t>2021-05</t>
        </is>
      </c>
      <c r="B6" s="12" t="n">
        <v>313213.87</v>
      </c>
      <c r="C6" s="12" t="n">
        <v>313213.87</v>
      </c>
      <c r="D6" s="9" t="n">
        <v>1</v>
      </c>
      <c r="E6" s="12" t="n">
        <v>48149.59</v>
      </c>
      <c r="F6" s="13">
        <f>IFERROR(B6/B5-1,"")</f>
        <v/>
      </c>
      <c r="G6" s="14">
        <f>AVERAGE(E4:E6)</f>
        <v/>
      </c>
    </row>
    <row r="7">
      <c r="A7" s="9" t="inlineStr">
        <is>
          <t>2021-06</t>
        </is>
      </c>
      <c r="B7" s="12" t="n">
        <v>313213.87</v>
      </c>
      <c r="C7" s="12" t="n">
        <v>313213.87</v>
      </c>
      <c r="D7" s="9" t="n">
        <v>2</v>
      </c>
      <c r="E7" s="12" t="n">
        <v>285958.42</v>
      </c>
      <c r="F7" s="13">
        <f>IFERROR(B7/B6-1,"")</f>
        <v/>
      </c>
      <c r="G7" s="14">
        <f>AVERAGE(E5:E7)</f>
        <v/>
      </c>
    </row>
    <row r="8">
      <c r="A8" s="9" t="inlineStr">
        <is>
          <t>2021-07</t>
        </is>
      </c>
      <c r="B8" s="12" t="n">
        <v>372133.9</v>
      </c>
      <c r="C8" s="12" t="n">
        <v>372133.9</v>
      </c>
      <c r="D8" s="9" t="n">
        <v>1</v>
      </c>
      <c r="E8" s="12" t="n">
        <v>111667.32</v>
      </c>
      <c r="F8" s="13">
        <f>IFERROR(B8/B7-1,"")</f>
        <v/>
      </c>
      <c r="G8" s="14">
        <f>AVERAGE(E6:E8)</f>
        <v/>
      </c>
    </row>
    <row r="9">
      <c r="A9" s="9" t="inlineStr">
        <is>
          <t>2021-08</t>
        </is>
      </c>
      <c r="B9" s="12" t="n">
        <v>372133.9</v>
      </c>
      <c r="C9" s="12" t="n">
        <v>372133.9</v>
      </c>
      <c r="D9" s="9" t="n">
        <v>2</v>
      </c>
      <c r="E9" s="12" t="n">
        <v>294133.45</v>
      </c>
      <c r="F9" s="13">
        <f>IFERROR(B9/B8-1,"")</f>
        <v/>
      </c>
      <c r="G9" s="14">
        <f>AVERAGE(E7:E9)</f>
        <v/>
      </c>
    </row>
    <row r="10">
      <c r="A10" s="9" t="inlineStr">
        <is>
          <t>2021-09</t>
        </is>
      </c>
      <c r="B10" s="12" t="n">
        <v>372133.9</v>
      </c>
      <c r="C10" s="12" t="n">
        <v>372133.9</v>
      </c>
      <c r="D10" s="9" t="n">
        <v>2</v>
      </c>
      <c r="E10" s="12" t="n">
        <v>59129.35</v>
      </c>
      <c r="F10" s="13">
        <f>IFERROR(B10/B9-1,"")</f>
        <v/>
      </c>
      <c r="G10" s="14">
        <f>AVERAGE(E8:E10)</f>
        <v/>
      </c>
    </row>
    <row r="11">
      <c r="A11" s="9" t="inlineStr">
        <is>
          <t>2021-10</t>
        </is>
      </c>
      <c r="B11" s="12" t="n">
        <v>372133.9</v>
      </c>
      <c r="C11" s="12" t="n">
        <v>372133.9</v>
      </c>
      <c r="D11" s="9" t="n">
        <v>2</v>
      </c>
      <c r="E11" s="12" t="n">
        <v>88459.09</v>
      </c>
      <c r="F11" s="13">
        <f>IFERROR(B11/B10-1,"")</f>
        <v/>
      </c>
      <c r="G11" s="14">
        <f>AVERAGE(E9:E11)</f>
        <v/>
      </c>
    </row>
    <row r="12">
      <c r="A12" s="9" t="inlineStr">
        <is>
          <t>2021-11</t>
        </is>
      </c>
      <c r="B12" s="12" t="n">
        <v>372133.9</v>
      </c>
      <c r="C12" s="12" t="n">
        <v>372133.9</v>
      </c>
      <c r="D12" s="9" t="n">
        <v>0</v>
      </c>
      <c r="E12" s="12" t="n">
        <v>0</v>
      </c>
      <c r="F12" s="13">
        <f>IFERROR(B12/B11-1,"")</f>
        <v/>
      </c>
      <c r="G12" s="14">
        <f>AVERAGE(E10:E12)</f>
        <v/>
      </c>
    </row>
    <row r="13">
      <c r="A13" s="9" t="inlineStr">
        <is>
          <t>2021-12</t>
        </is>
      </c>
      <c r="B13" s="12" t="n">
        <v>372133.9</v>
      </c>
      <c r="C13" s="12" t="n">
        <v>372133.9</v>
      </c>
      <c r="D13" s="9" t="n">
        <v>1</v>
      </c>
      <c r="E13" s="12" t="n">
        <v>144173.27</v>
      </c>
      <c r="F13" s="13">
        <f>IFERROR(B13/B12-1,"")</f>
        <v/>
      </c>
      <c r="G13" s="14">
        <f>AVERAGE(E11:E13)</f>
        <v/>
      </c>
    </row>
    <row r="14">
      <c r="A14" s="9" t="inlineStr">
        <is>
          <t>2022-01</t>
        </is>
      </c>
      <c r="B14" s="12" t="n">
        <v>372133.9</v>
      </c>
      <c r="C14" s="12" t="n">
        <v>372133.9</v>
      </c>
      <c r="D14" s="9" t="n">
        <v>1</v>
      </c>
      <c r="E14" s="12" t="n">
        <v>172371.81</v>
      </c>
      <c r="F14" s="13">
        <f>IFERROR(B14/B13-1,"")</f>
        <v/>
      </c>
      <c r="G14" s="14">
        <f>AVERAGE(E12:E14)</f>
        <v/>
      </c>
    </row>
    <row r="15">
      <c r="A15" s="9" t="inlineStr">
        <is>
          <t>2022-02</t>
        </is>
      </c>
      <c r="B15" s="12" t="n">
        <v>255039.28</v>
      </c>
      <c r="C15" s="12" t="n">
        <v>255039.28</v>
      </c>
      <c r="D15" s="9" t="n">
        <v>3</v>
      </c>
      <c r="E15" s="12" t="n">
        <v>118979.96</v>
      </c>
      <c r="F15" s="13">
        <f>IFERROR(B15/B14-1,"")</f>
        <v/>
      </c>
      <c r="G15" s="14">
        <f>AVERAGE(E13:E15)</f>
        <v/>
      </c>
    </row>
    <row r="16">
      <c r="A16" s="9" t="inlineStr">
        <is>
          <t>2022-03</t>
        </is>
      </c>
      <c r="B16" s="12" t="n">
        <v>422465.35</v>
      </c>
      <c r="C16" s="12" t="n">
        <v>422465.35</v>
      </c>
      <c r="D16" s="9" t="n">
        <v>1</v>
      </c>
      <c r="E16" s="12" t="n">
        <v>58565.68</v>
      </c>
      <c r="F16" s="13">
        <f>IFERROR(B16/B15-1,"")</f>
        <v/>
      </c>
      <c r="G16" s="14">
        <f>AVERAGE(E14:E16)</f>
        <v/>
      </c>
    </row>
    <row r="17">
      <c r="A17" s="9" t="inlineStr">
        <is>
          <t>2022-04</t>
        </is>
      </c>
      <c r="B17" s="12" t="n">
        <v>518672.26</v>
      </c>
      <c r="C17" s="12" t="n">
        <v>518672.26</v>
      </c>
      <c r="D17" s="9" t="n">
        <v>7</v>
      </c>
      <c r="E17" s="12" t="n">
        <v>385146.69</v>
      </c>
      <c r="F17" s="13">
        <f>IFERROR(B17/B16-1,"")</f>
        <v/>
      </c>
      <c r="G17" s="14">
        <f>AVERAGE(E15:E17)</f>
        <v/>
      </c>
    </row>
    <row r="18">
      <c r="A18" s="9" t="inlineStr">
        <is>
          <t>2022-05</t>
        </is>
      </c>
      <c r="B18" s="12" t="n">
        <v>322553.01</v>
      </c>
      <c r="C18" s="12" t="n">
        <v>322553.01</v>
      </c>
      <c r="D18" s="9" t="n">
        <v>0</v>
      </c>
      <c r="E18" s="12" t="n">
        <v>0</v>
      </c>
      <c r="F18" s="13">
        <f>IFERROR(B18/B17-1,"")</f>
        <v/>
      </c>
      <c r="G18" s="14">
        <f>AVERAGE(E16:E18)</f>
        <v/>
      </c>
    </row>
    <row r="19">
      <c r="A19" s="9" t="inlineStr">
        <is>
          <t>2022-06</t>
        </is>
      </c>
      <c r="B19" s="12" t="n">
        <v>322553.01</v>
      </c>
      <c r="C19" s="12" t="n">
        <v>322553.01</v>
      </c>
      <c r="D19" s="9" t="n">
        <v>2</v>
      </c>
      <c r="E19" s="12" t="n">
        <v>145234.06</v>
      </c>
      <c r="F19" s="13">
        <f>IFERROR(B19/B18-1,"")</f>
        <v/>
      </c>
      <c r="G19" s="14">
        <f>AVERAGE(E17:E19)</f>
        <v/>
      </c>
    </row>
    <row r="20">
      <c r="A20" s="9" t="inlineStr">
        <is>
          <t>2022-07</t>
        </is>
      </c>
      <c r="B20" s="12" t="n">
        <v>263632.98</v>
      </c>
      <c r="C20" s="12" t="n">
        <v>263632.98</v>
      </c>
      <c r="D20" s="9" t="n">
        <v>1</v>
      </c>
      <c r="E20" s="12" t="n">
        <v>22525</v>
      </c>
      <c r="F20" s="13">
        <f>IFERROR(B20/B19-1,"")</f>
        <v/>
      </c>
      <c r="G20" s="14">
        <f>AVERAGE(E18:E20)</f>
        <v/>
      </c>
    </row>
    <row r="21">
      <c r="A21" s="9" t="inlineStr">
        <is>
          <t>2022-08</t>
        </is>
      </c>
      <c r="B21" s="12" t="n">
        <v>460767.1800000001</v>
      </c>
      <c r="C21" s="12" t="n">
        <v>460767.1800000001</v>
      </c>
      <c r="D21" s="9" t="n">
        <v>2</v>
      </c>
      <c r="E21" s="12" t="n">
        <v>245345.42</v>
      </c>
      <c r="F21" s="13">
        <f>IFERROR(B21/B20-1,"")</f>
        <v/>
      </c>
      <c r="G21" s="14">
        <f>AVERAGE(E19:E21)</f>
        <v/>
      </c>
    </row>
    <row r="22">
      <c r="A22" s="9" t="inlineStr">
        <is>
          <t>2022-09</t>
        </is>
      </c>
      <c r="B22" s="12" t="n">
        <v>1073040.59</v>
      </c>
      <c r="C22" s="12" t="n">
        <v>1073040.59</v>
      </c>
      <c r="D22" s="9" t="n">
        <v>5</v>
      </c>
      <c r="E22" s="12" t="n">
        <v>426026.26</v>
      </c>
      <c r="F22" s="13">
        <f>IFERROR(B22/B21-1,"")</f>
        <v/>
      </c>
      <c r="G22" s="14">
        <f>AVERAGE(E20:E22)</f>
        <v/>
      </c>
    </row>
    <row r="23">
      <c r="A23" s="9" t="inlineStr">
        <is>
          <t>2022-10</t>
        </is>
      </c>
      <c r="B23" s="12" t="n">
        <v>1496038.61</v>
      </c>
      <c r="C23" s="12" t="n">
        <v>1496038.61</v>
      </c>
      <c r="D23" s="9" t="n">
        <v>5</v>
      </c>
      <c r="E23" s="12" t="n">
        <v>1133294.08</v>
      </c>
      <c r="F23" s="13">
        <f>IFERROR(B23/B22-1,"")</f>
        <v/>
      </c>
      <c r="G23" s="14">
        <f>AVERAGE(E21:E23)</f>
        <v/>
      </c>
    </row>
    <row r="24">
      <c r="A24" s="9" t="inlineStr">
        <is>
          <t>2022-11</t>
        </is>
      </c>
      <c r="B24" s="12" t="n">
        <v>1814477.46</v>
      </c>
      <c r="C24" s="12" t="n">
        <v>1814477.46</v>
      </c>
      <c r="D24" s="9" t="n">
        <v>4</v>
      </c>
      <c r="E24" s="12" t="n">
        <v>593396.23</v>
      </c>
      <c r="F24" s="13">
        <f>IFERROR(B24/B23-1,"")</f>
        <v/>
      </c>
      <c r="G24" s="14">
        <f>AVERAGE(E22:E24)</f>
        <v/>
      </c>
    </row>
    <row r="25">
      <c r="A25" s="9" t="inlineStr">
        <is>
          <t>2022-12</t>
        </is>
      </c>
      <c r="B25" s="12" t="n">
        <v>1814477.46</v>
      </c>
      <c r="C25" s="12" t="n">
        <v>1814477.46</v>
      </c>
      <c r="D25" s="9" t="n">
        <v>12</v>
      </c>
      <c r="E25" s="12" t="n">
        <v>1158571.89</v>
      </c>
      <c r="F25" s="13">
        <f>IFERROR(B25/B24-1,"")</f>
        <v/>
      </c>
      <c r="G25" s="14">
        <f>AVERAGE(E23:E25)</f>
        <v/>
      </c>
    </row>
    <row r="26">
      <c r="A26" s="9" t="inlineStr">
        <is>
          <t>2023-01</t>
        </is>
      </c>
      <c r="B26" s="12" t="n">
        <v>1814477.46</v>
      </c>
      <c r="C26" s="12" t="n">
        <v>1814477.46</v>
      </c>
      <c r="D26" s="9" t="n">
        <v>8</v>
      </c>
      <c r="E26" s="12" t="n">
        <v>817588.4600000001</v>
      </c>
      <c r="F26" s="13">
        <f>IFERROR(B26/B25-1,"")</f>
        <v/>
      </c>
      <c r="G26" s="14">
        <f>AVERAGE(E24:E26)</f>
        <v/>
      </c>
    </row>
    <row r="27">
      <c r="A27" s="9" t="inlineStr">
        <is>
          <t>2023-02</t>
        </is>
      </c>
      <c r="B27" s="12" t="n">
        <v>1814477.46</v>
      </c>
      <c r="C27" s="12" t="n">
        <v>1814477.46</v>
      </c>
      <c r="D27" s="9" t="n">
        <v>8</v>
      </c>
      <c r="E27" s="12" t="n">
        <v>1186747.43</v>
      </c>
      <c r="F27" s="13">
        <f>IFERROR(B27/B26-1,"")</f>
        <v/>
      </c>
      <c r="G27" s="14">
        <f>AVERAGE(E25:E27)</f>
        <v/>
      </c>
    </row>
    <row r="28">
      <c r="A28" s="9" t="inlineStr">
        <is>
          <t>2023-03</t>
        </is>
      </c>
      <c r="B28" s="12" t="n">
        <v>1647051.39</v>
      </c>
      <c r="C28" s="12" t="n">
        <v>1647051.39</v>
      </c>
      <c r="D28" s="9" t="n">
        <v>7</v>
      </c>
      <c r="E28" s="12" t="n">
        <v>993344.39</v>
      </c>
      <c r="F28" s="13">
        <f>IFERROR(B28/B27-1,"")</f>
        <v/>
      </c>
      <c r="G28" s="14">
        <f>AVERAGE(E26:E28)</f>
        <v/>
      </c>
    </row>
    <row r="29">
      <c r="A29" s="9" t="inlineStr">
        <is>
          <t>2023-04</t>
        </is>
      </c>
      <c r="B29" s="12" t="n">
        <v>1645011.26</v>
      </c>
      <c r="C29" s="12" t="n">
        <v>1645011.26</v>
      </c>
      <c r="D29" s="9" t="n">
        <v>3</v>
      </c>
      <c r="E29" s="12" t="n">
        <v>195283.64</v>
      </c>
      <c r="F29" s="13">
        <f>IFERROR(B29/B28-1,"")</f>
        <v/>
      </c>
      <c r="G29" s="14">
        <f>AVERAGE(E27:E29)</f>
        <v/>
      </c>
    </row>
    <row r="30">
      <c r="A30" s="9" t="inlineStr">
        <is>
          <t>2023-05</t>
        </is>
      </c>
      <c r="B30" s="12" t="n">
        <v>1645011.26</v>
      </c>
      <c r="C30" s="12" t="n">
        <v>1645011.26</v>
      </c>
      <c r="D30" s="9" t="n">
        <v>10</v>
      </c>
      <c r="E30" s="12" t="n">
        <v>1141279.7</v>
      </c>
      <c r="F30" s="13">
        <f>IFERROR(B30/B29-1,"")</f>
        <v/>
      </c>
      <c r="G30" s="14">
        <f>AVERAGE(E28:E30)</f>
        <v/>
      </c>
    </row>
    <row r="31">
      <c r="A31" s="9" t="inlineStr">
        <is>
          <t>2023-06</t>
        </is>
      </c>
      <c r="B31" s="12" t="n">
        <v>1645011.26</v>
      </c>
      <c r="C31" s="12" t="n">
        <v>1645011.26</v>
      </c>
      <c r="D31" s="9" t="n">
        <v>9</v>
      </c>
      <c r="E31" s="12" t="n">
        <v>1000803.74</v>
      </c>
      <c r="F31" s="13">
        <f>IFERROR(B31/B30-1,"")</f>
        <v/>
      </c>
      <c r="G31" s="14">
        <f>AVERAGE(E29:E31)</f>
        <v/>
      </c>
    </row>
    <row r="32">
      <c r="A32" s="9" t="inlineStr">
        <is>
          <t>2023-07</t>
        </is>
      </c>
      <c r="B32" s="12" t="n">
        <v>1645011.26</v>
      </c>
      <c r="C32" s="12" t="n">
        <v>1645011.26</v>
      </c>
      <c r="D32" s="9" t="n">
        <v>5</v>
      </c>
      <c r="E32" s="12" t="n">
        <v>983848.27</v>
      </c>
      <c r="F32" s="13">
        <f>IFERROR(B32/B31-1,"")</f>
        <v/>
      </c>
      <c r="G32" s="14">
        <f>AVERAGE(E30:E32)</f>
        <v/>
      </c>
    </row>
    <row r="33">
      <c r="A33" s="9" t="inlineStr">
        <is>
          <t>2023-08</t>
        </is>
      </c>
      <c r="B33" s="12" t="n">
        <v>1447877.06</v>
      </c>
      <c r="C33" s="12" t="n">
        <v>1447877.06</v>
      </c>
      <c r="D33" s="9" t="n">
        <v>4</v>
      </c>
      <c r="E33" s="12" t="n">
        <v>456540.11</v>
      </c>
      <c r="F33" s="13">
        <f>IFERROR(B33/B32-1,"")</f>
        <v/>
      </c>
      <c r="G33" s="14">
        <f>AVERAGE(E31:E33)</f>
        <v/>
      </c>
    </row>
    <row r="34">
      <c r="A34" s="9" t="inlineStr">
        <is>
          <t>2023-09</t>
        </is>
      </c>
      <c r="B34" s="12" t="n">
        <v>835603.65</v>
      </c>
      <c r="C34" s="12" t="n">
        <v>835603.65</v>
      </c>
      <c r="D34" s="9" t="n">
        <v>4</v>
      </c>
      <c r="E34" s="12" t="n">
        <v>214390.7</v>
      </c>
      <c r="F34" s="13">
        <f>IFERROR(B34/B33-1,"")</f>
        <v/>
      </c>
      <c r="G34" s="14">
        <f>AVERAGE(E32:E34)</f>
        <v/>
      </c>
    </row>
    <row r="35">
      <c r="A35" s="9" t="inlineStr">
        <is>
          <t>2023-10</t>
        </is>
      </c>
      <c r="B35" s="12" t="n">
        <v>412605.63</v>
      </c>
      <c r="C35" s="12" t="n">
        <v>412605.63</v>
      </c>
      <c r="D35" s="9" t="n">
        <v>5</v>
      </c>
      <c r="E35" s="12" t="n">
        <v>103586.2</v>
      </c>
      <c r="F35" s="13">
        <f>IFERROR(B35/B34-1,"")</f>
        <v/>
      </c>
      <c r="G35" s="14">
        <f>AVERAGE(E33:E35)</f>
        <v/>
      </c>
    </row>
    <row r="36">
      <c r="A36" s="9" t="inlineStr">
        <is>
          <t>2023-11</t>
        </is>
      </c>
      <c r="B36" s="12" t="n">
        <v>94166.78</v>
      </c>
      <c r="C36" s="12" t="n">
        <v>94166.78</v>
      </c>
      <c r="D36" s="9" t="n">
        <v>1</v>
      </c>
      <c r="E36" s="12" t="n">
        <v>23082.79</v>
      </c>
      <c r="F36" s="13">
        <f>IFERROR(B36/B35-1,"")</f>
        <v/>
      </c>
      <c r="G36" s="14">
        <f>AVERAGE(E34:E36)</f>
        <v/>
      </c>
    </row>
    <row r="37">
      <c r="A37" s="9" t="inlineStr">
        <is>
          <t>2023-12</t>
        </is>
      </c>
      <c r="B37" s="12" t="n">
        <v>94166.78</v>
      </c>
      <c r="C37" s="12" t="n">
        <v>94166.78</v>
      </c>
      <c r="D37" s="9" t="n">
        <v>2</v>
      </c>
      <c r="E37" s="12" t="n">
        <v>55523.84</v>
      </c>
      <c r="F37" s="13">
        <f>IFERROR(B37/B36-1,"")</f>
        <v/>
      </c>
      <c r="G37" s="14">
        <f>AVERAGE(E35:E37)</f>
        <v/>
      </c>
    </row>
    <row r="38">
      <c r="A38" s="9" t="inlineStr">
        <is>
          <t>2024-01</t>
        </is>
      </c>
      <c r="B38" s="12" t="n">
        <v>94166.78</v>
      </c>
      <c r="C38" s="12" t="n">
        <v>94166.78</v>
      </c>
      <c r="D38" s="9" t="n">
        <v>1</v>
      </c>
      <c r="E38" s="12" t="n">
        <v>245884.71</v>
      </c>
      <c r="F38" s="13">
        <f>IFERROR(B38/B37-1,"")</f>
        <v/>
      </c>
      <c r="G38" s="14">
        <f>AVERAGE(E36:E38)</f>
        <v/>
      </c>
    </row>
    <row r="39">
      <c r="A39" s="9" t="inlineStr">
        <is>
          <t>2024-02</t>
        </is>
      </c>
      <c r="B39" s="12" t="n">
        <v>94166.78</v>
      </c>
      <c r="C39" s="12" t="n">
        <v>94166.78</v>
      </c>
      <c r="D39" s="9" t="n">
        <v>3</v>
      </c>
      <c r="E39" s="12" t="n">
        <v>183374.67</v>
      </c>
      <c r="F39" s="13">
        <f>IFERROR(B39/B38-1,"")</f>
        <v/>
      </c>
      <c r="G39" s="14">
        <f>AVERAGE(E37:E39)</f>
        <v/>
      </c>
    </row>
    <row r="40">
      <c r="A40" s="9" t="inlineStr">
        <is>
          <t>2024-03</t>
        </is>
      </c>
      <c r="B40" s="12" t="n">
        <v>195510.05</v>
      </c>
      <c r="C40" s="12" t="n">
        <v>195510.05</v>
      </c>
      <c r="D40" s="9" t="n">
        <v>2</v>
      </c>
      <c r="E40" s="12" t="n">
        <v>63337.77</v>
      </c>
      <c r="F40" s="13">
        <f>IFERROR(B40/B39-1,"")</f>
        <v/>
      </c>
      <c r="G40" s="14">
        <f>AVERAGE(E38:E40)</f>
        <v/>
      </c>
    </row>
    <row r="41">
      <c r="A41" s="9" t="inlineStr">
        <is>
          <t>2024-04</t>
        </is>
      </c>
      <c r="B41" s="12" t="n">
        <v>101343.27</v>
      </c>
      <c r="C41" s="12" t="n">
        <v>101343.27</v>
      </c>
      <c r="D41" s="9" t="n">
        <v>1</v>
      </c>
      <c r="E41" s="12" t="n">
        <v>123966.93</v>
      </c>
      <c r="F41" s="13">
        <f>IFERROR(B41/B40-1,"")</f>
        <v/>
      </c>
      <c r="G41" s="14">
        <f>AVERAGE(E39:E41)</f>
        <v/>
      </c>
    </row>
    <row r="42">
      <c r="A42" s="9" t="inlineStr">
        <is>
          <t>2024-05</t>
        </is>
      </c>
      <c r="B42" s="12" t="n">
        <v>511220.62</v>
      </c>
      <c r="C42" s="12" t="n">
        <v>511220.62</v>
      </c>
      <c r="D42" s="9" t="n">
        <v>1</v>
      </c>
      <c r="E42" s="12" t="n">
        <v>288130.99</v>
      </c>
      <c r="F42" s="13">
        <f>IFERROR(B42/B41-1,"")</f>
        <v/>
      </c>
      <c r="G42" s="14">
        <f>AVERAGE(E40:E42)</f>
        <v/>
      </c>
    </row>
    <row r="43">
      <c r="A43" s="9" t="inlineStr">
        <is>
          <t>2024-06</t>
        </is>
      </c>
      <c r="B43" s="12" t="n">
        <v>1061011.2</v>
      </c>
      <c r="C43" s="12" t="n">
        <v>1061011.2</v>
      </c>
      <c r="D43" s="9" t="n">
        <v>0</v>
      </c>
      <c r="E43" s="12" t="n">
        <v>0</v>
      </c>
      <c r="F43" s="13">
        <f>IFERROR(B43/B42-1,"")</f>
        <v/>
      </c>
      <c r="G43" s="14">
        <f>AVERAGE(E41:E43)</f>
        <v/>
      </c>
    </row>
    <row r="44">
      <c r="A44" s="9" t="inlineStr">
        <is>
          <t>2024-07</t>
        </is>
      </c>
      <c r="B44" s="12" t="n">
        <v>1121873.62</v>
      </c>
      <c r="C44" s="12" t="n">
        <v>1121873.62</v>
      </c>
      <c r="D44" s="9" t="n">
        <v>5</v>
      </c>
      <c r="E44" s="12" t="n">
        <v>2244037.05</v>
      </c>
      <c r="F44" s="13">
        <f>IFERROR(B44/B43-1,"")</f>
        <v/>
      </c>
      <c r="G44" s="14">
        <f>AVERAGE(E42:E44)</f>
        <v/>
      </c>
    </row>
    <row r="45">
      <c r="A45" s="9" t="inlineStr">
        <is>
          <t>2024-08</t>
        </is>
      </c>
      <c r="B45" s="12" t="n">
        <v>1121873.62</v>
      </c>
      <c r="C45" s="12" t="n">
        <v>1121873.62</v>
      </c>
      <c r="D45" s="9" t="n">
        <v>4</v>
      </c>
      <c r="E45" s="12" t="n">
        <v>663049.26</v>
      </c>
      <c r="F45" s="13">
        <f>IFERROR(B45/B44-1,"")</f>
        <v/>
      </c>
      <c r="G45" s="14">
        <f>AVERAGE(E43:E45)</f>
        <v/>
      </c>
    </row>
    <row r="46">
      <c r="A46" s="9" t="inlineStr">
        <is>
          <t>2024-09</t>
        </is>
      </c>
      <c r="B46" s="12" t="n">
        <v>1121873.62</v>
      </c>
      <c r="C46" s="12" t="n">
        <v>1121873.62</v>
      </c>
      <c r="D46" s="9" t="n">
        <v>5</v>
      </c>
      <c r="E46" s="12" t="n">
        <v>925952.09</v>
      </c>
      <c r="F46" s="13">
        <f>IFERROR(B46/B45-1,"")</f>
        <v/>
      </c>
      <c r="G46" s="14">
        <f>AVERAGE(E44:E46)</f>
        <v/>
      </c>
    </row>
    <row r="47">
      <c r="A47" s="9" t="inlineStr">
        <is>
          <t>2024-10</t>
        </is>
      </c>
      <c r="B47" s="12" t="n">
        <v>1461191.01</v>
      </c>
      <c r="C47" s="12" t="n">
        <v>1461191.01</v>
      </c>
      <c r="D47" s="9" t="n">
        <v>3</v>
      </c>
      <c r="E47" s="12" t="n">
        <v>1529111.59</v>
      </c>
      <c r="F47" s="13">
        <f>IFERROR(B47/B46-1,"")</f>
        <v/>
      </c>
      <c r="G47" s="14">
        <f>AVERAGE(E45:E47)</f>
        <v/>
      </c>
    </row>
    <row r="48">
      <c r="A48" s="9" t="inlineStr">
        <is>
          <t>2024-11</t>
        </is>
      </c>
      <c r="B48" s="12" t="n">
        <v>1931858.67</v>
      </c>
      <c r="C48" s="12" t="n">
        <v>1931858.67</v>
      </c>
      <c r="D48" s="9" t="n">
        <v>13</v>
      </c>
      <c r="E48" s="12" t="n">
        <v>556293.37</v>
      </c>
      <c r="F48" s="13">
        <f>IFERROR(B48/B47-1,"")</f>
        <v/>
      </c>
      <c r="G48" s="14">
        <f>AVERAGE(E46:E48)</f>
        <v/>
      </c>
    </row>
    <row r="49">
      <c r="A49" s="9" t="inlineStr">
        <is>
          <t>2024-12</t>
        </is>
      </c>
      <c r="B49" s="12" t="n">
        <v>2109292.63</v>
      </c>
      <c r="C49" s="12" t="n">
        <v>2109292.63</v>
      </c>
      <c r="D49" s="9" t="n">
        <v>7</v>
      </c>
      <c r="E49" s="12" t="n">
        <v>430895.43</v>
      </c>
      <c r="F49" s="13">
        <f>IFERROR(B49/B48-1,"")</f>
        <v/>
      </c>
      <c r="G49" s="14">
        <f>AVERAGE(E47:E49)</f>
        <v/>
      </c>
    </row>
    <row r="50">
      <c r="A50" s="9" t="inlineStr">
        <is>
          <t>2025-01</t>
        </is>
      </c>
      <c r="B50" s="12" t="n">
        <v>2550418.91</v>
      </c>
      <c r="C50" s="12" t="n">
        <v>2550418.91</v>
      </c>
      <c r="D50" s="9" t="n">
        <v>9</v>
      </c>
      <c r="E50" s="12" t="n">
        <v>2276036.82</v>
      </c>
      <c r="F50" s="13">
        <f>IFERROR(B50/B49-1,"")</f>
        <v/>
      </c>
      <c r="G50" s="14">
        <f>AVERAGE(E48:E50)</f>
        <v/>
      </c>
    </row>
    <row r="51">
      <c r="A51" s="9" t="inlineStr">
        <is>
          <t>2025-02</t>
        </is>
      </c>
      <c r="B51" s="12" t="n">
        <v>2571478.03</v>
      </c>
      <c r="C51" s="12" t="n">
        <v>2571478.03</v>
      </c>
      <c r="D51" s="9" t="n">
        <v>8</v>
      </c>
      <c r="E51" s="12" t="n">
        <v>951851.2200000001</v>
      </c>
      <c r="F51" s="13">
        <f>IFERROR(B51/B50-1,"")</f>
        <v/>
      </c>
      <c r="G51" s="14">
        <f>AVERAGE(E49:E51)</f>
        <v/>
      </c>
    </row>
    <row r="52">
      <c r="A52" s="9" t="inlineStr">
        <is>
          <t>2025-03</t>
        </is>
      </c>
      <c r="B52" s="12" t="n">
        <v>2570679.02</v>
      </c>
      <c r="C52" s="12" t="n">
        <v>2570679.02</v>
      </c>
      <c r="D52" s="9" t="n">
        <v>10</v>
      </c>
      <c r="E52" s="12" t="n">
        <v>3988879.83</v>
      </c>
      <c r="F52" s="13">
        <f>IFERROR(B52/B51-1,"")</f>
        <v/>
      </c>
      <c r="G52" s="14">
        <f>AVERAGE(E50:E52)</f>
        <v/>
      </c>
    </row>
    <row r="53">
      <c r="A53" s="9" t="inlineStr">
        <is>
          <t>2025-04</t>
        </is>
      </c>
      <c r="B53" s="12" t="n">
        <v>2570679.02</v>
      </c>
      <c r="C53" s="12" t="n">
        <v>2570679.02</v>
      </c>
      <c r="D53" s="9" t="n">
        <v>11</v>
      </c>
      <c r="E53" s="12" t="n">
        <v>1401594.24</v>
      </c>
      <c r="F53" s="13">
        <f>IFERROR(B53/B52-1,"")</f>
        <v/>
      </c>
      <c r="G53" s="14">
        <f>AVERAGE(E51:E53)</f>
        <v/>
      </c>
    </row>
    <row r="54">
      <c r="A54" s="9" t="inlineStr">
        <is>
          <t>2025-05</t>
        </is>
      </c>
      <c r="B54" s="12" t="n">
        <v>2182664.94</v>
      </c>
      <c r="C54" s="12" t="n">
        <v>2182664.94</v>
      </c>
      <c r="D54" s="9" t="n">
        <v>9</v>
      </c>
      <c r="E54" s="12" t="n">
        <v>897059.83</v>
      </c>
      <c r="F54" s="13">
        <f>IFERROR(B54/B53-1,"")</f>
        <v/>
      </c>
      <c r="G54" s="14">
        <f>AVERAGE(E52:E54)</f>
        <v/>
      </c>
    </row>
    <row r="55">
      <c r="A55" s="9" t="inlineStr">
        <is>
          <t>2025-06</t>
        </is>
      </c>
      <c r="B55" s="12" t="n">
        <v>1632874.36</v>
      </c>
      <c r="C55" s="12" t="n">
        <v>1632874.36</v>
      </c>
      <c r="D55" s="9" t="n">
        <v>10</v>
      </c>
      <c r="E55" s="12" t="n">
        <v>4709538.45</v>
      </c>
      <c r="F55" s="13">
        <f>IFERROR(B55/B54-1,"")</f>
        <v/>
      </c>
      <c r="G55" s="14">
        <f>AVERAGE(E53:E55)</f>
        <v/>
      </c>
    </row>
    <row r="56">
      <c r="A56" s="9" t="inlineStr">
        <is>
          <t>2025-07</t>
        </is>
      </c>
      <c r="B56" s="12" t="n">
        <v>1572011.94</v>
      </c>
      <c r="C56" s="12" t="n">
        <v>1572011.94</v>
      </c>
      <c r="D56" s="9" t="n">
        <v>12</v>
      </c>
      <c r="E56" s="12" t="n">
        <v>877947.5599999999</v>
      </c>
      <c r="F56" s="13">
        <f>IFERROR(B56/B55-1,"")</f>
        <v/>
      </c>
      <c r="G56" s="14">
        <f>AVERAGE(E54:E56)</f>
        <v/>
      </c>
    </row>
    <row r="57">
      <c r="A57" s="9" t="inlineStr">
        <is>
          <t>2025-08</t>
        </is>
      </c>
      <c r="B57" s="12" t="n">
        <v>1572011.94</v>
      </c>
      <c r="C57" s="12" t="n">
        <v>1572011.94</v>
      </c>
      <c r="D57" s="9" t="n">
        <v>7</v>
      </c>
      <c r="E57" s="12" t="n">
        <v>1101311.8</v>
      </c>
      <c r="F57" s="13">
        <f>IFERROR(B57/B56-1,"")</f>
        <v/>
      </c>
      <c r="G57" s="14">
        <f>AVERAGE(E55:E57)</f>
        <v/>
      </c>
    </row>
    <row r="58">
      <c r="A58" s="9" t="inlineStr">
        <is>
          <t>2025-09</t>
        </is>
      </c>
      <c r="B58" s="12" t="n">
        <v>1309803.44</v>
      </c>
      <c r="C58" s="12" t="n">
        <v>1309803.44</v>
      </c>
      <c r="D58" s="9" t="n">
        <v>8</v>
      </c>
      <c r="E58" s="12" t="n">
        <v>644181.27</v>
      </c>
      <c r="F58" s="13">
        <f>IFERROR(B58/B57-1,"")</f>
        <v/>
      </c>
      <c r="G58" s="14">
        <f>AVERAGE(E56:E58)</f>
        <v/>
      </c>
    </row>
    <row r="59">
      <c r="A59" s="9" t="inlineStr">
        <is>
          <t>2025-10</t>
        </is>
      </c>
      <c r="B59" s="12" t="n">
        <v>1572176.17</v>
      </c>
      <c r="C59" s="12" t="n">
        <v>1572176.17</v>
      </c>
      <c r="D59" s="9" t="n">
        <v>14</v>
      </c>
      <c r="E59" s="12" t="n">
        <v>2784425.98</v>
      </c>
      <c r="F59" s="13">
        <f>IFERROR(B59/B58-1,"")</f>
        <v/>
      </c>
      <c r="G59" s="14">
        <f>AVERAGE(E57:E59)</f>
        <v/>
      </c>
    </row>
    <row r="60">
      <c r="A60" s="9" t="inlineStr">
        <is>
          <t>2025-11</t>
        </is>
      </c>
      <c r="B60" s="12" t="n">
        <v>1101508.51</v>
      </c>
      <c r="C60" s="12" t="n">
        <v>1101508.51</v>
      </c>
      <c r="D60" s="9" t="n">
        <v>4</v>
      </c>
      <c r="E60" s="12" t="n">
        <v>328380.69</v>
      </c>
      <c r="F60" s="13">
        <f>IFERROR(B60/B59-1,"")</f>
        <v/>
      </c>
      <c r="G60" s="14">
        <f>AVERAGE(E58:E60)</f>
        <v/>
      </c>
    </row>
    <row r="61">
      <c r="A61" s="9" t="inlineStr">
        <is>
          <t>2025-12</t>
        </is>
      </c>
      <c r="B61" s="12" t="n">
        <v>924074.55</v>
      </c>
      <c r="C61" s="12" t="n">
        <v>924074.55</v>
      </c>
      <c r="D61" s="9" t="n">
        <v>8</v>
      </c>
      <c r="E61" s="12" t="n">
        <v>653815.54</v>
      </c>
      <c r="F61" s="13">
        <f>IFERROR(B61/B60-1,"")</f>
        <v/>
      </c>
      <c r="G61" s="14">
        <f>AVERAGE(E59:E61)</f>
        <v/>
      </c>
    </row>
    <row r="62">
      <c r="A62" s="9" t="inlineStr">
        <is>
          <t>2026-01</t>
        </is>
      </c>
      <c r="B62" s="12" t="n">
        <v>598221.58</v>
      </c>
      <c r="C62" s="12" t="n">
        <v>598221.58</v>
      </c>
      <c r="D62" s="9" t="n">
        <v>4</v>
      </c>
      <c r="E62" s="12" t="n">
        <v>196569.14</v>
      </c>
      <c r="F62" s="13">
        <f>IFERROR(B62/B61-1,"")</f>
        <v/>
      </c>
      <c r="G62" s="14">
        <f>AVERAGE(E60:E62)</f>
        <v/>
      </c>
    </row>
    <row r="63">
      <c r="A63" s="9" t="inlineStr">
        <is>
          <t>2026-02</t>
        </is>
      </c>
      <c r="B63" s="12" t="n">
        <v>577162.46</v>
      </c>
      <c r="C63" s="12" t="n">
        <v>577162.46</v>
      </c>
      <c r="D63" s="9" t="n">
        <v>6</v>
      </c>
      <c r="E63" s="12" t="n">
        <v>1950287.41</v>
      </c>
      <c r="F63" s="13">
        <f>IFERROR(B63/B62-1,"")</f>
        <v/>
      </c>
      <c r="G63" s="14">
        <f>AVERAGE(E61:E63)</f>
        <v/>
      </c>
    </row>
    <row r="64">
      <c r="A64" s="9" t="inlineStr">
        <is>
          <t>2026-03</t>
        </is>
      </c>
      <c r="B64" s="12" t="n">
        <v>476618.2</v>
      </c>
      <c r="C64" s="12" t="n">
        <v>476618.2</v>
      </c>
      <c r="D64" s="9" t="n">
        <v>3</v>
      </c>
      <c r="E64" s="12" t="n">
        <v>285241.93</v>
      </c>
      <c r="F64" s="13">
        <f>IFERROR(B64/B63-1,"")</f>
        <v/>
      </c>
      <c r="G64" s="14">
        <f>AVERAGE(E62:E64)</f>
        <v/>
      </c>
    </row>
    <row r="65">
      <c r="A65" s="9" t="inlineStr">
        <is>
          <t>2026-04</t>
        </is>
      </c>
      <c r="B65" s="12" t="n">
        <v>476618.2</v>
      </c>
      <c r="C65" s="12" t="n">
        <v>476618.2</v>
      </c>
      <c r="D65" s="9" t="n">
        <v>4</v>
      </c>
      <c r="E65" s="12" t="n">
        <v>118621.77</v>
      </c>
      <c r="F65" s="13">
        <f>IFERROR(B65/B64-1,"")</f>
        <v/>
      </c>
      <c r="G65" s="14">
        <f>AVERAGE(E63:E65)</f>
        <v/>
      </c>
    </row>
    <row r="66">
      <c r="A66" s="9" t="inlineStr">
        <is>
          <t>2026-05</t>
        </is>
      </c>
      <c r="B66" s="12" t="n">
        <v>524387.25</v>
      </c>
      <c r="C66" s="12" t="n">
        <v>524387.25</v>
      </c>
      <c r="D66" s="9" t="n">
        <v>4</v>
      </c>
      <c r="E66" s="12" t="n">
        <v>177474.85</v>
      </c>
      <c r="F66" s="13">
        <f>IFERROR(B66/B65-1,"")</f>
        <v/>
      </c>
      <c r="G66" s="14">
        <f>AVERAGE(E64:E66)</f>
        <v/>
      </c>
    </row>
    <row r="67">
      <c r="A67" s="9" t="inlineStr">
        <is>
          <t>2026-06</t>
        </is>
      </c>
      <c r="B67" s="12" t="n">
        <v>524387.25</v>
      </c>
      <c r="C67" s="12" t="n">
        <v>524387.25</v>
      </c>
      <c r="D67" s="9" t="n">
        <v>4</v>
      </c>
      <c r="E67" s="12" t="n">
        <v>128107.44</v>
      </c>
      <c r="F67" s="13">
        <f>IFERROR(B67/B66-1,"")</f>
        <v/>
      </c>
      <c r="G67" s="14">
        <f>AVERAGE(E65:E67)</f>
        <v/>
      </c>
    </row>
    <row r="68">
      <c r="A68" s="9" t="inlineStr">
        <is>
          <t>2026-07</t>
        </is>
      </c>
      <c r="B68" s="12" t="n">
        <v>524387.25</v>
      </c>
      <c r="C68" s="12" t="n">
        <v>524387.25</v>
      </c>
      <c r="D68" s="9" t="n">
        <v>3</v>
      </c>
      <c r="E68" s="12" t="n">
        <v>120218.6</v>
      </c>
      <c r="F68" s="13">
        <f>IFERROR(B68/B67-1,"")</f>
        <v/>
      </c>
      <c r="G68" s="14">
        <f>AVERAGE(E66:E68)</f>
        <v/>
      </c>
    </row>
    <row r="69">
      <c r="A69" s="9" t="inlineStr">
        <is>
          <t>2026-08</t>
        </is>
      </c>
      <c r="B69" s="12" t="n">
        <v>524387.25</v>
      </c>
      <c r="C69" s="12" t="n">
        <v>524387.25</v>
      </c>
      <c r="D69" s="9" t="n">
        <v>5</v>
      </c>
      <c r="E69" s="12" t="n">
        <v>590373.85</v>
      </c>
      <c r="F69" s="13">
        <f>IFERROR(B69/B68-1,"")</f>
        <v/>
      </c>
      <c r="G69" s="14">
        <f>AVERAGE(E67:E69)</f>
        <v/>
      </c>
    </row>
    <row r="70">
      <c r="A70" s="9" t="inlineStr">
        <is>
          <t>2026-09</t>
        </is>
      </c>
      <c r="B70" s="12" t="n">
        <v>345469.47</v>
      </c>
      <c r="C70" s="12" t="n">
        <v>239000.42</v>
      </c>
      <c r="D70" s="9" t="n">
        <v>5</v>
      </c>
      <c r="E70" s="12" t="n">
        <v>238725.63</v>
      </c>
      <c r="F70" s="13">
        <f>IFERROR(B70/B69-1,"")</f>
        <v/>
      </c>
      <c r="G70" s="14">
        <f>AVERAGE(E68:E70)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2" customWidth="1" min="4" max="4"/>
    <col width="15" customWidth="1" min="5" max="5"/>
    <col width="13" customWidth="1" min="6" max="6"/>
    <col width="14" customWidth="1" min="7" max="7"/>
    <col width="11" customWidth="1" min="8" max="8"/>
    <col width="15" customWidth="1" min="9" max="9"/>
    <col width="16" customWidth="1" min="10" max="10"/>
    <col width="19" customWidth="1" min="11" max="11"/>
    <col width="17" customWidth="1" min="12" max="12"/>
  </cols>
  <sheetData>
    <row r="1">
      <c r="A1" s="4" t="inlineStr">
        <is>
          <t>claim_id</t>
        </is>
      </c>
      <c r="B1" s="4" t="inlineStr">
        <is>
          <t>treaty_id</t>
        </is>
      </c>
      <c r="C1" s="4" t="inlineStr">
        <is>
          <t>cedant_name</t>
        </is>
      </c>
      <c r="D1" s="4" t="inlineStr">
        <is>
          <t>lob_name</t>
        </is>
      </c>
      <c r="E1" s="4" t="inlineStr">
        <is>
          <t>region_name</t>
        </is>
      </c>
      <c r="F1" s="4" t="inlineStr">
        <is>
          <t>loss_date</t>
        </is>
      </c>
      <c r="G1" s="4" t="inlineStr">
        <is>
          <t>claim_type</t>
        </is>
      </c>
      <c r="H1" s="4" t="inlineStr">
        <is>
          <t>status</t>
        </is>
      </c>
      <c r="I1" s="4" t="inlineStr">
        <is>
          <t>paid_amount</t>
        </is>
      </c>
      <c r="J1" s="4" t="inlineStr">
        <is>
          <t>case_reserve</t>
        </is>
      </c>
      <c r="K1" s="4" t="inlineStr">
        <is>
          <t>incurred_amount</t>
        </is>
      </c>
      <c r="L1" s="4" t="inlineStr">
        <is>
          <t>exceeds_limit</t>
        </is>
      </c>
    </row>
    <row r="2">
      <c r="A2" s="9" t="inlineStr">
        <is>
          <t>CL003868</t>
        </is>
      </c>
      <c r="B2" s="9" t="inlineStr">
        <is>
          <t>T0016</t>
        </is>
      </c>
      <c r="C2" s="9" t="inlineStr">
        <is>
          <t>Pioneer Indemnity</t>
        </is>
      </c>
      <c r="D2" s="9" t="inlineStr">
        <is>
          <t>Property</t>
        </is>
      </c>
      <c r="E2" s="9" t="inlineStr">
        <is>
          <t>Latin America</t>
        </is>
      </c>
      <c r="F2" s="9" t="inlineStr">
        <is>
          <t>2025-03-19</t>
        </is>
      </c>
      <c r="G2" s="9" t="inlineStr">
        <is>
          <t>Fire &amp; Explosion</t>
        </is>
      </c>
      <c r="H2" s="9" t="inlineStr">
        <is>
          <t>Settled</t>
        </is>
      </c>
      <c r="I2" s="12" t="n">
        <v>1917350</v>
      </c>
      <c r="J2" s="12" t="n">
        <v>0</v>
      </c>
      <c r="K2" s="12" t="n">
        <v>1917350</v>
      </c>
      <c r="L2" s="9" t="n">
        <v>0</v>
      </c>
    </row>
    <row r="3">
      <c r="A3" s="9" t="inlineStr">
        <is>
          <t>CL004028</t>
        </is>
      </c>
      <c r="B3" s="9" t="inlineStr">
        <is>
          <t>T0208</t>
        </is>
      </c>
      <c r="C3" s="9" t="inlineStr">
        <is>
          <t>Sterling Assurance</t>
        </is>
      </c>
      <c r="D3" s="9" t="inlineStr">
        <is>
          <t>Property</t>
        </is>
      </c>
      <c r="E3" s="9" t="inlineStr">
        <is>
          <t>Latin America</t>
        </is>
      </c>
      <c r="F3" s="9" t="inlineStr">
        <is>
          <t>2025-06-02</t>
        </is>
      </c>
      <c r="G3" s="9" t="inlineStr">
        <is>
          <t>Business Interruption</t>
        </is>
      </c>
      <c r="H3" s="9" t="inlineStr">
        <is>
          <t>Settled</t>
        </is>
      </c>
      <c r="I3" s="12" t="n">
        <v>1730441.41</v>
      </c>
      <c r="J3" s="12" t="n">
        <v>0</v>
      </c>
      <c r="K3" s="12" t="n">
        <v>1730441.41</v>
      </c>
      <c r="L3" s="9" t="n">
        <v>0</v>
      </c>
    </row>
    <row r="4">
      <c r="A4" s="9" t="inlineStr">
        <is>
          <t>CL004149</t>
        </is>
      </c>
      <c r="B4" s="9" t="inlineStr">
        <is>
          <t>T0079</t>
        </is>
      </c>
      <c r="C4" s="9" t="inlineStr">
        <is>
          <t>Lumen Assurance</t>
        </is>
      </c>
      <c r="D4" s="9" t="inlineStr">
        <is>
          <t>Property</t>
        </is>
      </c>
      <c r="E4" s="9" t="inlineStr">
        <is>
          <t>Latin America</t>
        </is>
      </c>
      <c r="F4" s="9" t="inlineStr">
        <is>
          <t>2025-06-25</t>
        </is>
      </c>
      <c r="G4" s="9" t="inlineStr">
        <is>
          <t>Business Interruption</t>
        </is>
      </c>
      <c r="H4" s="9" t="inlineStr">
        <is>
          <t>Open</t>
        </is>
      </c>
      <c r="I4" s="12" t="n">
        <v>326173.47</v>
      </c>
      <c r="J4" s="12" t="n">
        <v>1304693.9</v>
      </c>
      <c r="K4" s="12" t="n">
        <v>1630867.37</v>
      </c>
      <c r="L4" s="9" t="n">
        <v>1</v>
      </c>
    </row>
    <row r="5">
      <c r="A5" s="9" t="inlineStr">
        <is>
          <t>CL004969</t>
        </is>
      </c>
      <c r="B5" s="9" t="inlineStr">
        <is>
          <t>T0079</t>
        </is>
      </c>
      <c r="C5" s="9" t="inlineStr">
        <is>
          <t>Lumen Assurance</t>
        </is>
      </c>
      <c r="D5" s="9" t="inlineStr">
        <is>
          <t>Property</t>
        </is>
      </c>
      <c r="E5" s="9" t="inlineStr">
        <is>
          <t>Latin America</t>
        </is>
      </c>
      <c r="F5" s="9" t="inlineStr">
        <is>
          <t>2026-02-02</t>
        </is>
      </c>
      <c r="G5" s="9" t="inlineStr">
        <is>
          <t>Business Interruption</t>
        </is>
      </c>
      <c r="H5" s="9" t="inlineStr">
        <is>
          <t>Open</t>
        </is>
      </c>
      <c r="I5" s="12" t="n">
        <v>313323.87</v>
      </c>
      <c r="J5" s="12" t="n">
        <v>1253295.47</v>
      </c>
      <c r="K5" s="12" t="n">
        <v>1566619.34</v>
      </c>
      <c r="L5" s="9" t="n">
        <v>1</v>
      </c>
    </row>
    <row r="6">
      <c r="A6" s="9" t="inlineStr">
        <is>
          <t>CL003229</t>
        </is>
      </c>
      <c r="B6" s="9" t="inlineStr">
        <is>
          <t>T0125</t>
        </is>
      </c>
      <c r="C6" s="9" t="inlineStr">
        <is>
          <t>Lumen Assurance</t>
        </is>
      </c>
      <c r="D6" s="9" t="inlineStr">
        <is>
          <t>Casualty</t>
        </is>
      </c>
      <c r="E6" s="9" t="inlineStr">
        <is>
          <t>Latin America</t>
        </is>
      </c>
      <c r="F6" s="9" t="inlineStr">
        <is>
          <t>2024-10-14</t>
        </is>
      </c>
      <c r="G6" s="9" t="inlineStr">
        <is>
          <t>Auto Liability</t>
        </is>
      </c>
      <c r="H6" s="9" t="inlineStr">
        <is>
          <t>Open</t>
        </is>
      </c>
      <c r="I6" s="12" t="n">
        <v>162055.86</v>
      </c>
      <c r="J6" s="12" t="n">
        <v>1270929.87</v>
      </c>
      <c r="K6" s="12" t="n">
        <v>1432985.73</v>
      </c>
      <c r="L6" s="9" t="n">
        <v>0</v>
      </c>
    </row>
    <row r="7">
      <c r="A7" s="9" t="inlineStr">
        <is>
          <t>CL003109</t>
        </is>
      </c>
      <c r="B7" s="9" t="inlineStr">
        <is>
          <t>T0696</t>
        </is>
      </c>
      <c r="C7" s="9" t="inlineStr">
        <is>
          <t>Pioneer Indemnity</t>
        </is>
      </c>
      <c r="D7" s="9" t="inlineStr">
        <is>
          <t>Casualty</t>
        </is>
      </c>
      <c r="E7" s="9" t="inlineStr">
        <is>
          <t>Latin America</t>
        </is>
      </c>
      <c r="F7" s="9" t="inlineStr">
        <is>
          <t>2024-07-29</t>
        </is>
      </c>
      <c r="G7" s="9" t="inlineStr">
        <is>
          <t>Auto Liability</t>
        </is>
      </c>
      <c r="H7" s="9" t="inlineStr">
        <is>
          <t>Settled</t>
        </is>
      </c>
      <c r="I7" s="12" t="n">
        <v>1226152.99</v>
      </c>
      <c r="J7" s="12" t="n">
        <v>0</v>
      </c>
      <c r="K7" s="12" t="n">
        <v>1226152.99</v>
      </c>
      <c r="L7" s="9" t="n">
        <v>0</v>
      </c>
    </row>
    <row r="8">
      <c r="A8" s="9" t="inlineStr">
        <is>
          <t>CL003545</t>
        </is>
      </c>
      <c r="B8" s="9" t="inlineStr">
        <is>
          <t>T0141</t>
        </is>
      </c>
      <c r="C8" s="9" t="inlineStr">
        <is>
          <t>Orion Indemnity</t>
        </is>
      </c>
      <c r="D8" s="9" t="inlineStr">
        <is>
          <t>Casualty</t>
        </is>
      </c>
      <c r="E8" s="9" t="inlineStr">
        <is>
          <t>Latin America</t>
        </is>
      </c>
      <c r="F8" s="9" t="inlineStr">
        <is>
          <t>2025-01-02</t>
        </is>
      </c>
      <c r="G8" s="9" t="inlineStr">
        <is>
          <t>General Liability</t>
        </is>
      </c>
      <c r="H8" s="9" t="inlineStr">
        <is>
          <t>Settled</t>
        </is>
      </c>
      <c r="I8" s="12" t="n">
        <v>1166690.16</v>
      </c>
      <c r="J8" s="12" t="n">
        <v>0</v>
      </c>
      <c r="K8" s="12" t="n">
        <v>1166690.16</v>
      </c>
      <c r="L8" s="9" t="n">
        <v>0</v>
      </c>
    </row>
    <row r="9">
      <c r="A9" s="9" t="inlineStr">
        <is>
          <t>CL003802</t>
        </is>
      </c>
      <c r="B9" s="9" t="inlineStr">
        <is>
          <t>T0183</t>
        </is>
      </c>
      <c r="C9" s="9" t="inlineStr">
        <is>
          <t>Pioneer Indemnity</t>
        </is>
      </c>
      <c r="D9" s="9" t="inlineStr">
        <is>
          <t>Professional</t>
        </is>
      </c>
      <c r="E9" s="9" t="inlineStr">
        <is>
          <t>Latin America</t>
        </is>
      </c>
      <c r="F9" s="9" t="inlineStr">
        <is>
          <t>2025-03-19</t>
        </is>
      </c>
      <c r="G9" s="9" t="inlineStr">
        <is>
          <t>Professional Indemnity</t>
        </is>
      </c>
      <c r="H9" s="9" t="inlineStr">
        <is>
          <t>Settled</t>
        </is>
      </c>
      <c r="I9" s="12" t="n">
        <v>976078.5</v>
      </c>
      <c r="J9" s="12" t="n">
        <v>0</v>
      </c>
      <c r="K9" s="12" t="n">
        <v>976078.5</v>
      </c>
      <c r="L9" s="9" t="n">
        <v>0</v>
      </c>
    </row>
    <row r="10">
      <c r="A10" s="9" t="inlineStr">
        <is>
          <t>CL004548</t>
        </is>
      </c>
      <c r="B10" s="9" t="inlineStr">
        <is>
          <t>T0291</t>
        </is>
      </c>
      <c r="C10" s="9" t="inlineStr">
        <is>
          <t>Pioneer Indemnity</t>
        </is>
      </c>
      <c r="D10" s="9" t="inlineStr">
        <is>
          <t>Property</t>
        </is>
      </c>
      <c r="E10" s="9" t="inlineStr">
        <is>
          <t>Latin America</t>
        </is>
      </c>
      <c r="F10" s="9" t="inlineStr">
        <is>
          <t>2025-10-11</t>
        </is>
      </c>
      <c r="G10" s="9" t="inlineStr">
        <is>
          <t>Natural Catastrophe</t>
        </is>
      </c>
      <c r="H10" s="9" t="inlineStr">
        <is>
          <t>Settled</t>
        </is>
      </c>
      <c r="I10" s="12" t="n">
        <v>924272.9300000001</v>
      </c>
      <c r="J10" s="12" t="n">
        <v>0</v>
      </c>
      <c r="K10" s="12" t="n">
        <v>924272.9300000001</v>
      </c>
      <c r="L10" s="9" t="n">
        <v>0</v>
      </c>
    </row>
    <row r="11">
      <c r="A11" s="9" t="inlineStr">
        <is>
          <t>CL004525</t>
        </is>
      </c>
      <c r="B11" s="9" t="inlineStr">
        <is>
          <t>T0192</t>
        </is>
      </c>
      <c r="C11" s="9" t="inlineStr">
        <is>
          <t>Pioneer Indemnity</t>
        </is>
      </c>
      <c r="D11" s="9" t="inlineStr">
        <is>
          <t>Financial Lines</t>
        </is>
      </c>
      <c r="E11" s="9" t="inlineStr">
        <is>
          <t>Latin America</t>
        </is>
      </c>
      <c r="F11" s="9" t="inlineStr">
        <is>
          <t>2025-10-20</t>
        </is>
      </c>
      <c r="G11" s="9" t="inlineStr">
        <is>
          <t>Credit &amp; Surety</t>
        </is>
      </c>
      <c r="H11" s="9" t="inlineStr">
        <is>
          <t>Settled</t>
        </is>
      </c>
      <c r="I11" s="12" t="n">
        <v>826186.95</v>
      </c>
      <c r="J11" s="12" t="n">
        <v>0</v>
      </c>
      <c r="K11" s="12" t="n">
        <v>826186.95</v>
      </c>
      <c r="L11" s="9" t="n">
        <v>0</v>
      </c>
    </row>
    <row r="12">
      <c r="A12" s="9" t="inlineStr">
        <is>
          <t>CL002947</t>
        </is>
      </c>
      <c r="B12" s="9" t="inlineStr">
        <is>
          <t>T0696</t>
        </is>
      </c>
      <c r="C12" s="9" t="inlineStr">
        <is>
          <t>Pioneer Indemnity</t>
        </is>
      </c>
      <c r="D12" s="9" t="inlineStr">
        <is>
          <t>Casualty</t>
        </is>
      </c>
      <c r="E12" s="9" t="inlineStr">
        <is>
          <t>Latin America</t>
        </is>
      </c>
      <c r="F12" s="9" t="inlineStr">
        <is>
          <t>2024-07-03</t>
        </is>
      </c>
      <c r="G12" s="9" t="inlineStr">
        <is>
          <t>General Liability</t>
        </is>
      </c>
      <c r="H12" s="9" t="inlineStr">
        <is>
          <t>Settled</t>
        </is>
      </c>
      <c r="I12" s="12" t="n">
        <v>756643.95</v>
      </c>
      <c r="J12" s="12" t="n">
        <v>0</v>
      </c>
      <c r="K12" s="12" t="n">
        <v>756643.95</v>
      </c>
      <c r="L12" s="9" t="n">
        <v>0</v>
      </c>
    </row>
    <row r="13">
      <c r="A13" s="9" t="inlineStr">
        <is>
          <t>CL001340</t>
        </is>
      </c>
      <c r="B13" s="9" t="inlineStr">
        <is>
          <t>T0538</t>
        </is>
      </c>
      <c r="C13" s="9" t="inlineStr">
        <is>
          <t>Lumen Assurance</t>
        </is>
      </c>
      <c r="D13" s="9" t="inlineStr">
        <is>
          <t>Property</t>
        </is>
      </c>
      <c r="E13" s="9" t="inlineStr">
        <is>
          <t>Latin America</t>
        </is>
      </c>
      <c r="F13" s="9" t="inlineStr">
        <is>
          <t>2023-02-02</t>
        </is>
      </c>
      <c r="G13" s="9" t="inlineStr">
        <is>
          <t>Fire &amp; Explosion</t>
        </is>
      </c>
      <c r="H13" s="9" t="inlineStr">
        <is>
          <t>Settled</t>
        </is>
      </c>
      <c r="I13" s="12" t="n">
        <v>672128.73</v>
      </c>
      <c r="J13" s="12" t="n">
        <v>0</v>
      </c>
      <c r="K13" s="12" t="n">
        <v>672128.73</v>
      </c>
      <c r="L13" s="9" t="n">
        <v>0</v>
      </c>
    </row>
    <row r="14">
      <c r="A14" s="9" t="inlineStr">
        <is>
          <t>CL001011</t>
        </is>
      </c>
      <c r="B14" s="9" t="inlineStr">
        <is>
          <t>T0481</t>
        </is>
      </c>
      <c r="C14" s="9" t="inlineStr">
        <is>
          <t>Lumen Assurance</t>
        </is>
      </c>
      <c r="D14" s="9" t="inlineStr">
        <is>
          <t>Specialty</t>
        </is>
      </c>
      <c r="E14" s="9" t="inlineStr">
        <is>
          <t>Latin America</t>
        </is>
      </c>
      <c r="F14" s="9" t="inlineStr">
        <is>
          <t>2022-10-24</t>
        </is>
      </c>
      <c r="G14" s="9" t="inlineStr">
        <is>
          <t>Marine Hull</t>
        </is>
      </c>
      <c r="H14" s="9" t="inlineStr">
        <is>
          <t>Settled</t>
        </is>
      </c>
      <c r="I14" s="12" t="n">
        <v>632019.59</v>
      </c>
      <c r="J14" s="12" t="n">
        <v>0</v>
      </c>
      <c r="K14" s="12" t="n">
        <v>632019.59</v>
      </c>
      <c r="L14" s="9" t="n">
        <v>0</v>
      </c>
    </row>
    <row r="15">
      <c r="A15" s="9" t="inlineStr">
        <is>
          <t>CL003631</t>
        </is>
      </c>
      <c r="B15" s="9" t="inlineStr">
        <is>
          <t>T0141</t>
        </is>
      </c>
      <c r="C15" s="9" t="inlineStr">
        <is>
          <t>Orion Indemnity</t>
        </is>
      </c>
      <c r="D15" s="9" t="inlineStr">
        <is>
          <t>Casualty</t>
        </is>
      </c>
      <c r="E15" s="9" t="inlineStr">
        <is>
          <t>Latin America</t>
        </is>
      </c>
      <c r="F15" s="9" t="inlineStr">
        <is>
          <t>2025-01-08</t>
        </is>
      </c>
      <c r="G15" s="9" t="inlineStr">
        <is>
          <t>Auto Liability</t>
        </is>
      </c>
      <c r="H15" s="9" t="inlineStr">
        <is>
          <t>Settled</t>
        </is>
      </c>
      <c r="I15" s="12" t="n">
        <v>626139.05</v>
      </c>
      <c r="J15" s="12" t="n">
        <v>0</v>
      </c>
      <c r="K15" s="12" t="n">
        <v>626139.05</v>
      </c>
      <c r="L15" s="9" t="n">
        <v>0</v>
      </c>
    </row>
    <row r="16">
      <c r="A16" s="9" t="inlineStr">
        <is>
          <t>CL004058</t>
        </is>
      </c>
      <c r="B16" s="9" t="inlineStr">
        <is>
          <t>T0355</t>
        </is>
      </c>
      <c r="C16" s="9" t="inlineStr">
        <is>
          <t>Pioneer Indemnity</t>
        </is>
      </c>
      <c r="D16" s="9" t="inlineStr">
        <is>
          <t>Casualty</t>
        </is>
      </c>
      <c r="E16" s="9" t="inlineStr">
        <is>
          <t>Latin America</t>
        </is>
      </c>
      <c r="F16" s="9" t="inlineStr">
        <is>
          <t>2025-06-02</t>
        </is>
      </c>
      <c r="G16" s="9" t="inlineStr">
        <is>
          <t>General Liability</t>
        </is>
      </c>
      <c r="H16" s="9" t="inlineStr">
        <is>
          <t>Open</t>
        </is>
      </c>
      <c r="I16" s="12" t="n">
        <v>30500.72</v>
      </c>
      <c r="J16" s="12" t="n">
        <v>503416.52</v>
      </c>
      <c r="K16" s="12" t="n">
        <v>533917.24</v>
      </c>
      <c r="L16" s="9" t="n">
        <v>0</v>
      </c>
    </row>
    <row r="17">
      <c r="A17" s="9" t="inlineStr">
        <is>
          <t>CL004326</t>
        </is>
      </c>
      <c r="B17" s="9" t="inlineStr">
        <is>
          <t>T0355</t>
        </is>
      </c>
      <c r="C17" s="9" t="inlineStr">
        <is>
          <t>Pioneer Indemnity</t>
        </is>
      </c>
      <c r="D17" s="9" t="inlineStr">
        <is>
          <t>Casualty</t>
        </is>
      </c>
      <c r="E17" s="9" t="inlineStr">
        <is>
          <t>Latin America</t>
        </is>
      </c>
      <c r="F17" s="9" t="inlineStr">
        <is>
          <t>2025-08-18</t>
        </is>
      </c>
      <c r="G17" s="9" t="inlineStr">
        <is>
          <t>Auto Liability</t>
        </is>
      </c>
      <c r="H17" s="9" t="inlineStr">
        <is>
          <t>Settled</t>
        </is>
      </c>
      <c r="I17" s="12" t="n">
        <v>528331.4399999999</v>
      </c>
      <c r="J17" s="12" t="n">
        <v>0</v>
      </c>
      <c r="K17" s="12" t="n">
        <v>528331.4399999999</v>
      </c>
      <c r="L17" s="9" t="n">
        <v>0</v>
      </c>
    </row>
    <row r="18">
      <c r="A18" s="9" t="inlineStr">
        <is>
          <t>CL003795</t>
        </is>
      </c>
      <c r="B18" s="9" t="inlineStr">
        <is>
          <t>T0696</t>
        </is>
      </c>
      <c r="C18" s="9" t="inlineStr">
        <is>
          <t>Pioneer Indemnity</t>
        </is>
      </c>
      <c r="D18" s="9" t="inlineStr">
        <is>
          <t>Casualty</t>
        </is>
      </c>
      <c r="E18" s="9" t="inlineStr">
        <is>
          <t>Latin America</t>
        </is>
      </c>
      <c r="F18" s="9" t="inlineStr">
        <is>
          <t>2025-03-23</t>
        </is>
      </c>
      <c r="G18" s="9" t="inlineStr">
        <is>
          <t>Workers Compensation</t>
        </is>
      </c>
      <c r="H18" s="9" t="inlineStr">
        <is>
          <t>Settled</t>
        </is>
      </c>
      <c r="I18" s="12" t="n">
        <v>502185.98</v>
      </c>
      <c r="J18" s="12" t="n">
        <v>0</v>
      </c>
      <c r="K18" s="12" t="n">
        <v>502185.98</v>
      </c>
      <c r="L18" s="9" t="n">
        <v>0</v>
      </c>
    </row>
    <row r="19">
      <c r="A19" s="9" t="inlineStr">
        <is>
          <t>CL001905</t>
        </is>
      </c>
      <c r="B19" s="9" t="inlineStr">
        <is>
          <t>T0193</t>
        </is>
      </c>
      <c r="C19" s="9" t="inlineStr">
        <is>
          <t>Sterling Assurance</t>
        </is>
      </c>
      <c r="D19" s="9" t="inlineStr">
        <is>
          <t>Property</t>
        </is>
      </c>
      <c r="E19" s="9" t="inlineStr">
        <is>
          <t>Latin America</t>
        </is>
      </c>
      <c r="F19" s="9" t="inlineStr">
        <is>
          <t>2023-07-04</t>
        </is>
      </c>
      <c r="G19" s="9" t="inlineStr">
        <is>
          <t>Business Interruption</t>
        </is>
      </c>
      <c r="H19" s="9" t="inlineStr">
        <is>
          <t>Settled</t>
        </is>
      </c>
      <c r="I19" s="12" t="n">
        <v>491501.12</v>
      </c>
      <c r="J19" s="12" t="n">
        <v>0</v>
      </c>
      <c r="K19" s="12" t="n">
        <v>491501.12</v>
      </c>
      <c r="L19" s="9" t="n">
        <v>0</v>
      </c>
    </row>
    <row r="20">
      <c r="A20" s="9" t="inlineStr">
        <is>
          <t>CL003771</t>
        </is>
      </c>
      <c r="B20" s="9" t="inlineStr">
        <is>
          <t>T0125</t>
        </is>
      </c>
      <c r="C20" s="9" t="inlineStr">
        <is>
          <t>Lumen Assurance</t>
        </is>
      </c>
      <c r="D20" s="9" t="inlineStr">
        <is>
          <t>Casualty</t>
        </is>
      </c>
      <c r="E20" s="9" t="inlineStr">
        <is>
          <t>Latin America</t>
        </is>
      </c>
      <c r="F20" s="9" t="inlineStr">
        <is>
          <t>2025-02-06</t>
        </is>
      </c>
      <c r="G20" s="9" t="inlineStr">
        <is>
          <t>Workers Compensation</t>
        </is>
      </c>
      <c r="H20" s="9" t="inlineStr">
        <is>
          <t>Settled</t>
        </is>
      </c>
      <c r="I20" s="12" t="n">
        <v>477981.03</v>
      </c>
      <c r="J20" s="12" t="n">
        <v>0</v>
      </c>
      <c r="K20" s="12" t="n">
        <v>477981.03</v>
      </c>
      <c r="L20" s="9" t="n">
        <v>0</v>
      </c>
    </row>
    <row r="21">
      <c r="A21" s="9" t="inlineStr">
        <is>
          <t>CL004151</t>
        </is>
      </c>
      <c r="B21" s="9" t="inlineStr">
        <is>
          <t>T0291</t>
        </is>
      </c>
      <c r="C21" s="9" t="inlineStr">
        <is>
          <t>Pioneer Indemnity</t>
        </is>
      </c>
      <c r="D21" s="9" t="inlineStr">
        <is>
          <t>Property</t>
        </is>
      </c>
      <c r="E21" s="9" t="inlineStr">
        <is>
          <t>Latin America</t>
        </is>
      </c>
      <c r="F21" s="9" t="inlineStr">
        <is>
          <t>2025-06-22</t>
        </is>
      </c>
      <c r="G21" s="9" t="inlineStr">
        <is>
          <t>Fire &amp; Explosion</t>
        </is>
      </c>
      <c r="H21" s="9" t="inlineStr">
        <is>
          <t>Settled</t>
        </is>
      </c>
      <c r="I21" s="12" t="n">
        <v>463454.18</v>
      </c>
      <c r="J21" s="12" t="n">
        <v>0</v>
      </c>
      <c r="K21" s="12" t="n">
        <v>463454.18</v>
      </c>
      <c r="L21" s="9" t="n">
        <v>0</v>
      </c>
    </row>
    <row r="22">
      <c r="A22" s="9" t="inlineStr">
        <is>
          <t>CL001448</t>
        </is>
      </c>
      <c r="B22" s="9" t="inlineStr">
        <is>
          <t>T0492</t>
        </is>
      </c>
      <c r="C22" s="9" t="inlineStr">
        <is>
          <t>Sterling Assurance</t>
        </is>
      </c>
      <c r="D22" s="9" t="inlineStr">
        <is>
          <t>Professional</t>
        </is>
      </c>
      <c r="E22" s="9" t="inlineStr">
        <is>
          <t>Latin America</t>
        </is>
      </c>
      <c r="F22" s="9" t="inlineStr">
        <is>
          <t>2023-03-14</t>
        </is>
      </c>
      <c r="G22" s="9" t="inlineStr">
        <is>
          <t>Professional Indemnity</t>
        </is>
      </c>
      <c r="H22" s="9" t="inlineStr">
        <is>
          <t>Settled</t>
        </is>
      </c>
      <c r="I22" s="12" t="n">
        <v>435719.16</v>
      </c>
      <c r="J22" s="12" t="n">
        <v>0</v>
      </c>
      <c r="K22" s="12" t="n">
        <v>435719.16</v>
      </c>
      <c r="L22" s="9" t="n">
        <v>0</v>
      </c>
    </row>
    <row r="23">
      <c r="A23" s="9" t="inlineStr">
        <is>
          <t>CL001924</t>
        </is>
      </c>
      <c r="B23" s="9" t="inlineStr">
        <is>
          <t>T0149</t>
        </is>
      </c>
      <c r="C23" s="9" t="inlineStr">
        <is>
          <t>Evergreen Mutual</t>
        </is>
      </c>
      <c r="D23" s="9" t="inlineStr">
        <is>
          <t>Casualty</t>
        </is>
      </c>
      <c r="E23" s="9" t="inlineStr">
        <is>
          <t>Latin America</t>
        </is>
      </c>
      <c r="F23" s="9" t="inlineStr">
        <is>
          <t>2023-06-10</t>
        </is>
      </c>
      <c r="G23" s="9" t="inlineStr">
        <is>
          <t>General Liability</t>
        </is>
      </c>
      <c r="H23" s="9" t="inlineStr">
        <is>
          <t>Open</t>
        </is>
      </c>
      <c r="I23" s="12" t="n">
        <v>127249.52</v>
      </c>
      <c r="J23" s="12" t="n">
        <v>304158.06</v>
      </c>
      <c r="K23" s="12" t="n">
        <v>431407.58</v>
      </c>
      <c r="L23" s="9" t="n">
        <v>0</v>
      </c>
    </row>
    <row r="24">
      <c r="A24" s="9" t="inlineStr">
        <is>
          <t>CL001154</t>
        </is>
      </c>
      <c r="B24" s="9" t="inlineStr">
        <is>
          <t>T0538</t>
        </is>
      </c>
      <c r="C24" s="9" t="inlineStr">
        <is>
          <t>Lumen Assurance</t>
        </is>
      </c>
      <c r="D24" s="9" t="inlineStr">
        <is>
          <t>Property</t>
        </is>
      </c>
      <c r="E24" s="9" t="inlineStr">
        <is>
          <t>Latin America</t>
        </is>
      </c>
      <c r="F24" s="9" t="inlineStr">
        <is>
          <t>2022-12-12</t>
        </is>
      </c>
      <c r="G24" s="9" t="inlineStr">
        <is>
          <t>Business Interruption</t>
        </is>
      </c>
      <c r="H24" s="9" t="inlineStr">
        <is>
          <t>Settled</t>
        </is>
      </c>
      <c r="I24" s="12" t="n">
        <v>420131.6</v>
      </c>
      <c r="J24" s="12" t="n">
        <v>0</v>
      </c>
      <c r="K24" s="12" t="n">
        <v>420131.6</v>
      </c>
      <c r="L24" s="9" t="n">
        <v>0</v>
      </c>
    </row>
    <row r="25">
      <c r="A25" s="9" t="inlineStr">
        <is>
          <t>CL003179</t>
        </is>
      </c>
      <c r="B25" s="9" t="inlineStr">
        <is>
          <t>T0696</t>
        </is>
      </c>
      <c r="C25" s="9" t="inlineStr">
        <is>
          <t>Pioneer Indemnity</t>
        </is>
      </c>
      <c r="D25" s="9" t="inlineStr">
        <is>
          <t>Casualty</t>
        </is>
      </c>
      <c r="E25" s="9" t="inlineStr">
        <is>
          <t>Latin America</t>
        </is>
      </c>
      <c r="F25" s="9" t="inlineStr">
        <is>
          <t>2024-09-26</t>
        </is>
      </c>
      <c r="G25" s="9" t="inlineStr">
        <is>
          <t>Workers Compensation</t>
        </is>
      </c>
      <c r="H25" s="9" t="inlineStr">
        <is>
          <t>Settled</t>
        </is>
      </c>
      <c r="I25" s="12" t="n">
        <v>418096.56</v>
      </c>
      <c r="J25" s="12" t="n">
        <v>0</v>
      </c>
      <c r="K25" s="12" t="n">
        <v>418096.56</v>
      </c>
      <c r="L25" s="9" t="n">
        <v>0</v>
      </c>
    </row>
    <row r="26">
      <c r="A26" s="9" t="inlineStr">
        <is>
          <t>CL003909</t>
        </is>
      </c>
      <c r="B26" s="9" t="inlineStr">
        <is>
          <t>T0125</t>
        </is>
      </c>
      <c r="C26" s="9" t="inlineStr">
        <is>
          <t>Lumen Assurance</t>
        </is>
      </c>
      <c r="D26" s="9" t="inlineStr">
        <is>
          <t>Casualty</t>
        </is>
      </c>
      <c r="E26" s="9" t="inlineStr">
        <is>
          <t>Latin America</t>
        </is>
      </c>
      <c r="F26" s="9" t="inlineStr">
        <is>
          <t>2025-04-20</t>
        </is>
      </c>
      <c r="G26" s="9" t="inlineStr">
        <is>
          <t>Auto Liability</t>
        </is>
      </c>
      <c r="H26" s="9" t="inlineStr">
        <is>
          <t>Settled</t>
        </is>
      </c>
      <c r="I26" s="12" t="n">
        <v>412363.4</v>
      </c>
      <c r="J26" s="12" t="n">
        <v>0</v>
      </c>
      <c r="K26" s="12" t="n">
        <v>412363.4</v>
      </c>
      <c r="L26" s="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5" customWidth="1" min="4" max="4"/>
    <col width="20" customWidth="1" min="5" max="5"/>
    <col width="13" customWidth="1" min="6" max="6"/>
    <col width="12" customWidth="1" min="7" max="7"/>
    <col width="21" customWidth="1" min="8" max="8"/>
  </cols>
  <sheetData>
    <row r="1">
      <c r="A1" s="4" t="inlineStr">
        <is>
          <t>treaty_id</t>
        </is>
      </c>
      <c r="B1" s="4" t="inlineStr">
        <is>
          <t>cedant_name</t>
        </is>
      </c>
      <c r="C1" s="4" t="inlineStr">
        <is>
          <t>lob_name</t>
        </is>
      </c>
      <c r="D1" s="4" t="inlineStr">
        <is>
          <t>region_name</t>
        </is>
      </c>
      <c r="E1" s="4" t="inlineStr">
        <is>
          <t>underwriter_name</t>
        </is>
      </c>
      <c r="F1" s="4" t="inlineStr">
        <is>
          <t>limit_usd</t>
        </is>
      </c>
      <c r="G1" s="4" t="inlineStr">
        <is>
          <t>incurred</t>
        </is>
      </c>
      <c r="H1" s="4" t="inlineStr">
        <is>
          <t>limit_utilisation</t>
        </is>
      </c>
    </row>
    <row r="2">
      <c r="A2" s="9" t="inlineStr">
        <is>
          <t>T0079</t>
        </is>
      </c>
      <c r="B2" s="9" t="inlineStr">
        <is>
          <t>Lumen Assurance</t>
        </is>
      </c>
      <c r="C2" s="9" t="inlineStr">
        <is>
          <t>Property</t>
        </is>
      </c>
      <c r="D2" s="9" t="inlineStr">
        <is>
          <t>Latin America</t>
        </is>
      </c>
      <c r="E2" s="9" t="inlineStr">
        <is>
          <t>Kenji Sato</t>
        </is>
      </c>
      <c r="F2" s="12" t="n">
        <v>1300000</v>
      </c>
      <c r="G2" s="12" t="n">
        <v>3360348.47</v>
      </c>
      <c r="H2" s="15" t="n">
        <v>2.584883438461538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  <col width="12" customWidth="1" min="3" max="3"/>
    <col width="12" customWidth="1" min="4" max="4"/>
    <col width="18" customWidth="1" min="5" max="5"/>
    <col width="18" customWidth="1" min="6" max="6"/>
    <col width="11" customWidth="1" min="7" max="7"/>
    <col width="26" customWidth="1" min="8" max="8"/>
  </cols>
  <sheetData>
    <row r="1">
      <c r="A1" s="4" t="inlineStr">
        <is>
          <t>check_id</t>
        </is>
      </c>
      <c r="B1" s="4" t="inlineStr">
        <is>
          <t>check_name</t>
        </is>
      </c>
      <c r="C1" s="4" t="inlineStr">
        <is>
          <t>category</t>
        </is>
      </c>
      <c r="D1" s="4" t="inlineStr">
        <is>
          <t>severity</t>
        </is>
      </c>
      <c r="E1" s="4" t="inlineStr">
        <is>
          <t>records_tested</t>
        </is>
      </c>
      <c r="F1" s="4" t="inlineStr">
        <is>
          <t>records_failed</t>
        </is>
      </c>
      <c r="G1" s="4" t="inlineStr">
        <is>
          <t>status</t>
        </is>
      </c>
      <c r="H1" s="4" t="inlineStr">
        <is>
          <t>action_taken</t>
        </is>
      </c>
    </row>
    <row r="2">
      <c r="A2" s="9" t="inlineStr">
        <is>
          <t>C01</t>
        </is>
      </c>
      <c r="B2" s="9" t="inlineStr">
        <is>
          <t>Treaty has blank region</t>
        </is>
      </c>
      <c r="C2" s="9" t="inlineStr">
        <is>
          <t>Completeness</t>
        </is>
      </c>
      <c r="D2" s="9" t="inlineStr">
        <is>
          <t>Medium</t>
        </is>
      </c>
      <c r="E2" s="9" t="n">
        <v>703</v>
      </c>
      <c r="F2" s="9" t="n">
        <v>20</v>
      </c>
      <c r="G2" s="9" t="inlineStr">
        <is>
          <t>FAIL</t>
        </is>
      </c>
      <c r="H2" s="9" t="inlineStr">
        <is>
          <t>Mapped to Unassigned</t>
        </is>
      </c>
    </row>
    <row r="3">
      <c r="A3" s="9" t="inlineStr">
        <is>
          <t>C02</t>
        </is>
      </c>
      <c r="B3" s="9" t="inlineStr">
        <is>
          <t>Treaty has blank underwriter</t>
        </is>
      </c>
      <c r="C3" s="9" t="inlineStr">
        <is>
          <t>Completeness</t>
        </is>
      </c>
      <c r="D3" s="9" t="inlineStr">
        <is>
          <t>Low</t>
        </is>
      </c>
      <c r="E3" s="9" t="n">
        <v>703</v>
      </c>
      <c r="F3" s="9" t="n">
        <v>15</v>
      </c>
      <c r="G3" s="9" t="inlineStr">
        <is>
          <t>FAIL</t>
        </is>
      </c>
      <c r="H3" s="9" t="inlineStr">
        <is>
          <t>Mapped to Unassigned</t>
        </is>
      </c>
    </row>
    <row r="4">
      <c r="A4" s="9" t="inlineStr">
        <is>
          <t>C03</t>
        </is>
      </c>
      <c r="B4" s="9" t="inlineStr">
        <is>
          <t>Treaty has blank currency</t>
        </is>
      </c>
      <c r="C4" s="9" t="inlineStr">
        <is>
          <t>Completeness</t>
        </is>
      </c>
      <c r="D4" s="9" t="inlineStr">
        <is>
          <t>High</t>
        </is>
      </c>
      <c r="E4" s="9" t="n">
        <v>703</v>
      </c>
      <c r="F4" s="9" t="n">
        <v>0</v>
      </c>
      <c r="G4" s="9" t="inlineStr">
        <is>
          <t>PASS</t>
        </is>
      </c>
      <c r="H4" s="9" t="inlineStr">
        <is>
          <t>None required</t>
        </is>
      </c>
    </row>
    <row r="5">
      <c r="A5" s="9" t="inlineStr">
        <is>
          <t>C04</t>
        </is>
      </c>
      <c r="B5" s="9" t="inlineStr">
        <is>
          <t>Premium transaction has null gross premium</t>
        </is>
      </c>
      <c r="C5" s="9" t="inlineStr">
        <is>
          <t>Completeness</t>
        </is>
      </c>
      <c r="D5" s="9" t="inlineStr">
        <is>
          <t>High</t>
        </is>
      </c>
      <c r="E5" s="9" t="n">
        <v>8058</v>
      </c>
      <c r="F5" s="9" t="n">
        <v>0</v>
      </c>
      <c r="G5" s="9" t="inlineStr">
        <is>
          <t>PASS</t>
        </is>
      </c>
      <c r="H5" s="9" t="inlineStr">
        <is>
          <t>None required</t>
        </is>
      </c>
    </row>
    <row r="6">
      <c r="A6" s="9" t="inlineStr">
        <is>
          <t>K01</t>
        </is>
      </c>
      <c r="B6" s="9" t="inlineStr">
        <is>
          <t>Incurred does not equal paid + case reserve</t>
        </is>
      </c>
      <c r="C6" s="9" t="inlineStr">
        <is>
          <t>Consistency</t>
        </is>
      </c>
      <c r="D6" s="9" t="inlineStr">
        <is>
          <t>Medium</t>
        </is>
      </c>
      <c r="E6" s="9" t="n">
        <v>6018</v>
      </c>
      <c r="F6" s="9" t="n">
        <v>30</v>
      </c>
      <c r="G6" s="9" t="inlineStr">
        <is>
          <t>FAIL</t>
        </is>
      </c>
      <c r="H6" s="9" t="inlineStr">
        <is>
          <t>Corrected</t>
        </is>
      </c>
    </row>
    <row r="7">
      <c r="A7" s="9" t="inlineStr">
        <is>
          <t>K02</t>
        </is>
      </c>
      <c r="B7" s="9" t="inlineStr">
        <is>
          <t>System C premium differs from System A annual estimate (&gt;2%)</t>
        </is>
      </c>
      <c r="C7" s="9" t="inlineStr">
        <is>
          <t>Consistency</t>
        </is>
      </c>
      <c r="D7" s="9" t="inlineStr">
        <is>
          <t>Medium</t>
        </is>
      </c>
      <c r="E7" s="9" t="n">
        <v>587</v>
      </c>
      <c r="F7" s="9" t="n">
        <v>10</v>
      </c>
      <c r="G7" s="9" t="inlineStr">
        <is>
          <t>FAIL</t>
        </is>
      </c>
      <c r="H7" s="9" t="inlineStr">
        <is>
          <t>Flagged</t>
        </is>
      </c>
    </row>
    <row r="8">
      <c r="A8" s="9" t="inlineStr">
        <is>
          <t>K03</t>
        </is>
      </c>
      <c r="B8" s="9" t="inlineStr">
        <is>
          <t>Earned premium exceeds gross premium</t>
        </is>
      </c>
      <c r="C8" s="9" t="inlineStr">
        <is>
          <t>Consistency</t>
        </is>
      </c>
      <c r="D8" s="9" t="inlineStr">
        <is>
          <t>Medium</t>
        </is>
      </c>
      <c r="E8" s="9" t="n">
        <v>8058</v>
      </c>
      <c r="F8" s="9" t="n">
        <v>0</v>
      </c>
      <c r="G8" s="9" t="inlineStr">
        <is>
          <t>PASS</t>
        </is>
      </c>
      <c r="H8" s="9" t="inlineStr">
        <is>
          <t>None required</t>
        </is>
      </c>
    </row>
    <row r="9">
      <c r="A9" s="9" t="inlineStr">
        <is>
          <t>K04</t>
        </is>
      </c>
      <c r="B9" s="9" t="inlineStr">
        <is>
          <t>Ceded premium exceeds gross premium</t>
        </is>
      </c>
      <c r="C9" s="9" t="inlineStr">
        <is>
          <t>Consistency</t>
        </is>
      </c>
      <c r="D9" s="9" t="inlineStr">
        <is>
          <t>Medium</t>
        </is>
      </c>
      <c r="E9" s="9" t="n">
        <v>8058</v>
      </c>
      <c r="F9" s="9" t="n">
        <v>0</v>
      </c>
      <c r="G9" s="9" t="inlineStr">
        <is>
          <t>PASS</t>
        </is>
      </c>
      <c r="H9" s="9" t="inlineStr">
        <is>
          <t>None required</t>
        </is>
      </c>
    </row>
    <row r="10">
      <c r="A10" s="9" t="inlineStr">
        <is>
          <t>R01</t>
        </is>
      </c>
      <c r="B10" s="9" t="inlineStr">
        <is>
          <t>Claim references a treaty that does not exist</t>
        </is>
      </c>
      <c r="C10" s="9" t="inlineStr">
        <is>
          <t>Referential integrity</t>
        </is>
      </c>
      <c r="D10" s="9" t="inlineStr">
        <is>
          <t>High</t>
        </is>
      </c>
      <c r="E10" s="9" t="n">
        <v>6018</v>
      </c>
      <c r="F10" s="9" t="n">
        <v>25</v>
      </c>
      <c r="G10" s="9" t="inlineStr">
        <is>
          <t>FAIL</t>
        </is>
      </c>
      <c r="H10" s="9" t="inlineStr">
        <is>
          <t>Quarantined</t>
        </is>
      </c>
    </row>
    <row r="11">
      <c r="A11" s="9" t="inlineStr">
        <is>
          <t>R02</t>
        </is>
      </c>
      <c r="B11" s="9" t="inlineStr">
        <is>
          <t>Premium transaction references an unknown treaty</t>
        </is>
      </c>
      <c r="C11" s="9" t="inlineStr">
        <is>
          <t>Referential integrity</t>
        </is>
      </c>
      <c r="D11" s="9" t="inlineStr">
        <is>
          <t>High</t>
        </is>
      </c>
      <c r="E11" s="9" t="n">
        <v>8058</v>
      </c>
      <c r="F11" s="9" t="n">
        <v>6</v>
      </c>
      <c r="G11" s="9" t="inlineStr">
        <is>
          <t>FAIL</t>
        </is>
      </c>
      <c r="H11" s="9" t="inlineStr">
        <is>
          <t>Quarantined</t>
        </is>
      </c>
    </row>
    <row r="12">
      <c r="A12" s="9" t="inlineStr">
        <is>
          <t>R03</t>
        </is>
      </c>
      <c r="B12" s="9" t="inlineStr">
        <is>
          <t>Exposure record references an unknown treaty</t>
        </is>
      </c>
      <c r="C12" s="9" t="inlineStr">
        <is>
          <t>Referential integrity</t>
        </is>
      </c>
      <c r="D12" s="9" t="inlineStr">
        <is>
          <t>Medium</t>
        </is>
      </c>
      <c r="E12" s="9" t="n">
        <v>700</v>
      </c>
      <c r="F12" s="9" t="n">
        <v>0</v>
      </c>
      <c r="G12" s="9" t="inlineStr">
        <is>
          <t>PASS</t>
        </is>
      </c>
      <c r="H12" s="9" t="inlineStr">
        <is>
          <t>None required</t>
        </is>
      </c>
    </row>
    <row r="13">
      <c r="A13" s="9" t="inlineStr">
        <is>
          <t>R04</t>
        </is>
      </c>
      <c r="B13" s="9" t="inlineStr">
        <is>
          <t>Treaty incepted but has no premium booked</t>
        </is>
      </c>
      <c r="C13" s="9" t="inlineStr">
        <is>
          <t>Referential integrity</t>
        </is>
      </c>
      <c r="D13" s="9" t="inlineStr">
        <is>
          <t>Low</t>
        </is>
      </c>
      <c r="E13" s="9" t="n">
        <v>703</v>
      </c>
      <c r="F13" s="9" t="n">
        <v>0</v>
      </c>
      <c r="G13" s="9" t="inlineStr">
        <is>
          <t>PASS</t>
        </is>
      </c>
      <c r="H13" s="9" t="inlineStr">
        <is>
          <t>None required</t>
        </is>
      </c>
    </row>
    <row r="14">
      <c r="A14" s="9" t="inlineStr">
        <is>
          <t>T01</t>
        </is>
      </c>
      <c r="B14" s="9" t="inlineStr">
        <is>
          <t>Monthly gross premium moves &gt;35% vs prior month</t>
        </is>
      </c>
      <c r="C14" s="9" t="inlineStr">
        <is>
          <t>Trend</t>
        </is>
      </c>
      <c r="D14" s="9" t="inlineStr">
        <is>
          <t>Medium</t>
        </is>
      </c>
      <c r="E14" s="9" t="n">
        <v>57</v>
      </c>
      <c r="F14" s="9" t="n">
        <v>2</v>
      </c>
      <c r="G14" s="9" t="inlineStr">
        <is>
          <t>FAIL</t>
        </is>
      </c>
      <c r="H14" s="9" t="inlineStr">
        <is>
          <t>Flagged - investigate</t>
        </is>
      </c>
    </row>
    <row r="15">
      <c r="A15" s="9" t="inlineStr">
        <is>
          <t>U01</t>
        </is>
      </c>
      <c r="B15" s="9" t="inlineStr">
        <is>
          <t>Duplicate treaty ID in System A</t>
        </is>
      </c>
      <c r="C15" s="9" t="inlineStr">
        <is>
          <t>Uniqueness</t>
        </is>
      </c>
      <c r="D15" s="9" t="inlineStr">
        <is>
          <t>High</t>
        </is>
      </c>
      <c r="E15" s="9" t="n">
        <v>703</v>
      </c>
      <c r="F15" s="9" t="n">
        <v>3</v>
      </c>
      <c r="G15" s="9" t="inlineStr">
        <is>
          <t>FAIL</t>
        </is>
      </c>
      <c r="H15" s="9" t="inlineStr">
        <is>
          <t>Quarantined</t>
        </is>
      </c>
    </row>
    <row r="16">
      <c r="A16" s="9" t="inlineStr">
        <is>
          <t>U02</t>
        </is>
      </c>
      <c r="B16" s="9" t="inlineStr">
        <is>
          <t>Duplicate claim ID in System B</t>
        </is>
      </c>
      <c r="C16" s="9" t="inlineStr">
        <is>
          <t>Uniqueness</t>
        </is>
      </c>
      <c r="D16" s="9" t="inlineStr">
        <is>
          <t>High</t>
        </is>
      </c>
      <c r="E16" s="9" t="n">
        <v>6018</v>
      </c>
      <c r="F16" s="9" t="n">
        <v>15</v>
      </c>
      <c r="G16" s="9" t="inlineStr">
        <is>
          <t>FAIL</t>
        </is>
      </c>
      <c r="H16" s="9" t="inlineStr">
        <is>
          <t>Quarantined</t>
        </is>
      </c>
    </row>
    <row r="17">
      <c r="A17" s="9" t="inlineStr">
        <is>
          <t>U03</t>
        </is>
      </c>
      <c r="B17" s="9" t="inlineStr">
        <is>
          <t>Duplicate premium transaction (same treaty, date, amount)</t>
        </is>
      </c>
      <c r="C17" s="9" t="inlineStr">
        <is>
          <t>Uniqueness</t>
        </is>
      </c>
      <c r="D17" s="9" t="inlineStr">
        <is>
          <t>High</t>
        </is>
      </c>
      <c r="E17" s="9" t="n">
        <v>8058</v>
      </c>
      <c r="F17" s="9" t="n">
        <v>151</v>
      </c>
      <c r="G17" s="9" t="inlineStr">
        <is>
          <t>FAIL</t>
        </is>
      </c>
      <c r="H17" s="9" t="inlineStr">
        <is>
          <t>Quarantined</t>
        </is>
      </c>
    </row>
    <row r="18">
      <c r="A18" s="9" t="inlineStr">
        <is>
          <t>V01</t>
        </is>
      </c>
      <c r="B18" s="9" t="inlineStr">
        <is>
          <t>Claim loss date before treaty inception</t>
        </is>
      </c>
      <c r="C18" s="9" t="inlineStr">
        <is>
          <t>Validity</t>
        </is>
      </c>
      <c r="D18" s="9" t="inlineStr">
        <is>
          <t>High</t>
        </is>
      </c>
      <c r="E18" s="9" t="n">
        <v>6018</v>
      </c>
      <c r="F18" s="9" t="n">
        <v>20</v>
      </c>
      <c r="G18" s="9" t="inlineStr">
        <is>
          <t>FAIL</t>
        </is>
      </c>
      <c r="H18" s="9" t="inlineStr">
        <is>
          <t>Quarantined</t>
        </is>
      </c>
    </row>
    <row r="19">
      <c r="A19" s="9" t="inlineStr">
        <is>
          <t>V02</t>
        </is>
      </c>
      <c r="B19" s="9" t="inlineStr">
        <is>
          <t>Claim loss date after treaty expiry</t>
        </is>
      </c>
      <c r="C19" s="9" t="inlineStr">
        <is>
          <t>Validity</t>
        </is>
      </c>
      <c r="D19" s="9" t="inlineStr">
        <is>
          <t>High</t>
        </is>
      </c>
      <c r="E19" s="9" t="n">
        <v>6018</v>
      </c>
      <c r="F19" s="9" t="n">
        <v>15</v>
      </c>
      <c r="G19" s="9" t="inlineStr">
        <is>
          <t>FAIL</t>
        </is>
      </c>
      <c r="H19" s="9" t="inlineStr">
        <is>
          <t>Quarantined</t>
        </is>
      </c>
    </row>
    <row r="20">
      <c r="A20" s="9" t="inlineStr">
        <is>
          <t>V03</t>
        </is>
      </c>
      <c r="B20" s="9" t="inlineStr">
        <is>
          <t>Premium transaction zero or negative</t>
        </is>
      </c>
      <c r="C20" s="9" t="inlineStr">
        <is>
          <t>Validity</t>
        </is>
      </c>
      <c r="D20" s="9" t="inlineStr">
        <is>
          <t>High</t>
        </is>
      </c>
      <c r="E20" s="9" t="n">
        <v>8058</v>
      </c>
      <c r="F20" s="9" t="n">
        <v>17</v>
      </c>
      <c r="G20" s="9" t="inlineStr">
        <is>
          <t>FAIL</t>
        </is>
      </c>
      <c r="H20" s="9" t="inlineStr">
        <is>
          <t>Quarantined</t>
        </is>
      </c>
    </row>
    <row r="21">
      <c r="A21" s="9" t="inlineStr">
        <is>
          <t>V04</t>
        </is>
      </c>
      <c r="B21" s="9" t="inlineStr">
        <is>
          <t>Claim status code not in mapping</t>
        </is>
      </c>
      <c r="C21" s="9" t="inlineStr">
        <is>
          <t>Validity</t>
        </is>
      </c>
      <c r="D21" s="9" t="inlineStr">
        <is>
          <t>Medium</t>
        </is>
      </c>
      <c r="E21" s="9" t="n">
        <v>6018</v>
      </c>
      <c r="F21" s="9" t="n">
        <v>10</v>
      </c>
      <c r="G21" s="9" t="inlineStr">
        <is>
          <t>FAIL</t>
        </is>
      </c>
      <c r="H21" s="9" t="inlineStr">
        <is>
          <t>Loaded as Unmapped</t>
        </is>
      </c>
    </row>
    <row r="22">
      <c r="A22" s="9" t="inlineStr">
        <is>
          <t>V05</t>
        </is>
      </c>
      <c r="B22" s="9" t="inlineStr">
        <is>
          <t>Line-of-business code not in mapping</t>
        </is>
      </c>
      <c r="C22" s="9" t="inlineStr">
        <is>
          <t>Validity</t>
        </is>
      </c>
      <c r="D22" s="9" t="inlineStr">
        <is>
          <t>Medium</t>
        </is>
      </c>
      <c r="E22" s="9" t="n">
        <v>703</v>
      </c>
      <c r="F22" s="9" t="n">
        <v>8</v>
      </c>
      <c r="G22" s="9" t="inlineStr">
        <is>
          <t>FAIL</t>
        </is>
      </c>
      <c r="H22" s="9" t="inlineStr">
        <is>
          <t>Loaded as Unmapped</t>
        </is>
      </c>
    </row>
    <row r="23">
      <c r="A23" s="9" t="inlineStr">
        <is>
          <t>V06</t>
        </is>
      </c>
      <c r="B23" s="9" t="inlineStr">
        <is>
          <t>Currency not in mapping (no FX rate)</t>
        </is>
      </c>
      <c r="C23" s="9" t="inlineStr">
        <is>
          <t>Validity</t>
        </is>
      </c>
      <c r="D23" s="9" t="inlineStr">
        <is>
          <t>High</t>
        </is>
      </c>
      <c r="E23" s="9" t="n">
        <v>703</v>
      </c>
      <c r="F23" s="9" t="n">
        <v>0</v>
      </c>
      <c r="G23" s="9" t="inlineStr">
        <is>
          <t>PASS</t>
        </is>
      </c>
      <c r="H23" s="9" t="inlineStr">
        <is>
          <t>None required</t>
        </is>
      </c>
    </row>
    <row r="24">
      <c r="A24" s="9" t="inlineStr">
        <is>
          <t>V07</t>
        </is>
      </c>
      <c r="B24" s="9" t="inlineStr">
        <is>
          <t>Non-blank region not in mapping</t>
        </is>
      </c>
      <c r="C24" s="9" t="inlineStr">
        <is>
          <t>Validity</t>
        </is>
      </c>
      <c r="D24" s="9" t="inlineStr">
        <is>
          <t>Medium</t>
        </is>
      </c>
      <c r="E24" s="9" t="n">
        <v>703</v>
      </c>
      <c r="F24" s="9" t="n">
        <v>0</v>
      </c>
      <c r="G24" s="9" t="inlineStr">
        <is>
          <t>PASS</t>
        </is>
      </c>
      <c r="H24" s="9" t="inlineStr">
        <is>
          <t>None required</t>
        </is>
      </c>
    </row>
    <row r="25">
      <c r="A25" s="9" t="inlineStr">
        <is>
          <t>V08</t>
        </is>
      </c>
      <c r="B25" s="9" t="inlineStr">
        <is>
          <t>Negative claim amount</t>
        </is>
      </c>
      <c r="C25" s="9" t="inlineStr">
        <is>
          <t>Validity</t>
        </is>
      </c>
      <c r="D25" s="9" t="inlineStr">
        <is>
          <t>High</t>
        </is>
      </c>
      <c r="E25" s="9" t="n">
        <v>6018</v>
      </c>
      <c r="F25" s="9" t="n">
        <v>0</v>
      </c>
      <c r="G25" s="9" t="inlineStr">
        <is>
          <t>PASS</t>
        </is>
      </c>
      <c r="H25" s="9" t="inlineStr">
        <is>
          <t>None required</t>
        </is>
      </c>
    </row>
    <row r="26">
      <c r="A26" s="9" t="inlineStr">
        <is>
          <t>V09</t>
        </is>
      </c>
      <c r="B26" s="9" t="inlineStr">
        <is>
          <t>Treaty expiry on/before inception</t>
        </is>
      </c>
      <c r="C26" s="9" t="inlineStr">
        <is>
          <t>Validity</t>
        </is>
      </c>
      <c r="D26" s="9" t="inlineStr">
        <is>
          <t>High</t>
        </is>
      </c>
      <c r="E26" s="9" t="n">
        <v>703</v>
      </c>
      <c r="F26" s="9" t="n">
        <v>0</v>
      </c>
      <c r="G26" s="9" t="inlineStr">
        <is>
          <t>PASS</t>
        </is>
      </c>
      <c r="H26" s="9" t="inlineStr">
        <is>
          <t>None required</t>
        </is>
      </c>
    </row>
    <row r="27">
      <c r="A27" s="9" t="inlineStr">
        <is>
          <t>V10</t>
        </is>
      </c>
      <c r="B27" s="9" t="inlineStr">
        <is>
          <t>Claim incurred exceeds treaty limit</t>
        </is>
      </c>
      <c r="C27" s="9" t="inlineStr">
        <is>
          <t>Validity</t>
        </is>
      </c>
      <c r="D27" s="9" t="inlineStr">
        <is>
          <t>Medium</t>
        </is>
      </c>
      <c r="E27" s="9" t="n">
        <v>6018</v>
      </c>
      <c r="F27" s="9" t="n">
        <v>12</v>
      </c>
      <c r="G27" s="9" t="inlineStr">
        <is>
          <t>FAIL</t>
        </is>
      </c>
      <c r="H27" s="9" t="inlineStr">
        <is>
          <t>Flagged</t>
        </is>
      </c>
    </row>
    <row r="28">
      <c r="A28" s="9" t="inlineStr">
        <is>
          <t>Z01</t>
        </is>
      </c>
      <c r="B28" s="9" t="inlineStr">
        <is>
          <t>Premium: source = core + quarantined (USD)</t>
        </is>
      </c>
      <c r="C28" s="9" t="inlineStr">
        <is>
          <t>Reconciliation</t>
        </is>
      </c>
      <c r="D28" s="9" t="inlineStr">
        <is>
          <t>High</t>
        </is>
      </c>
      <c r="E28" s="9" t="n">
        <v>1</v>
      </c>
      <c r="F28" s="9" t="n">
        <v>0</v>
      </c>
      <c r="G28" s="9" t="inlineStr">
        <is>
          <t>PASS</t>
        </is>
      </c>
      <c r="H28" s="9" t="inlineStr">
        <is>
          <t>None required</t>
        </is>
      </c>
    </row>
    <row r="29">
      <c r="A29" s="9" t="inlineStr">
        <is>
          <t>Z02</t>
        </is>
      </c>
      <c r="B29" s="9" t="inlineStr">
        <is>
          <t>Paid + reserve: source = core + quarantined (USD)</t>
        </is>
      </c>
      <c r="C29" s="9" t="inlineStr">
        <is>
          <t>Reconciliation</t>
        </is>
      </c>
      <c r="D29" s="9" t="inlineStr">
        <is>
          <t>High</t>
        </is>
      </c>
      <c r="E29" s="9" t="n">
        <v>1</v>
      </c>
      <c r="F29" s="9" t="n">
        <v>0</v>
      </c>
      <c r="G29" s="9" t="inlineStr">
        <is>
          <t>PASS</t>
        </is>
      </c>
      <c r="H29" s="9" t="inlineStr">
        <is>
          <t>None required</t>
        </is>
      </c>
    </row>
  </sheetData>
  <conditionalFormatting sqref="G2:G29">
    <cfRule type="cellIs" priority="1" operator="equal" dxfId="0">
      <formula>"FAIL"</formula>
    </cfRule>
    <cfRule type="cellIs" priority="2" operator="equal" dxfId="1">
      <formula>"PASS"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6" t="inlineStr">
        <is>
          <t>Definitions</t>
        </is>
      </c>
    </row>
    <row r="2">
      <c r="A2" s="9" t="inlineStr">
        <is>
          <t>Gross written premium (GWP): premium booked from cedants, converted to USD at valuation-date FX.</t>
        </is>
      </c>
    </row>
    <row r="3">
      <c r="A3" s="9" t="inlineStr">
        <is>
          <t>Earned premium: portion of GWP for risk exposure elapsed to the valuation date (pro-rata by month).</t>
        </is>
      </c>
    </row>
    <row r="4">
      <c r="A4" s="9" t="inlineStr">
        <is>
          <t>Ceded premium: premium passed on to retrocessionaires.</t>
        </is>
      </c>
    </row>
    <row r="5">
      <c r="A5" s="9" t="inlineStr">
        <is>
          <t>Incurred = paid + case reserve (no IBNR in this dataset).</t>
        </is>
      </c>
    </row>
    <row r="6">
      <c r="A6" s="9" t="inlineStr">
        <is>
          <t>Loss ratio = incurred / earned premium. Combined ratio = loss ratio + earned commission ratio + admin expense assumption.</t>
        </is>
      </c>
    </row>
    <row r="7">
      <c r="A7" s="9" t="inlineStr">
        <is>
          <t>Underwriting year = year the treaty incepted. Recent years are immature: open claims still develop.</t>
        </is>
      </c>
    </row>
    <row r="8">
      <c r="A8" s="9" t="inlineStr">
        <is>
          <t>Quarantined source records (see DQ_Log) are excluded. Unmapped line-of-business codes appear as 'Unmapped'.</t>
        </is>
      </c>
    </row>
    <row r="9">
      <c r="A9" s="9" t="inlineStr">
        <is>
          <t>Source: SQLite warehouse built by python/pipeline.py; views in sql/04_mi_views.sql.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2026-10-08T11:45:46Z</dcterms:created>
  <dcterms:modified xmlns:dcterms="http://purl.org/dc/terms/" xmlns:xsi="http://www.w3.org/2001/XMLSchema-instance" xsi:type="dcterms:W3CDTF">2026-10-08T11:45:46Z</dcterms:modified>
</cp:coreProperties>
</file>